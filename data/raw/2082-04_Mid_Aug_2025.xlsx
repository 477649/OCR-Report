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K00431\OneDrive\Desktop\Working\2082-83\1. Shrawan 2082\"/>
    </mc:Choice>
  </mc:AlternateContent>
  <xr:revisionPtr revIDLastSave="0" documentId="13_ncr:1_{85576F7C-A802-4994-86B5-ECA6FD3655AD}" xr6:coauthVersionLast="36" xr6:coauthVersionMax="36" xr10:uidLastSave="{00000000-0000-0000-0000-000000000000}"/>
  <bookViews>
    <workbookView xWindow="0" yWindow="0" windowWidth="25600" windowHeight="10493" xr2:uid="{12424D28-AC15-4F1E-9BC6-F31B9F2BC4DA}"/>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 name="C15" sheetId="15" r:id="rId15"/>
    <sheet name="C16" sheetId="16" r:id="rId16"/>
    <sheet name="C17" sheetId="17" r:id="rId17"/>
    <sheet name="C18" sheetId="18" r:id="rId18"/>
    <sheet name="C19" sheetId="19" r:id="rId19"/>
    <sheet name="C20" sheetId="20" r:id="rId20"/>
    <sheet name="C21" sheetId="21" r:id="rId21"/>
    <sheet name="C22" sheetId="22" r:id="rId22"/>
    <sheet name="C23" sheetId="23" r:id="rId23"/>
    <sheet name="C24" sheetId="24" r:id="rId24"/>
    <sheet name="C25" sheetId="25" r:id="rId25"/>
  </sheets>
  <externalReferences>
    <externalReference r:id="rId26"/>
    <externalReference r:id="rId27"/>
    <externalReference r:id="rId28"/>
    <externalReference r:id="rId29"/>
    <externalReference r:id="rId30"/>
    <externalReference r:id="rId31"/>
  </externalReferences>
  <definedNames>
    <definedName name="_3_to_6_months_Fixed_Account_1.1.2.2">'[3]9.2'!$10:$10</definedName>
    <definedName name="_6_months_to_1_year_Fixed_Account_1.1.2.3">'[3]9.2'!$11:$11</definedName>
    <definedName name="a._Residential_Real_Estate_except_Residential_Personal_Home_Loan_Up_to_Rs._10_million_23" hidden="1">'[3]9.3ka'!$27:$27</definedName>
    <definedName name="aa" localSheetId="11">#REF!</definedName>
    <definedName name="aa" localSheetId="20">#REF!</definedName>
    <definedName name="aa" localSheetId="21">#REF!</definedName>
    <definedName name="aa">#REF!</definedName>
    <definedName name="Above_1_year_Fixed_Account_1.1.2.4">'[3]9.2'!$12:$12</definedName>
    <definedName name="Additional_Loan_Loss_Provision_7.1.3">'[3]9.2'!$43:$43</definedName>
    <definedName name="Advance_Payment_on_Tax_10.9">'[3]9.1'!$B$500:$XFD$500</definedName>
    <definedName name="Against_Guarantee_33">'[3]9.4'!$37:$37</definedName>
    <definedName name="Against_security_of_Bill_26">'[3]9.4'!$30:$30</definedName>
    <definedName name="Agricultural_and_Forest_product_28">'[3]9.3'!$32:$32</definedName>
    <definedName name="Agricultural_and_Forest_Related_1">'[3]9.3'!$5:$5</definedName>
    <definedName name="Agricultural_Production_15">'[3]9.4'!$19:$19</definedName>
    <definedName name="Agriculture__Forestry___Bevarage___Production_Related_26">'[3]9.3'!$30:$30</definedName>
    <definedName name="Assets_Total">'[3]9.1'!$B$607:$XFD$607</definedName>
    <definedName name="b._Commercial_Complex___Residential__Apartment_Construction_Loan_24" hidden="1">'[3]9.3ka'!$28:$28</definedName>
    <definedName name="Bank_Balance_2." hidden="1">'[3]9.1'!$B$313:$XFD$313</definedName>
    <definedName name="Beverages_Beer__Liquor__Soda_etc__33">'[3]9.3'!$37:$37</definedName>
    <definedName name="Bills_Payable_4.">'[3]9.1'!$B$238:$XFD$238</definedName>
    <definedName name="Bills_Purchase_and_Discount_2.1">'[3]9.2'!$66:$66</definedName>
    <definedName name="Bills_Purchased_39" hidden="1">'[3]9.3ka'!$43:$43</definedName>
    <definedName name="Bills_Purchased_7." hidden="1">'[3]9.1'!$437:$437</definedName>
    <definedName name="Borrowing_from_Nepal_Rastra_Bank_2.1">'[3]9.1'!$B$30:$XFD$30</definedName>
    <definedName name="Borrowings_2." hidden="1">'[3]9.1'!$B$29:$XFD$29</definedName>
    <definedName name="c._Lending_on_Income_Generated_Commercial_Complex_25" hidden="1">'[3]9.3ka'!$29:$29</definedName>
    <definedName name="Call_Deposit_1.1.3">'[3]9.2'!$13:$13</definedName>
    <definedName name="Call_in_Advance_1.2">'[3]9.1'!$B$11:$XFD$11</definedName>
    <definedName name="Capital___Reserves_Funds_1." hidden="1">'[3]9.1'!$B$5:$XFD$5</definedName>
    <definedName name="Capital_Redemption_Reserve_1.8" hidden="1">'[3]9.1'!$B$25:$XFD$25</definedName>
    <definedName name="Cash_Balance_1." hidden="1">'[3]9.1'!$B$308:$XFD$308</definedName>
    <definedName name="Cash_in_Transit_10.7">'[3]9.1'!$B$498:$XFD$498</definedName>
    <definedName name="Cashiers_Guarantee_3.7" hidden="1">'[3]9.1'!$B$235:$XFD$235</definedName>
    <definedName name="Central_Government_6.1.1.8">'[3]9.1'!$B$419:$XFD$419</definedName>
    <definedName name="Certificate_of_Deposit_1.1.4">'[3]9.2'!$14:$14</definedName>
    <definedName name="Certificate_of_Deposits_3.5" hidden="1">'[3]9.1'!$B$221:$XFD$221</definedName>
    <definedName name="Clearing_Cheques_10.6">'[3]9.1'!$B$495:$XFD$495</definedName>
    <definedName name="Collateral_of_Properties_7">'[3]9.4'!$11:$11</definedName>
    <definedName name="Collective_Guarantee_37">'[3]9.4'!$41:$41</definedName>
    <definedName name="Commission_2.2">'[3]9.2'!$67:$67</definedName>
    <definedName name="Commission_and_Discount_2." hidden="1">'[3]9.2'!$65:$65</definedName>
    <definedName name="Commission_Expense_2." hidden="1">'[3]9.2'!$19:$19</definedName>
    <definedName name="Construction_53">'[3]9.3'!$57:$57</definedName>
    <definedName name="Consumption_Loans_115">'[3]9.3'!$119:$119</definedName>
    <definedName name="Contra_Accounts_14.">'[3]9.1'!$B$514:$XFD$514</definedName>
    <definedName name="Contra_Accounts_7.">'[3]9.1'!$B$293:$XFD$293</definedName>
    <definedName name="Credit_Card_40">'[3]9.4'!$44:$44</definedName>
    <definedName name="Current_Assets_14">'[3]9.4'!$18:$18</definedName>
    <definedName name="d._Other_Real_Estate__Including_Land_Purchase___Plotting__26" hidden="1">'[3]9.3ka'!$30:$30</definedName>
    <definedName name="data" localSheetId="11">#REF!</definedName>
    <definedName name="data" localSheetId="20">#REF!</definedName>
    <definedName name="data" localSheetId="21">#REF!</definedName>
    <definedName name="data">#REF!</definedName>
    <definedName name="_xlnm.Database" localSheetId="11">#REF!</definedName>
    <definedName name="_xlnm.Database" localSheetId="20">#REF!</definedName>
    <definedName name="_xlnm.Database" localSheetId="21">#REF!</definedName>
    <definedName name="_xlnm.Database">#REF!</definedName>
    <definedName name="Debenture___Bonds_1.2.4">'[3]9.2'!$61:$61</definedName>
    <definedName name="Debenture___Bonds_2.4" hidden="1">'[3]9.1'!$B$51:$XFD$51</definedName>
    <definedName name="Demand___Other_Working_Capital_Loan_16" hidden="1">'[3]9.3ka'!$20:$20</definedName>
    <definedName name="Deposits_3." hidden="1">'[3]9.1'!$B$56:$XFD$56</definedName>
    <definedName name="Deprived_Sector_Loan_38" hidden="1">'[3]9.3ka'!$42:$42</definedName>
    <definedName name="Domestic_Bills_27">'[3]9.4'!$31:$31</definedName>
    <definedName name="Domestic_Bills_Purchased_7.1">'[3]9.1'!$B$438:$XFD$438</definedName>
    <definedName name="Domestic_Currency_3.1">'[3]9.1'!$B$330:$XFD$330</definedName>
    <definedName name="Domestic_Currency_3.1.1" hidden="1">'[3]9.1'!$B$58:$XFD$58</definedName>
    <definedName name="Domestic_Currency_3.2.1" hidden="1">'[3]9.1'!$B$99:$XFD$99</definedName>
    <definedName name="Domestic_Currency_3.3.1" hidden="1">'[3]9.1'!$B$140:$XFD$140</definedName>
    <definedName name="Domestic_Currency_3.4.1" hidden="1">'[3]9.1'!$B$181:$XFD$181</definedName>
    <definedName name="Domestic_Currency_3.6.1" hidden="1">'[3]9.1'!$B$229:$XFD$229</definedName>
    <definedName name="Draft_Paid_Without_Notice_10.8">'[3]9.1'!$B$499:$XFD$499</definedName>
    <definedName name="Due_to_Change_in_Exchange_Rate_3.1">'[3]9.2'!$70:$70</definedName>
    <definedName name="Due_to_Change_in_Exchange_Rates_5.1">'[3]9.2'!$30:$30</definedName>
    <definedName name="Due_to_Foreign_Currency_Transaction_3.2">'[3]9.2'!$71:$71</definedName>
    <definedName name="Due_to_Foreign_Currency_Transaction_5.2">'[3]9.2'!$31:$31</definedName>
    <definedName name="Electricity_58">'[3]9.3'!$62:$62</definedName>
    <definedName name="Exchange_Flactuation_Income_3." hidden="1">'[3]9.2'!$69:$69</definedName>
    <definedName name="Exchange_Fluctuation_Reserve_1.9" hidden="1">'[3]9.1'!$B$26:$XFD$26</definedName>
    <definedName name="Expenses_not_Written_off_11.">'[3]9.1'!$B$503:$XFD$503</definedName>
    <definedName name="Expenses_Total">'[3]9.2'!$53:$53</definedName>
    <definedName name="Extraordinary_Expenses_9." hidden="1">'[3]9.2'!$49:$49</definedName>
    <definedName name="Finance__Insurance_and_Real_Estate_93">'[3]9.3'!$97:$97</definedName>
    <definedName name="Fixed_Assets_8">'[3]9.4'!$12:$12</definedName>
    <definedName name="Fixed_Assets_9." hidden="1">'[3]9.1'!$B$452:$XFD$452</definedName>
    <definedName name="Fixed_Deposit_Receipts_4">'[3]9.4'!$8:$8</definedName>
    <definedName name="Foreign_Banks___Fianncial_Instutions_2.3.2.2">'[3]9.1'!$B$49:$XFD$49</definedName>
    <definedName name="Foreign_Bills_28">'[3]9.4'!$32:$32</definedName>
    <definedName name="Foreign_Bills_Purchased_7.2">'[3]9.1'!$B$441:$XFD$441</definedName>
    <definedName name="Foreign_Bonds_1.2.2">'[3]9.2'!$59:$59</definedName>
    <definedName name="Foreign_Currency_1.2">'[3]9.1'!$B$310:$XFD$310</definedName>
    <definedName name="Foreign_Currency_3.1.2" hidden="1">'[3]9.1'!$B$85:$XFD$85</definedName>
    <definedName name="Foreign_Currency_3.2">'[3]9.1'!$B$335:$XFD$335</definedName>
    <definedName name="Foreign_Currency_3.2.2" hidden="1">'[3]9.1'!$B$126:$XFD$126</definedName>
    <definedName name="Foreign_Currency_3.3.2" hidden="1">'[3]9.1'!$B$167:$XFD$167</definedName>
    <definedName name="Foreign_Currency_3.4.2" hidden="1">'[3]9.1'!$B$208:$XFD$208</definedName>
    <definedName name="Foreign_Currency_3.6.2" hidden="1">'[3]9.1'!$B$232:$XFD$232</definedName>
    <definedName name="Foreign_Exchange_Loss_5." hidden="1">'[3]9.2'!$29:$29</definedName>
    <definedName name="GA__Class_License_Institutions_6.1.1.3">'[3]9.1'!$B$414:$XFD$414</definedName>
    <definedName name="GA__Class_License_Institutions_6.1.2.3">'[3]9.1'!$B$426:$XFD$426</definedName>
    <definedName name="General_Loan_loss_Provision_7.1.1">'[3]9.2'!$35:$35</definedName>
    <definedName name="General_Reserve_1.4" hidden="1">'[3]9.1'!$B$13:$XFD$13</definedName>
    <definedName name="GHA__Class_License_Institutions__Bonds_4.3">'[3]9.1'!$B$352:$XFD$352</definedName>
    <definedName name="GHA__Class_License_Institutions_10.1.2.1.1.1">'[3]9.1'!$B$472:$XFD$472</definedName>
    <definedName name="GHA__Class_License_Institutions_6.1.1.4">'[3]9.1'!$B$415:$XFD$415</definedName>
    <definedName name="Gold_and_Silver_1">'[3]9.4'!$5:$5</definedName>
    <definedName name="Goodwill_10.10">'[3]9.1'!$B$501:$XFD$501</definedName>
    <definedName name="Government_Bonds_1.2.1">'[3]9.2'!$58:$58</definedName>
    <definedName name="Government_Guarantee_34">'[3]9.4'!$38:$38</definedName>
    <definedName name="Government_Non_Financial_Corporations_6.1.1.10">'[3]9.1'!$B$421:$XFD$421</definedName>
    <definedName name="Government_Non_Financial_institutions_6.1.2.5">'[3]9.1'!$B$428:$XFD$428</definedName>
    <definedName name="Government_Securities_10.1.1.1">'[3]9.1'!$B$465:$XFD$465</definedName>
    <definedName name="Government_Securities_2">'[3]9.4'!$6:$6</definedName>
    <definedName name="Govt._Non_Financial_Institutions_10.1.2.1.1.6">'[3]9.1'!$B$477:$XFD$477</definedName>
    <definedName name="Hire_Purchase_Loan_35" hidden="1">'[3]9.3ka'!$39:$39</definedName>
    <definedName name="Hotel_or_Restaurant_105">'[3]9.3'!$109:$109</definedName>
    <definedName name="Import_Bills___Imports_7.3">'[3]9.1'!$B$448:$XFD$448</definedName>
    <definedName name="In__GA__Class_License_Institutions_2.1.4">'[3]9.1'!$B$318:$XFD$318</definedName>
    <definedName name="In__GA__Class_License_Institutions_2.2.4">'[3]9.1'!$B$324:$XFD$324</definedName>
    <definedName name="In__KA__Class_License_Institutions_2.1.2">'[3]9.1'!$B$316:$XFD$316</definedName>
    <definedName name="In__KA__Class_License_Institutions_2.2.2">'[3]9.1'!$B$322:$XFD$322</definedName>
    <definedName name="In__KHA__Class_License_Institutions_2.1.3">'[3]9.1'!$B$317:$XFD$317</definedName>
    <definedName name="In__KHA__Class_License_Institutions_2.2.3">'[3]9.1'!$B$323:$XFD$323</definedName>
    <definedName name="In_Foreign_Banks_2.2.6">'[3]9.1'!$B$326:$XFD$326</definedName>
    <definedName name="In_Nepal_Rastra_Bank_2.1.1">'[3]9.1'!$B$315:$XFD$315</definedName>
    <definedName name="In_Nepal_Rastra_Bank_2.2.1">'[3]9.1'!$B$321:$XFD$321</definedName>
    <definedName name="In_Other_Financial_Institutions_2.1.5">'[3]9.1'!$B$319:$XFD$319</definedName>
    <definedName name="In_Other_Financial_Institutions_2.2.5">'[3]9.1'!$B$325:$XFD$325</definedName>
    <definedName name="Income_from_Extra_Ordinary_transactions_8." hidden="1">'[3]9.2'!$89:$89</definedName>
    <definedName name="Income_Total">'[3]9.2'!$103:$103</definedName>
    <definedName name="Individual_10.1.2.2">'[3]9.1'!$B$483:$XFD$483</definedName>
    <definedName name="Individual_6.2">'[3]9.1'!$B$430:$XFD$430</definedName>
    <definedName name="Institutional_Guarantee_35">'[3]9.4'!$39:$39</definedName>
    <definedName name="Interbank_Borrowings_2.2">'[3]9.1'!$B$34:$XFD$34</definedName>
    <definedName name="Interbank_Investment_5.2">'[3]9.1'!$B$369:$XFD$369</definedName>
    <definedName name="Interest_Expense_1." hidden="1">'[3]9.2'!$5:$5</definedName>
    <definedName name="Interest_Income_1." hidden="1">'[3]9.2'!$55:$55</definedName>
    <definedName name="Interest_Suspense_Account_5.13">'[3]9.1'!$B$275:$XFD$275</definedName>
    <definedName name="International_Rated_Foreign_Bank_s_Guarantee_38">'[3]9.4'!$42:$42</definedName>
    <definedName name="Investment_Adjustment_Fund_1.10" hidden="1">'[3]9.1'!$B$27:$XFD$27</definedName>
    <definedName name="Investment_adjustment_fund_7.4.">'[3]9.2'!$46:$46</definedName>
    <definedName name="Investment_on_Securities_Except_Shares_4." hidden="1">'[3]9.1'!$B$344:$XFD$344</definedName>
    <definedName name="KA__Class_License_Institutions_6.1.1.1">'[3]9.1'!$B$412:$XFD$412</definedName>
    <definedName name="KA__Class_License_Institutions_6.1.2.1">'[3]9.1'!$B$424:$XFD$424</definedName>
    <definedName name="KHA__Class_License_Institutions_6.1.1.2">'[3]9.1'!$B$413:$XFD$413</definedName>
    <definedName name="KHA__Class_License_Institutions_6.1.2.2">'[3]9.1'!$B$425:$XFD$425</definedName>
    <definedName name="Licensed_Institutions_10.1.2.1.2.1">'[3]9.1'!$B$480:$XFD$480</definedName>
    <definedName name="Loan_Against_Domestic_Bills_8.1">'[3]9.1'!$B$450:$XFD$450</definedName>
    <definedName name="Loan_Against_Foreign_Bills_8.2">'[3]9.1'!$B$451:$XFD$451</definedName>
    <definedName name="Loan_Loss_Provision_5.9">'[3]9.1'!$B$262:$XFD$262</definedName>
    <definedName name="Loan_Written_Off_8.">'[3]9.2'!$48:$48</definedName>
    <definedName name="Loans___Advances_6." hidden="1">'[3]9.1'!$409:$409</definedName>
    <definedName name="Loans_Against_Collected_Bills_8." hidden="1">'[3]9.1'!$449:$449</definedName>
    <definedName name="Local_Government_121">'[3]9.3'!$125:$125</definedName>
    <definedName name="Local_Government_6.1.1.9">'[3]9.1'!$B$420:$XFD$420</definedName>
    <definedName name="Machinery_Tools_66">'[3]9.3'!$70:$70</definedName>
    <definedName name="Margin_Accounts_3.6">'[3]9.1'!$B$228:$XFD$228</definedName>
    <definedName name="Margin_Nature_Loan_30" hidden="1">'[3]9.3ka'!$34:$34</definedName>
    <definedName name="Metal_Products__Machinary___Electronic_Equipment___Assemblage_64">'[3]9.3'!$68:$68</definedName>
    <definedName name="MF__Assets_Total">'[3]MF_9.1'!$B$163:$XFD$163</definedName>
    <definedName name="MF__Bank_Balance_2.">'[3]MF_9.1'!$B$89:$XFD$89</definedName>
    <definedName name="MF__Bills_Payable_4.">'[3]MF_9.1'!$B$44:$XFD$44</definedName>
    <definedName name="MF__Borrowing_from_Nepal_Rastra_Bank_2.1">'[3]MF_9.1'!$B$27:$XFD$27</definedName>
    <definedName name="MF__Borrowings_2.">'[3]MF_9.1'!$B$26:$XFD$26</definedName>
    <definedName name="MF__Capital___Reserves_Fund_1.">'[3]MF_9.1'!$B$5:$XFD$5</definedName>
    <definedName name="MF__Cash_Balance_1.">'[3]MF_9.1'!$B$86:$XFD$86</definedName>
    <definedName name="MF__Deposits_3.">'[3]MF_9.1'!$B$36:$XFD$36</definedName>
    <definedName name="MF__Expenses_not_Written_off_9.">'[3]MF_9.1'!$B$143:$XFD$143</definedName>
    <definedName name="MF__Fixed_Assets_7.">'[3]MF_9.1'!$B$120:$XFD$120</definedName>
    <definedName name="MF__General_Reserve_1.4">'[3]MF_9.1'!$B$12:$XFD$12</definedName>
    <definedName name="MF__Individual_6.2">'[3]MF_9.1'!$B$119:$XFD$119</definedName>
    <definedName name="MF__Institutional_6.1">'[3]MF_9.1'!$B$118:$XFD$118</definedName>
    <definedName name="MF__Interest_Suspense_Account_5.14">'[3]MF_9.1'!$B$67:$XFD$67</definedName>
    <definedName name="MF__Investment_on_Securities_Except_Shares_4.">'[3]MF_9.1'!$B$102:$XFD$102</definedName>
    <definedName name="MF__Liabilities_Total">'[3]MF_9.1'!$B$82:$XFD$82</definedName>
    <definedName name="MF__Loan_Loss_Provision_5.10">'[3]MF_9.1'!$B$55:$XFD$55</definedName>
    <definedName name="MF__Loans___Advances_6.">'[3]MF_9.1'!$B$117:$XFD$117</definedName>
    <definedName name="MF__Money_at_Call_3.">'[3]MF_9.1'!$B$97:$XFD$97</definedName>
    <definedName name="MF__Non_Banking_Assets_10.">'[3]MF_9.1'!$B$147:$XFD$147</definedName>
    <definedName name="MF__Other_Assets_8.">'[3]MF_9.1'!$B$130:$XFD$130</definedName>
    <definedName name="MF__Other_Liabilities___Provisions_5.">'[3]MF_9.1'!$B$45:$XFD$45</definedName>
    <definedName name="MF__Others_2.2">'[3]MF_9.1'!$B$30:$XFD$30</definedName>
    <definedName name="MF__Paid_up_Capital_1.1">'[3]MF_9.1'!$B$6:$XFD$6</definedName>
    <definedName name="MF__Profit___Loss_A_c_7.">'[3]MF_9.1'!$B$79:$XFD$79</definedName>
    <definedName name="MF__Profit___Loss_Account_12.">'[3]MF_9.1'!$B$151:$XFD$151</definedName>
    <definedName name="MF__Reconciliation_A_c_6.">'[3]MF_9.1'!$B$75:$XFD$75</definedName>
    <definedName name="MF__Reconciliation_Account_11.">'[3]MF_9.1'!$B$148:$XFD$148</definedName>
    <definedName name="MF__Retained_Earning_1.6">'[3]MF_9.1'!$B$14:$XFD$14</definedName>
    <definedName name="MF__Shares___Other_Investments_5.">'[3]MF_9.1'!$B$111:$XFD$111</definedName>
    <definedName name="MF_Additional_Loan_Loss_Provision_6.1.3">'[3]MF_9.2'!$B$34:$XFD$34</definedName>
    <definedName name="MF_Bills_Purchase_and_Discount_2.1">'[3]MF_9.2'!$B$58:$XFD$58</definedName>
    <definedName name="MF_Commission_2.2">'[3]MF_9.2'!$B$59:$XFD$59</definedName>
    <definedName name="MF_Commission_and_Discount_2.">'[3]MF_9.2'!$B$57:$XFD$57</definedName>
    <definedName name="MF_Commission_Expense_2.">'[3]MF_9.2'!$B$15:$XFD$15</definedName>
    <definedName name="MF_Expenses_Total">'[3]MF_9.2'!$B$44:$XFD$44</definedName>
    <definedName name="MF_General_Loan_loss_Provision_6.1.1">'[3]MF_9.2'!$B$28:$XFD$28</definedName>
    <definedName name="MF_Income_from_Extra_Ordinary_transactions_7.">'[3]MF_9.2'!$B$76:$XFD$76</definedName>
    <definedName name="MF_Income_Total">'[3]MF_9.2'!$B$78:$XFD$78</definedName>
    <definedName name="MF_Interest_Expense_1.">'[3]MF_9.2'!$B$5:$XFD$5</definedName>
    <definedName name="MF_Interest_Income_1.">'[3]MF_9.2'!$B$47:$XFD$47</definedName>
    <definedName name="MF_Loan_loss_Provision_6.1">'[3]MF_9.2'!$B$27:$XFD$27</definedName>
    <definedName name="MF_Loan_Written_Off_7.">'[3]MF_9.2'!$B$39:$XFD$39</definedName>
    <definedName name="MF_Net_Loss_8.">'[3]MF_9.2'!$B$77:$XFD$77</definedName>
    <definedName name="MF_Net_Profit_11.">'[3]MF_9.2'!$B$43:$XFD$43</definedName>
    <definedName name="MF_Non_Operating_Expense_5.">'[3]MF_9.2'!$B$25:$XFD$25</definedName>
    <definedName name="MF_Non_Operating_Income_4.">'[3]MF_9.2'!$B$62:$XFD$62</definedName>
    <definedName name="MF_Office_Operating_Expenses_4.">'[3]MF_9.2'!$B$19:$XFD$19</definedName>
    <definedName name="MF_On_Borrowing_1.2">'[3]MF_9.2'!$B$11:$XFD$11</definedName>
    <definedName name="MF_On_Deposit_Liabilities_1.1">'[3]MF_9.2'!$B$6:$XFD$6</definedName>
    <definedName name="MF_On_Investment_1.2">'[3]MF_9.2'!$B$49:$XFD$49</definedName>
    <definedName name="MF_On_Loans_and_Advances_1.1">'[3]MF_9.2'!$B$48:$XFD$48</definedName>
    <definedName name="MF_Other_Operating_Income_3.">'[3]MF_9.2'!$B$61:$XFD$61</definedName>
    <definedName name="MF_Others_2.3">'[3]MF_9.2'!$B$60:$XFD$60</definedName>
    <definedName name="MF_Provision_for_Income_Tax_10.">'[3]MF_9.2'!$B$42:$XFD$42</definedName>
    <definedName name="MF_Provision_for_Loss_of_Other_Assets_6.4.">'[3]MF_9.2'!$B$38:$XFD$38</definedName>
    <definedName name="MF_Provision_for_Loss_on_Investment_6.3.">'[3]MF_9.2'!$B$37:$XFD$37</definedName>
    <definedName name="MF_Provision_for_Non_Banking_Assets_6.2.">'[3]MF_9.2'!$B$36:$XFD$36</definedName>
    <definedName name="MF_Provision_for_Risk_6.">'[3]MF_9.2'!$B$26:$XFD$26</definedName>
    <definedName name="MF_Provision_for_Staff_Bonus_9.">'[3]MF_9.2'!$B$41:$XFD$41</definedName>
    <definedName name="MF_Recovery_of_written_off_Loan_6.">'[3]MF_9.2'!$B$75:$XFD$75</definedName>
    <definedName name="MF_Special_Loan_Loss_Provision_6.1.2">'[3]MF_9.2'!$B$29:$XFD$29</definedName>
    <definedName name="MF_Staff_Expense_3.">'[3]MF_9.2'!$B$16:$XFD$16</definedName>
    <definedName name="MF_Write_Back_from_Provisions_for_loss_5.">'[3]MF_9.2'!$B$63:$XFD$63</definedName>
    <definedName name="Mining_Related_18">'[3]9.3'!$22:$22</definedName>
    <definedName name="Money_at_Call_3." hidden="1">'[3]9.1'!$B$329:$XFD$329</definedName>
    <definedName name="Nepal_Government_Securities_4.1">'[3]9.1'!$B$345:$XFD$345</definedName>
    <definedName name="Nepalese_Notes___Coins_1.1">'[3]9.1'!$B$309:$XFD$309</definedName>
    <definedName name="Net_Loss_9.">'[3]9.2'!$90:$90</definedName>
    <definedName name="Net_Profit_12.">'[3]9.2'!$52:$52</definedName>
    <definedName name="New_sh" localSheetId="11">#REF!</definedName>
    <definedName name="New_sh">#REF!</definedName>
    <definedName name="new_sheet" localSheetId="11">#REF!</definedName>
    <definedName name="new_sheet">#REF!</definedName>
    <definedName name="Non__Resident_6.3">'[3]9.1'!$B$433:$XFD$433</definedName>
    <definedName name="Non_Banking_Assets_12." hidden="1">'[3]9.1'!$B$507:$XFD$507</definedName>
    <definedName name="Non_Financial_Govt._Institutions_4.4">'[3]9.1'!$B$353:$XFD$353</definedName>
    <definedName name="Non_Financial_Private_Institutions_10.1.2.1.1.7">'[3]9.1'!$B$478:$XFD$478</definedName>
    <definedName name="Non_Financial_Private_Institutions_10.1.2.1.2.3">'[3]9.1'!$B$482:$XFD$482</definedName>
    <definedName name="Non_food_Production_Related_36">'[3]9.3'!$40:$40</definedName>
    <definedName name="Non_Governmental_Securities_3">'[3]9.4'!$7:$7</definedName>
    <definedName name="Non_Operating_Expense_6." hidden="1">'[3]9.2'!$32:$32</definedName>
    <definedName name="Non_Operating_Income_5." hidden="1">'[3]9.2'!$73:$73</definedName>
    <definedName name="Non_Resident_10.1.2.3">'[3]9.1'!$B$486:$XFD$486</definedName>
    <definedName name="Non_Resident_4.6">'[3]9.1'!$B$355:$XFD$355</definedName>
    <definedName name="Non_Resident_5.1.11">'[3]9.1'!$B$368:$XFD$368</definedName>
    <definedName name="NRB_Bonds_1.2.3">'[3]9.2'!$60:$60</definedName>
    <definedName name="NRB_Bonds_4.2">'[3]9.1'!$B$351:$XFD$351</definedName>
    <definedName name="Office_Operating_Expenses_4." hidden="1">'[3]9.2'!$23:$23</definedName>
    <definedName name="On_Agency_Balance_1.3">'[3]9.2'!$62:$62</definedName>
    <definedName name="On_Borrowing_1.2">'[3]9.2'!$15:$15</definedName>
    <definedName name="On_Call_Deposit_1.4">'[3]9.2'!$63:$63</definedName>
    <definedName name="On_Deposit_Liabilities_1.1">'[3]9.2'!$6:$6</definedName>
    <definedName name="On_Loans_and_Advances_1.1">'[3]9.2'!$56:$56</definedName>
    <definedName name="On_Others_1.5">'[3]9.2'!$64:$64</definedName>
    <definedName name="Other_10.1.1.2">'[3]9.1'!$B$466:$XFD$466</definedName>
    <definedName name="Other_Assets_10." hidden="1">'[3]9.1'!$B$462:$XFD$462</definedName>
    <definedName name="Other_Borrowings_2.3">'[3]9.1'!$B$41:$XFD$41</definedName>
    <definedName name="Other_Financial_Institutions_10.1.2.1.1.5">'[3]9.1'!$B$476:$XFD$476</definedName>
    <definedName name="Other_Financial_Institutions_10.1.2.1.2.2">'[3]9.1'!$B$481:$XFD$481</definedName>
    <definedName name="Other_Financial_Institutions_6.1.1.7">'[3]9.1'!$B$418:$XFD$418</definedName>
    <definedName name="Other_Financial_Institutions_6.1.2.4">'[3]9.1'!$B$427:$XFD$427</definedName>
    <definedName name="Other_Funds_2.8">'[3]9.1'!$B$55:$XFD$55</definedName>
    <definedName name="Other_Guarantee_39">'[3]9.4'!$43:$43</definedName>
    <definedName name="Other_Liabilities_5." hidden="1">'[3]9.1'!$B$253:$XFD$253</definedName>
    <definedName name="Other_Licences_Institutions_6">'[3]9.4'!$10:$10</definedName>
    <definedName name="Other_License_Institutions_10.1.2.1.1.2">'[3]9.1'!$B$473:$XFD$473</definedName>
    <definedName name="Other_Non_agricultural_Product_19">'[3]9.4'!$23:$23</definedName>
    <definedName name="Other_Non_Financial_Institutions_4.5">'[3]9.1'!$B$354:$XFD$354</definedName>
    <definedName name="Other_Operating_Income_4." hidden="1">'[3]9.2'!$72:$72</definedName>
    <definedName name="Other_Product_40" hidden="1">'[3]9.3ka'!$44:$44</definedName>
    <definedName name="Other_Reserve___Funds_1.7" hidden="1">'[3]9.1'!$B$16:$XFD$16</definedName>
    <definedName name="Other_Reserve_1.11" hidden="1">'[3]9.1'!$B$28:$XFD$28</definedName>
    <definedName name="Other_Services_109">'[3]9.3'!$113:$113</definedName>
    <definedName name="Others_10.1.3">'[3]9.1'!$B$490:$XFD$490</definedName>
    <definedName name="Others_10.11">'[3]9.1'!$B$502:$XFD$502</definedName>
    <definedName name="Others_2.3">'[3]9.2'!$68:$68</definedName>
    <definedName name="Others_3.9" hidden="1">'[3]9.1'!$B$237:$XFD$237</definedName>
    <definedName name="Others_Collateralwise_41">'[3]9.4'!$45:$45</definedName>
    <definedName name="Others_sectorwise_122">'[3]9.3'!$126:$126</definedName>
    <definedName name="Overdraft_6" hidden="1">'[3]9.3ka'!$10:$10</definedName>
    <definedName name="Overdue_Fixed_Deposits_3.8" hidden="1">'[3]9.1'!$B$236:$XFD$236</definedName>
    <definedName name="Own_5">'[3]9.4'!$9:$9</definedName>
    <definedName name="Paid_up_Capital_1.1" hidden="1">'[6]9.1'!$B$6:$XFD$6</definedName>
    <definedName name="Pension_Fund___Insurance_10.1.2.1.1.4">'[3]9.1'!$B$475:$XFD$475</definedName>
    <definedName name="Pension_Fund___Insurance_Companies_6.1.1.6">'[3]9.1'!$B$417:$XFD$417</definedName>
    <definedName name="Personal_Guarantee_36">'[3]9.4'!$40:$40</definedName>
    <definedName name="Poverty_Elimination_Fund_2.6">'[3]9.1'!$B$53:$XFD$53</definedName>
    <definedName name="Power__Gas_and_Water_57">'[3]9.3'!$61:$61</definedName>
    <definedName name="Prepaid_Expenses_10.5">'[3]9.1'!$B$494:$XFD$494</definedName>
    <definedName name="_xlnm.Print_Area" localSheetId="0">'C1'!$B$2:$P$51</definedName>
    <definedName name="_xlnm.Print_Area" localSheetId="16">'C17'!$A$1:$H$114</definedName>
    <definedName name="_xlnm.Print_Area" localSheetId="17">'C18'!$A$1:$I$114</definedName>
    <definedName name="_xlnm.Print_Area" localSheetId="18">'C19'!$A$1:$K$114</definedName>
    <definedName name="_xlnm.Print_Area" localSheetId="1">'C2'!$B$2:$E$51</definedName>
    <definedName name="_xlnm.Print_Area" localSheetId="19">'C20'!$A$1:$I$114</definedName>
    <definedName name="_xlnm.Print_Area" localSheetId="20">'C21'!$A$1:$G$160</definedName>
    <definedName name="_xlnm.Print_Area" localSheetId="21">'C22'!$A$1:$E$160</definedName>
    <definedName name="_xlnm.Print_Area" localSheetId="22">'C23'!$A$1:$D$91</definedName>
    <definedName name="_xlnm.Print_Area" localSheetId="23">'C24'!$A$1:$D$70</definedName>
    <definedName name="_xlnm.Print_Area" localSheetId="24">'C25'!$A$1:$G$46</definedName>
    <definedName name="_xlnm.Print_Area" localSheetId="2">'C3'!$B$1:$J$29</definedName>
    <definedName name="_xlnm.Print_Area" localSheetId="3">'C4'!$A$1:$G$55</definedName>
    <definedName name="Private_Non_Financial_Corporations_6.1.1.11">'[3]9.1'!$B$422:$XFD$422</definedName>
    <definedName name="Private_Non_Financial_Institutions_6.1.2.6">'[3]9.1'!$B$429:$XFD$429</definedName>
    <definedName name="Profit___Loss_A_c_8.">'[3]9.1'!$B$301:$XFD$301</definedName>
    <definedName name="Profit___Loss_Account_15.">'[3]9.1'!$B$522:$XFD$522</definedName>
    <definedName name="Proposed_Bonus_Share_1.3">'[3]9.1'!$B$12:$XFD$12</definedName>
    <definedName name="Provision_for_Income_Tax_11." hidden="1">'[3]9.2'!$51:$51</definedName>
    <definedName name="Provision_for_Loss_of_Other_Assets_7.5.">'[3]9.2'!$47:$47</definedName>
    <definedName name="Provision_for_Loss_on_Investment_7.3.">'[3]9.2'!$45:$45</definedName>
    <definedName name="Provision_for_Non_Banking_Assets_7.2.">'[3]9.2'!$44:$44</definedName>
    <definedName name="Provision_for_Risk_7." hidden="1">'[3]9.2'!$33:$33</definedName>
    <definedName name="Provision_for_Staff_Bonus_10." hidden="1">'[3]9.2'!$50:$50</definedName>
    <definedName name="Real_Estate_Loan_22" hidden="1">'[3]9.3ka'!$26:$26</definedName>
    <definedName name="Reconciliation_A_c_6.">'[3]9.1'!$B$287:$XFD$287</definedName>
    <definedName name="Reconciliation_Account_13.">'[3]9.1'!$B$508:$XFD$508</definedName>
    <definedName name="Recovery_of_written_off_Loan_7." hidden="1">'[3]9.2'!$88:$88</definedName>
    <definedName name="Residential_Personal_Home_Loan__Up_to_Rs._10_million__21" hidden="1">'[3]9.3ka'!$25:$25</definedName>
    <definedName name="Retained_Earning_1.6" hidden="1">'[3]9.1'!$B$15:$XFD$15</definedName>
    <definedName name="Rural_Self_Reliance_Fund_2.7">'[3]9.1'!$B$54:$XFD$54</definedName>
    <definedName name="Saving___Credit_Cooperatives_10.1.2.1.1.3">'[3]9.1'!$B$474:$XFD$474</definedName>
    <definedName name="Saving___Credit_Cooperatives_6.1.1.5">'[3]9.1'!$B$416:$XFD$416</definedName>
    <definedName name="Saving_Account_1.1.1">'[3]9.2'!$7:$7</definedName>
    <definedName name="Share_Premium_1.5">'[3]9.1'!$B$14:$XFD$14</definedName>
    <definedName name="Shares___Other_Investments_5." hidden="1">'[3]9.1'!$B$356:$XFD$356</definedName>
    <definedName name="Special_Loan_Loss_Provision_7.1.2">'[3]9.2'!$36:$36</definedName>
    <definedName name="Staff_Expense_3." hidden="1">'[3]9.2'!$20:$20</definedName>
    <definedName name="Staff_Loan_Advance_10.3">'[3]9.1'!$B$492:$XFD$492</definedName>
    <definedName name="Stationary_Stock_10.2">'[3]9.1'!$B$491:$XFD$491</definedName>
    <definedName name="Sundry_Creditors_5.1">'[3]9.1'!$B$254:$XFD$254</definedName>
    <definedName name="Sundry_Debtors_10.4">'[3]9.1'!$B$493:$XFD$493</definedName>
    <definedName name="Term_Loan_1" hidden="1">'[3]9.3ka'!$5:$5</definedName>
    <definedName name="Total_Collateral_wise_42">'[3]9.4'!$46:$46</definedName>
    <definedName name="TOTAL_Produwisec">'[3]9.3ka'!$55:$55</definedName>
    <definedName name="TOTAL_sectorwise_123">'[3]9.3'!$127:$127</definedName>
    <definedName name="Transport__Communication_and_Public_Utilities_78">'[3]9.3'!$82:$82</definedName>
    <definedName name="Trust_Receipt_Loan___Import_Loan_11" hidden="1">'[3]9.3ka'!$15:$15</definedName>
    <definedName name="Up_to_3_months_Fixed_Account_1.1.2.1">'[3]9.2'!$9:$9</definedName>
    <definedName name="Wholesaler___Retailer_86">'[3]9.3'!$90:$90</definedName>
    <definedName name="Write_Back_from_Provisions_for_loss_6." hidden="1">'[3]9.2'!$74:$74</definedName>
    <definedName name="Youth_Selfemployment_Fund_10.1.2.4">'[3]9.1'!$B$489:$XFD$489</definedName>
    <definedName name="Youth_Selfemployment_Fund_2.5">'[3]9.1'!$B$52:$XFD$52</definedName>
    <definedName name="Youth_Selfemployment_Fund_6.4">'[3]9.1'!$B$436:$XFD$436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0" i="11" l="1"/>
  <c r="I40" i="11"/>
  <c r="J39" i="11"/>
  <c r="I39" i="11"/>
  <c r="J38" i="11"/>
  <c r="I38" i="11"/>
  <c r="J37" i="11"/>
  <c r="I37" i="11"/>
  <c r="J36" i="11"/>
  <c r="I36" i="11"/>
  <c r="J35" i="11"/>
  <c r="I35" i="11"/>
  <c r="J34" i="11"/>
  <c r="I34" i="11"/>
  <c r="J33" i="11"/>
  <c r="I33" i="11"/>
  <c r="J32" i="11"/>
  <c r="I32" i="11"/>
  <c r="J31" i="11"/>
  <c r="I31" i="11"/>
  <c r="J30" i="11"/>
  <c r="I30" i="11"/>
  <c r="J29" i="11"/>
  <c r="I29" i="11"/>
  <c r="J28" i="11"/>
  <c r="I28" i="11"/>
  <c r="J27" i="11"/>
  <c r="I27" i="11"/>
  <c r="J26" i="11"/>
  <c r="I26" i="11"/>
  <c r="J25" i="11"/>
  <c r="I25" i="11"/>
  <c r="J23" i="11"/>
  <c r="I23" i="11"/>
  <c r="J22" i="11"/>
  <c r="I22" i="11"/>
  <c r="J21" i="11"/>
  <c r="I21" i="11"/>
  <c r="J20" i="11"/>
  <c r="I20" i="11"/>
  <c r="J19" i="11"/>
  <c r="I19" i="11"/>
  <c r="J18" i="11"/>
  <c r="I18" i="11"/>
  <c r="J17" i="11"/>
  <c r="I17" i="11"/>
  <c r="J16" i="11"/>
  <c r="I16" i="11"/>
  <c r="J15" i="11"/>
  <c r="I15" i="11"/>
  <c r="J14" i="11"/>
  <c r="I14" i="11"/>
  <c r="J13" i="11"/>
  <c r="I13" i="11"/>
  <c r="J12" i="11"/>
  <c r="I12" i="11"/>
  <c r="J11" i="11"/>
  <c r="I11" i="11"/>
  <c r="J10" i="11"/>
  <c r="I10" i="11"/>
  <c r="J9" i="11"/>
  <c r="I9" i="11"/>
  <c r="J8" i="11"/>
  <c r="I8" i="11"/>
  <c r="J7" i="11"/>
  <c r="I7" i="11"/>
  <c r="U5" i="7"/>
  <c r="AC5" i="7" s="1"/>
  <c r="S5" i="7"/>
  <c r="AA5" i="7" s="1"/>
  <c r="O5" i="7"/>
  <c r="W5" i="7" s="1"/>
  <c r="AE5" i="7" s="1"/>
  <c r="N5" i="7"/>
  <c r="V5" i="7" s="1"/>
  <c r="AD5" i="7" s="1"/>
  <c r="M5" i="7"/>
  <c r="L5" i="7"/>
  <c r="T5" i="7" s="1"/>
  <c r="AB5" i="7" s="1"/>
  <c r="K5" i="7"/>
  <c r="N4" i="7"/>
  <c r="V4" i="7" s="1"/>
  <c r="AD4" i="7" s="1"/>
  <c r="K4" i="7"/>
  <c r="S4" i="7" s="1"/>
  <c r="AA4" i="7" s="1"/>
  <c r="O4" i="7"/>
  <c r="W4" i="7" s="1"/>
  <c r="AE4" i="7" s="1"/>
  <c r="T5" i="6"/>
  <c r="AB5" i="6" s="1"/>
  <c r="N5" i="6"/>
  <c r="V5" i="6" s="1"/>
  <c r="AD5" i="6" s="1"/>
  <c r="L5" i="6"/>
  <c r="O5" i="6"/>
  <c r="W5" i="6" s="1"/>
  <c r="AE5" i="6" s="1"/>
  <c r="M5" i="6"/>
  <c r="U5" i="6" s="1"/>
  <c r="AC5" i="6" s="1"/>
  <c r="K5" i="6"/>
  <c r="S5" i="6" s="1"/>
  <c r="AA5" i="6" s="1"/>
  <c r="S4" i="6"/>
  <c r="AA4" i="6" s="1"/>
  <c r="N4" i="6"/>
  <c r="V4" i="6" s="1"/>
  <c r="AD4" i="6" s="1"/>
  <c r="K4" i="6"/>
  <c r="P5" i="5"/>
  <c r="X5" i="5" s="1"/>
  <c r="AF5" i="5" s="1"/>
  <c r="O5" i="5"/>
  <c r="W5" i="5" s="1"/>
  <c r="AE5" i="5" s="1"/>
  <c r="N5" i="5"/>
  <c r="V5" i="5" s="1"/>
  <c r="AD5" i="5" s="1"/>
  <c r="M5" i="5"/>
  <c r="U5" i="5" s="1"/>
  <c r="AC5" i="5" s="1"/>
  <c r="L5" i="5"/>
  <c r="T5" i="5" s="1"/>
  <c r="AB5" i="5" s="1"/>
  <c r="AE4" i="5"/>
  <c r="AB4" i="5"/>
  <c r="X4" i="5"/>
  <c r="W4" i="5"/>
  <c r="T4" i="5"/>
  <c r="P4" i="5"/>
  <c r="O4" i="5"/>
  <c r="G4" i="6"/>
  <c r="O4" i="6" s="1"/>
  <c r="W4" i="6" s="1"/>
  <c r="AE4" i="6" s="1"/>
  <c r="L4" i="5"/>
  <c r="AF4" i="5" l="1"/>
  <c r="H88" i="14"/>
  <c r="I88" i="14"/>
  <c r="E88" i="14"/>
  <c r="F88" i="14"/>
  <c r="G88" i="14"/>
</calcChain>
</file>

<file path=xl/sharedStrings.xml><?xml version="1.0" encoding="utf-8"?>
<sst xmlns="http://schemas.openxmlformats.org/spreadsheetml/2006/main" count="3392" uniqueCount="1234">
  <si>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</si>
  <si>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</si>
  <si>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</si>
  <si>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</si>
  <si>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</si>
  <si>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</si>
  <si>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</si>
  <si>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</si>
  <si>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</si>
  <si>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</si>
  <si>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</si>
  <si>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</si>
  <si>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</si>
  <si>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</si>
  <si>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</si>
  <si>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</si>
  <si>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</si>
  <si>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</si>
  <si>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</si>
  <si>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</si>
  <si>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</si>
  <si>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</si>
  <si>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</si>
  <si>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</si>
  <si>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</si>
  <si>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</si>
  <si>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r>
      <t>10.</t>
    </r>
    <r>
      <rPr>
        <sz val="7"/>
        <color theme="1"/>
        <rFont val="Times New Roman"/>
        <family val="1"/>
      </rPr>
      <t xml:space="preserve">      </t>
    </r>
    <r>
      <rPr>
        <sz val="12"/>
        <color theme="1"/>
        <rFont val="Calibri"/>
        <family val="2"/>
        <scheme val="minor"/>
      </rPr>
      <t>Infrastructure Development Bank</t>
    </r>
  </si>
  <si>
    <r>
      <t>a.</t>
    </r>
    <r>
      <rPr>
        <sz val="7"/>
        <color theme="1"/>
        <rFont val="Times New Roman"/>
        <family val="1"/>
      </rPr>
      <t xml:space="preserve">         </t>
    </r>
    <r>
      <rPr>
        <sz val="12"/>
        <color theme="1"/>
        <rFont val="Calibri"/>
        <family val="2"/>
        <scheme val="minor"/>
      </rPr>
      <t>Statement of Assets and Liabilities</t>
    </r>
  </si>
  <si>
    <t>C12</t>
  </si>
  <si>
    <r>
      <t>b.</t>
    </r>
    <r>
      <rPr>
        <sz val="7"/>
        <color theme="1"/>
        <rFont val="Times New Roman"/>
        <family val="1"/>
      </rPr>
      <t xml:space="preserve">         </t>
    </r>
    <r>
      <rPr>
        <sz val="12"/>
        <color theme="1"/>
        <rFont val="Calibri"/>
        <family val="2"/>
        <scheme val="minor"/>
      </rPr>
      <t>Profit &amp; Loss Account</t>
    </r>
  </si>
  <si>
    <t>C13</t>
  </si>
  <si>
    <t>11.   Districtwise Branch List</t>
  </si>
  <si>
    <t>C14</t>
  </si>
  <si>
    <t>12.  Interest Rate Structure of Commercial Banks</t>
  </si>
  <si>
    <t>C15</t>
  </si>
  <si>
    <t>Annexure</t>
  </si>
  <si>
    <r>
      <t>1.</t>
    </r>
    <r>
      <rPr>
        <sz val="7"/>
        <color theme="1"/>
        <rFont val="Times New Roman"/>
        <family val="1"/>
      </rPr>
      <t>    </t>
    </r>
    <r>
      <rPr>
        <sz val="12"/>
        <color theme="1"/>
        <rFont val="Calibri"/>
        <family val="2"/>
        <scheme val="minor"/>
      </rPr>
      <t>List of Bank and Financial Institutions with Short Name</t>
    </r>
  </si>
  <si>
    <t>C16</t>
  </si>
  <si>
    <t xml:space="preserve">                                   </t>
  </si>
  <si>
    <t>Tables</t>
  </si>
  <si>
    <t>A : Liquidity &amp; Capital Adequacy Ratios of A, B, C Class Banks &amp; Financial Institutions</t>
  </si>
  <si>
    <t>C17</t>
  </si>
  <si>
    <t>B : Credit, Deposit Ratios ( A, B, C Class Banks &amp; Financial Institutions)</t>
  </si>
  <si>
    <t>C18</t>
  </si>
  <si>
    <t>C : Financial Access  ( A, B, C Class Banks &amp; Financial Institutions)</t>
  </si>
  <si>
    <t>C19</t>
  </si>
  <si>
    <t>D : Interest Rate of Commercial Banks</t>
  </si>
  <si>
    <t>C20</t>
  </si>
  <si>
    <t xml:space="preserve">E : Deposits of A,B,C Class Banks and Financial Institutions </t>
  </si>
  <si>
    <t>C21</t>
  </si>
  <si>
    <t>F : Paid-Up Capital of Commercial Banks</t>
  </si>
  <si>
    <t>C22</t>
  </si>
  <si>
    <t>G : Base Rate of Commercial Banks</t>
  </si>
  <si>
    <t>C23</t>
  </si>
  <si>
    <t>H : Spread Rate of Commercial Banks</t>
  </si>
  <si>
    <t>C24</t>
  </si>
  <si>
    <t>I :  NPL of A, B and C class BFIs</t>
  </si>
  <si>
    <t>C25</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</si>
  <si>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</si>
  <si>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 based on provisional reports submitted to Nepal Rastra Bank.</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</si>
  <si>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</si>
  <si>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</si>
  <si>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</si>
  <si>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</si>
  <si>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</si>
  <si>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</si>
  <si>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</si>
  <si>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</si>
  <si>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</si>
  <si>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</si>
  <si>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</si>
  <si>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</si>
  <si>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</si>
  <si>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</si>
  <si>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</si>
  <si>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</si>
  <si>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</si>
  <si>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</si>
  <si>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</si>
  <si>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</si>
  <si>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</si>
  <si>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</si>
  <si>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</si>
  <si>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</si>
  <si>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</si>
  <si>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</si>
  <si>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</si>
  <si>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</si>
  <si>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</si>
  <si>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</si>
  <si>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</si>
  <si>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</si>
  <si>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</si>
  <si>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Infrastructure Development Bank</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</si>
  <si>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</si>
  <si>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</si>
  <si>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</si>
  <si>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</si>
  <si>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</si>
  <si>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The statistics of Saun 2082 (Mid August 2025) includes statistics of Jeth 2082 (Mid June 2025) (other than Profit and Loss Account) for Karnali Development Bank Limited due to data unavailability.</t>
  </si>
  <si>
    <t>The financial indicators of Microfinance institutions commencing from Asar 2082 (Mid July 2025) also includes NFRS based data based on data submitted by respective microfinance institutions due to applicability of NFRS from microfinance institutions from FY 2081.82</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</si>
  <si>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</si>
  <si>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</si>
  <si>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</si>
  <si>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</si>
  <si>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</si>
  <si>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</si>
  <si>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</si>
  <si>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</si>
  <si>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</si>
  <si>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</si>
  <si>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</si>
  <si>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</si>
  <si>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</si>
  <si>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</si>
  <si>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</si>
  <si>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</si>
  <si>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</si>
  <si>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</si>
  <si>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</si>
  <si>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</si>
  <si>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</si>
  <si>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</si>
  <si>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</si>
  <si>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</si>
  <si>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</si>
  <si>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</si>
  <si>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</si>
  <si>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</si>
  <si>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</si>
  <si>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</si>
  <si>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</si>
  <si>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</si>
  <si>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</si>
  <si>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</si>
  <si>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</si>
  <si>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</si>
  <si>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</si>
  <si>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</si>
  <si>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</si>
  <si>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</si>
  <si>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</si>
  <si>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</si>
  <si>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</si>
  <si>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</si>
  <si>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</si>
  <si>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</si>
  <si>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</si>
  <si>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</si>
  <si>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</si>
  <si>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</si>
  <si>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</si>
  <si>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</si>
  <si>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</si>
  <si>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</si>
  <si>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</si>
  <si>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</si>
  <si>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</si>
  <si>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</si>
  <si>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</si>
  <si>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</si>
  <si>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</si>
  <si>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</si>
  <si>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</si>
  <si>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</si>
  <si>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</si>
  <si>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</si>
  <si>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</si>
  <si>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</si>
  <si>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</si>
  <si>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</si>
  <si>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</si>
  <si>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</si>
  <si>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</si>
  <si>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</si>
  <si>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</si>
  <si>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</si>
  <si>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</si>
  <si>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</si>
  <si>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</si>
  <si>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</si>
  <si>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</si>
  <si>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</si>
  <si>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</si>
  <si>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</si>
  <si>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</si>
  <si>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</si>
  <si>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</si>
  <si>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</si>
  <si>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</si>
  <si>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</si>
  <si>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</si>
  <si>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</si>
  <si>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</si>
  <si>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</si>
  <si>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</si>
  <si>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</si>
  <si>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</si>
  <si>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</si>
  <si>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</si>
  <si>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</si>
  <si>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</si>
  <si>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</si>
  <si>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</si>
  <si>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</si>
  <si>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</si>
  <si>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</si>
  <si>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</si>
  <si>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</si>
  <si>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</si>
  <si>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</si>
  <si>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</si>
  <si>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</si>
  <si>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</si>
  <si>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</si>
  <si>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</si>
  <si>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</si>
  <si>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</si>
  <si>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</si>
  <si>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</si>
  <si>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</si>
  <si>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</si>
  <si>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</si>
  <si>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</si>
  <si>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</si>
  <si>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</si>
  <si>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</si>
  <si>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</si>
  <si>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</si>
  <si>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</si>
  <si>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</si>
  <si>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</si>
  <si>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</si>
  <si>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</si>
  <si>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</si>
  <si>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</si>
  <si>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</si>
  <si>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</si>
  <si>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</si>
  <si>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</si>
  <si>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</si>
  <si>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</si>
  <si>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</si>
  <si>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</si>
  <si>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</si>
  <si>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</si>
  <si>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</si>
  <si>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Bevarage &amp; Non Food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</si>
  <si>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</si>
  <si>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</si>
  <si>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</si>
  <si>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</si>
  <si>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</si>
  <si>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</si>
  <si>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Tourism Service**</t>
  </si>
  <si>
    <t>Other Services</t>
  </si>
  <si>
    <t>Consumption Loans</t>
  </si>
  <si>
    <t>Local Government</t>
  </si>
  <si>
    <t>Others</t>
  </si>
  <si>
    <t xml:space="preserve">  TOTAL</t>
  </si>
  <si>
    <t xml:space="preserve">Productwise </t>
  </si>
  <si>
    <t>Term Loan</t>
  </si>
  <si>
    <t>Overdraft</t>
  </si>
  <si>
    <t>Cash Credit Loan</t>
  </si>
  <si>
    <t>Trust Receipt Loan / Import Loan</t>
  </si>
  <si>
    <t>Demand &amp; Other Working Capital Loan</t>
  </si>
  <si>
    <t>Residential Personal Home Loan (Up to Rs. 30 million)#</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</si>
  <si>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</si>
  <si>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</si>
  <si>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</si>
  <si>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</si>
  <si>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</si>
  <si>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</si>
  <si>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</si>
  <si>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</si>
  <si>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</si>
  <si>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</si>
  <si>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</si>
  <si>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</si>
  <si>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</si>
  <si>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</si>
  <si>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</si>
  <si>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</si>
  <si>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</si>
  <si>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</si>
  <si>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</si>
  <si>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</si>
  <si>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</si>
  <si>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</si>
  <si>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</si>
  <si>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</si>
  <si>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</si>
  <si>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</si>
  <si>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</si>
  <si>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Note: # As per circular dated 2080-04-12, residential personal home loan upto Rs. 15million has revised upto Rs. 20 million.</t>
  </si>
  <si>
    <t>* Name has been amended to reflect inclusion of non food production(applicable for all previous published monthly statistics report)</t>
  </si>
  <si>
    <t>**Name has been amended to reflect heading as per form 9.3</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</si>
  <si>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</si>
  <si>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</si>
  <si>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</si>
  <si>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</si>
  <si>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</si>
  <si>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</si>
  <si>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</si>
  <si>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</si>
  <si>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</si>
  <si>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</si>
  <si>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</si>
  <si>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</si>
  <si>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</si>
  <si>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</si>
  <si>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</si>
  <si>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</si>
  <si>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</si>
  <si>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</si>
  <si>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</si>
  <si>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</si>
  <si>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</si>
  <si>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</si>
  <si>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</si>
  <si>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</si>
  <si>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</si>
  <si>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</si>
  <si>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</si>
  <si>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</si>
  <si>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</si>
  <si>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</si>
  <si>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</si>
  <si>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</si>
  <si>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</si>
  <si>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</si>
  <si>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</si>
  <si>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</si>
  <si>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</si>
  <si>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</si>
  <si>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</si>
  <si>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</si>
  <si>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</si>
  <si>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</si>
  <si>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</si>
  <si>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</si>
  <si>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</si>
  <si>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</si>
  <si>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</si>
  <si>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</si>
  <si>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</si>
  <si>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</si>
  <si>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</si>
  <si>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</si>
  <si>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</si>
  <si>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</si>
  <si>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</si>
  <si>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</si>
  <si>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</si>
  <si>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</si>
  <si>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</si>
  <si>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</si>
  <si>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</si>
  <si>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</si>
  <si>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</si>
  <si>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</si>
  <si>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</si>
  <si>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</si>
  <si>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</si>
  <si>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</si>
  <si>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</si>
  <si>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</si>
  <si>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</si>
  <si>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</si>
  <si>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</si>
  <si>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</si>
  <si>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</si>
  <si>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</si>
  <si>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</si>
  <si>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</si>
  <si>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</si>
  <si>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</si>
  <si>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</si>
  <si>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</si>
  <si>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</si>
  <si>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</si>
  <si>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</si>
  <si>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</si>
  <si>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</si>
  <si>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</si>
  <si>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</si>
  <si>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</si>
  <si>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</si>
  <si>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</si>
  <si>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</si>
  <si>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</si>
  <si>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Metal Products, Mach. &amp; Ele. Eqp.</t>
  </si>
  <si>
    <t>Tras., Com. and Public Utilities</t>
  </si>
  <si>
    <t>TOTAL sectorwise</t>
  </si>
  <si>
    <t>Product Wise</t>
  </si>
  <si>
    <t>Trust Receipt Loan/Import Loan</t>
  </si>
  <si>
    <t>Short Term Working Capital/Demand Loan</t>
  </si>
  <si>
    <t>Total Product wise Loan</t>
  </si>
  <si>
    <t>Collateral Wise</t>
  </si>
  <si>
    <t>Other Licences Institutions</t>
  </si>
  <si>
    <t>Int. Rtd. Foreign Bank's Guarantee</t>
  </si>
  <si>
    <t>Note: # As per circular dated 2082-03-32, residential personal home loan upto Rs. 20 million has revised upto Rs. 30 million.</t>
  </si>
  <si>
    <t>* Name has been amended to reflect inclusion of non food production(applicable for all previous published reports)</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</si>
  <si>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</si>
  <si>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</si>
  <si>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</si>
  <si>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</si>
  <si>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</si>
  <si>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</si>
  <si>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</si>
  <si>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</si>
  <si>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</si>
  <si>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</si>
  <si>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</si>
  <si>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</si>
  <si>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</si>
  <si>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</si>
  <si>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</si>
  <si>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</si>
  <si>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</si>
  <si>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</si>
  <si>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</si>
  <si>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</si>
  <si>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</si>
  <si>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</si>
  <si>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</si>
  <si>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</si>
  <si>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</si>
  <si>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</si>
  <si>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</si>
  <si>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</si>
  <si>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</si>
  <si>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</si>
  <si>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</si>
  <si>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</si>
  <si>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</si>
  <si>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</si>
  <si>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</si>
  <si>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</si>
  <si>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</si>
  <si>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</si>
  <si>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</si>
  <si>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</si>
  <si>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</si>
  <si>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</si>
  <si>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</si>
  <si>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</si>
  <si>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</si>
  <si>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</si>
  <si>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</si>
  <si>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</si>
  <si>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</si>
  <si>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</si>
  <si>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</si>
  <si>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</si>
  <si>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</si>
  <si>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</si>
  <si>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</si>
  <si>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</si>
  <si>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Infrastructure Development Bank Name</t>
  </si>
  <si>
    <t>d. Others</t>
  </si>
  <si>
    <t>b. NRB Bond &amp; Deposit collection</t>
  </si>
  <si>
    <t xml:space="preserve">     a. Infrastructure Project</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</si>
  <si>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</si>
  <si>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</si>
  <si>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</si>
  <si>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</si>
  <si>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</si>
  <si>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</si>
  <si>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</si>
  <si>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</si>
  <si>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</si>
  <si>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</si>
  <si>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</si>
  <si>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</si>
  <si>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</si>
  <si>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</si>
  <si>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</si>
  <si>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</si>
  <si>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</si>
  <si>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</si>
  <si>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</si>
  <si>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</si>
  <si>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</si>
  <si>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</si>
  <si>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</si>
  <si>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</si>
  <si>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</si>
  <si>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</si>
  <si>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</si>
  <si>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</si>
  <si>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</si>
  <si>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</si>
  <si>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</si>
  <si>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</si>
  <si>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</si>
  <si>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</si>
  <si>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</si>
  <si>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</si>
  <si>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</si>
  <si>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</si>
  <si>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</si>
  <si>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</si>
  <si>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</si>
  <si>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</si>
  <si>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</si>
  <si>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</si>
  <si>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</si>
  <si>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</si>
  <si>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</si>
  <si>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</si>
  <si>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</si>
  <si>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</si>
  <si>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</si>
  <si>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</si>
  <si>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</si>
  <si>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</si>
  <si>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</si>
  <si>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</si>
  <si>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</si>
  <si>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</si>
  <si>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</si>
  <si>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</si>
  <si>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</si>
  <si>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</si>
  <si>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</si>
  <si>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</si>
  <si>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</si>
  <si>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</si>
  <si>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</si>
  <si>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</si>
  <si>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</si>
  <si>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</si>
  <si>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</si>
  <si>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</si>
  <si>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</si>
  <si>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</si>
  <si>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</si>
  <si>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</si>
  <si>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</si>
  <si>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</si>
  <si>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</si>
  <si>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</si>
  <si>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</si>
  <si>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</si>
  <si>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</si>
  <si>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</si>
  <si>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</si>
  <si>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</si>
  <si>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</si>
  <si>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</si>
  <si>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</si>
  <si>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t>C</t>
  </si>
  <si>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</si>
  <si>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</si>
  <si>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</si>
  <si>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</si>
  <si>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</si>
  <si>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</si>
  <si>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Total 
(A+B+C)</t>
  </si>
  <si>
    <t>Total
(A+B+C+D)</t>
  </si>
  <si>
    <t>Weighted Average Interest Rate Structure of Commercial Banks</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</si>
  <si>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</si>
  <si>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</si>
  <si>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</si>
  <si>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</si>
  <si>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</si>
  <si>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</si>
  <si>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</si>
  <si>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</si>
  <si>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</si>
  <si>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</si>
  <si>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</si>
  <si>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</si>
  <si>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</si>
  <si>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</si>
  <si>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</si>
  <si>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</si>
  <si>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</si>
  <si>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</si>
  <si>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</si>
  <si>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</si>
  <si>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</si>
  <si>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</si>
  <si>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</si>
  <si>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</si>
  <si>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</si>
  <si>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</si>
  <si>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</si>
  <si>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</si>
  <si>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</si>
  <si>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</si>
  <si>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</si>
  <si>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</si>
  <si>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</si>
  <si>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</si>
  <si>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</si>
  <si>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</si>
  <si>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</si>
  <si>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</si>
  <si>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</si>
  <si>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</si>
  <si>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</si>
  <si>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</si>
  <si>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</si>
  <si>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</si>
  <si>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</si>
  <si>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</si>
  <si>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</si>
  <si>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</si>
  <si>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</si>
  <si>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</si>
  <si>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</si>
  <si>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</si>
  <si>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</si>
  <si>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</si>
  <si>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</si>
  <si>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</si>
  <si>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</si>
  <si>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</si>
  <si>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</si>
  <si>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</si>
  <si>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</si>
  <si>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</si>
  <si>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</si>
  <si>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</si>
  <si>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</si>
  <si>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</si>
  <si>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</si>
  <si>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</si>
  <si>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</si>
  <si>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</si>
  <si>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</si>
  <si>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</si>
  <si>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</si>
  <si>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</si>
  <si>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Chaitra, 2078 (Mid Apr, 2022)</t>
  </si>
  <si>
    <t>Baishakh, 2079 (Mid May, 2022)</t>
  </si>
  <si>
    <t>Jestha, 2079 (Mid June, 2022)</t>
  </si>
  <si>
    <t>Asar, 2079 (Mid July, 2022)</t>
  </si>
  <si>
    <t>Shrawan, 2079 (Mid Aug, 2022)</t>
  </si>
  <si>
    <t>Bhadra, 2079 (Mid Sept, 2022)</t>
  </si>
  <si>
    <t>Ashwin, 2079 (Mid Oct, 2022)</t>
  </si>
  <si>
    <t>Kartik, 2079 (Mid Nov, 2022)</t>
  </si>
  <si>
    <t>Mangsir, 2079 (Mid Dec, 2022)</t>
  </si>
  <si>
    <t>Poush, 2079 (Mid Jan, 2023)</t>
  </si>
  <si>
    <t>Magh, 2079 (Mid Feb, 2023)</t>
  </si>
  <si>
    <t>Falgun, 2079 (Mid Mar, 2023)</t>
  </si>
  <si>
    <t>Chaitra, 2079 (Mid Apr, 2023)</t>
  </si>
  <si>
    <t>Baisakh, 2080 (Mid May, 2023)</t>
  </si>
  <si>
    <t>Jestha, 2080 (Mid June, 2023)</t>
  </si>
  <si>
    <t>Ashadh, 2080 (Mid July, 2023)</t>
  </si>
  <si>
    <t>Shrawan, 2080 (Mid Aug, 2023)</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</si>
  <si>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</si>
  <si>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</si>
  <si>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</si>
  <si>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</si>
  <si>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</si>
  <si>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</si>
  <si>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</si>
  <si>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</si>
  <si>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</si>
  <si>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</si>
  <si>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</si>
  <si>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</si>
  <si>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</si>
  <si>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</si>
  <si>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</si>
  <si>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</si>
  <si>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</si>
  <si>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</si>
  <si>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</si>
  <si>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</si>
  <si>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</si>
  <si>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</si>
  <si>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Hotel or Restaurant</t>
  </si>
  <si>
    <t>Overall Summary of Interest Rate on LCY Productwise Credit</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</si>
  <si>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</si>
  <si>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</si>
  <si>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</si>
  <si>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</si>
  <si>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</si>
  <si>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</si>
  <si>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</si>
  <si>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</si>
  <si>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</si>
  <si>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Table B : Liquidity &amp; Capital Adequacy Ratios of A, B, C Class Banks &amp; Financial Institutions</t>
  </si>
  <si>
    <t>Fiscal Year</t>
  </si>
  <si>
    <t>Mid- Month</t>
  </si>
  <si>
    <t>Cash &amp; Bank Balance/Total Deposit</t>
  </si>
  <si>
    <t>Total Liquid Assets/Total Deposit</t>
  </si>
  <si>
    <t>Core Capital/RWA</t>
  </si>
  <si>
    <t>Total Capital/RWA</t>
  </si>
  <si>
    <t>2016/17</t>
  </si>
  <si>
    <t>August</t>
  </si>
  <si>
    <t>September</t>
  </si>
  <si>
    <t>October</t>
  </si>
  <si>
    <t>November</t>
  </si>
  <si>
    <t>December</t>
  </si>
  <si>
    <t>January</t>
  </si>
  <si>
    <t>February</t>
  </si>
  <si>
    <t>March</t>
  </si>
  <si>
    <t>April</t>
  </si>
  <si>
    <t>May</t>
  </si>
  <si>
    <t>June</t>
  </si>
  <si>
    <t>July</t>
  </si>
  <si>
    <t>2017/18</t>
  </si>
  <si>
    <t>2018/19</t>
  </si>
  <si>
    <t>2019/20</t>
  </si>
  <si>
    <t>2020/21</t>
  </si>
  <si>
    <t>2021/22</t>
  </si>
  <si>
    <t>2022/23</t>
  </si>
  <si>
    <t>2023/24</t>
  </si>
  <si>
    <t>2024/25</t>
  </si>
  <si>
    <t>2025/26</t>
  </si>
  <si>
    <t>Table A : Credit, Deposit Ratios ( A, B, C Class Banks &amp; Financial Institutions)</t>
  </si>
  <si>
    <t>Mid-Month</t>
  </si>
  <si>
    <t>Total Deposit/GDP</t>
  </si>
  <si>
    <t>Total Credit/GDP</t>
  </si>
  <si>
    <t>Total Credit/Total Deposit</t>
  </si>
  <si>
    <t>NPL/ Total Loan</t>
  </si>
  <si>
    <t>Deprived Sector Loan/ Total Loan</t>
  </si>
  <si>
    <t>Table C : Financial Access  ( A, B, C Class Banks &amp; Financial Institutions)</t>
  </si>
  <si>
    <t>Number of Branches</t>
  </si>
  <si>
    <t>Number of Deposit Accounts</t>
  </si>
  <si>
    <t>Number of Loan Accounts</t>
  </si>
  <si>
    <t>Mobile Banking Customers</t>
  </si>
  <si>
    <t>Internet Banking Customers</t>
  </si>
  <si>
    <t>Number of ATMs</t>
  </si>
  <si>
    <t>Number of Debit Cards</t>
  </si>
  <si>
    <t>Table D : Interest Rate of Commercial Banks</t>
  </si>
  <si>
    <t>Weighted Average Interest Rate on Deposit</t>
  </si>
  <si>
    <t>Saving Deposit</t>
  </si>
  <si>
    <t>Fixed Deposit</t>
  </si>
  <si>
    <t>Call Deposit</t>
  </si>
  <si>
    <t>Weighted Average Interest Rate on Credit</t>
  </si>
  <si>
    <t>Table E : Deposits of A, B, C Class Banks and Financial Institutions</t>
  </si>
  <si>
    <t>Total Deposits</t>
  </si>
  <si>
    <t>Savings</t>
  </si>
  <si>
    <t>Fixed</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</si>
  <si>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</si>
  <si>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</si>
  <si>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</si>
  <si>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</si>
  <si>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</si>
  <si>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</si>
  <si>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</si>
  <si>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</si>
  <si>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</si>
  <si>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</si>
  <si>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</si>
  <si>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</si>
  <si>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</si>
  <si>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</si>
  <si>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</si>
  <si>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</si>
  <si>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</si>
  <si>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</si>
  <si>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</si>
  <si>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</si>
  <si>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</si>
  <si>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</si>
  <si>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</si>
  <si>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</si>
  <si>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</si>
  <si>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</si>
  <si>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</si>
  <si>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</si>
  <si>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</si>
  <si>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</si>
  <si>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</si>
  <si>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</si>
  <si>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</si>
  <si>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</si>
  <si>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</si>
  <si>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</si>
  <si>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</si>
  <si>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</si>
  <si>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</si>
  <si>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</si>
  <si>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</si>
  <si>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</si>
  <si>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</si>
  <si>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</si>
  <si>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</si>
  <si>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</si>
  <si>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</si>
  <si>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</si>
  <si>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</si>
  <si>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</si>
  <si>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</si>
  <si>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</si>
  <si>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</si>
  <si>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</si>
  <si>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</si>
  <si>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</si>
  <si>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</si>
  <si>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</si>
  <si>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</si>
  <si>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</si>
  <si>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</si>
  <si>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</si>
  <si>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</si>
  <si>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</si>
  <si>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</si>
  <si>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</si>
  <si>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</si>
  <si>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</si>
  <si>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</si>
  <si>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</si>
  <si>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</si>
  <si>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</si>
  <si>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</si>
  <si>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</si>
  <si>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</si>
  <si>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</si>
  <si>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</si>
  <si>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</si>
  <si>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</si>
  <si>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</si>
  <si>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</si>
  <si>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</si>
  <si>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</si>
  <si>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</si>
  <si>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</si>
  <si>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</si>
  <si>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</si>
  <si>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</si>
  <si>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</si>
  <si>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</si>
  <si>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</si>
  <si>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</si>
  <si>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</si>
  <si>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</si>
  <si>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</si>
  <si>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</si>
  <si>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</si>
  <si>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</si>
  <si>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</si>
  <si>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</si>
  <si>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</si>
  <si>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</si>
  <si>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</si>
  <si>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</si>
  <si>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</si>
  <si>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</si>
  <si>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</si>
  <si>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</si>
  <si>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</si>
  <si>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</si>
  <si>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</si>
  <si>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</si>
  <si>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</si>
  <si>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</si>
  <si>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</si>
  <si>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</si>
  <si>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</si>
  <si>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</si>
  <si>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</si>
  <si>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</si>
  <si>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</si>
  <si>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</si>
  <si>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</si>
  <si>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</si>
  <si>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</si>
  <si>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</si>
  <si>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</si>
  <si>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</si>
  <si>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</si>
  <si>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</si>
  <si>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</si>
  <si>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</si>
  <si>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</si>
  <si>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</si>
  <si>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</si>
  <si>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</si>
  <si>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</si>
  <si>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</si>
  <si>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</si>
  <si>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</si>
  <si>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</si>
  <si>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</si>
  <si>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</si>
  <si>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</si>
  <si>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</si>
  <si>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</si>
  <si>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</si>
  <si>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</si>
  <si>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</si>
  <si>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</si>
  <si>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</si>
  <si>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</si>
  <si>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</si>
  <si>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</si>
  <si>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</si>
  <si>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Table F : Paid-Up Capital of Commercial Banks</t>
  </si>
  <si>
    <t>Paid-Up Capital</t>
  </si>
  <si>
    <t>Table G : Base Rate of Commercial Banks</t>
  </si>
  <si>
    <t>Base Rate</t>
  </si>
  <si>
    <t>2022-01</t>
  </si>
  <si>
    <t>Table H : Spread Rate of Commercial Banks</t>
  </si>
  <si>
    <t>Spread Rate</t>
  </si>
  <si>
    <t>Table I : NPL of A, B and C class BFIs</t>
  </si>
  <si>
    <t>A</t>
  </si>
  <si>
    <t>2071-03</t>
  </si>
  <si>
    <t>2072-03</t>
  </si>
  <si>
    <t>2072-06</t>
  </si>
  <si>
    <t>2072-09</t>
  </si>
  <si>
    <t>2072-12</t>
  </si>
  <si>
    <t>2073-03</t>
  </si>
  <si>
    <t>2073-06</t>
  </si>
  <si>
    <t>2073-09</t>
  </si>
  <si>
    <t>2073-12</t>
  </si>
  <si>
    <t>2074-03</t>
  </si>
  <si>
    <t>2074-06</t>
  </si>
  <si>
    <t>2074-09</t>
  </si>
  <si>
    <t>2074-12</t>
  </si>
  <si>
    <t>2075-03</t>
  </si>
  <si>
    <t>2075-06</t>
  </si>
  <si>
    <t>2075-09</t>
  </si>
  <si>
    <t>2075-12</t>
  </si>
  <si>
    <t>2076-03</t>
  </si>
  <si>
    <t>2076-06</t>
  </si>
  <si>
    <t>2076-09</t>
  </si>
  <si>
    <t>2076-12</t>
  </si>
  <si>
    <t>2077-03</t>
  </si>
  <si>
    <t>2077-06</t>
  </si>
  <si>
    <t>2077-09</t>
  </si>
  <si>
    <t>2077-12</t>
  </si>
  <si>
    <t>2078-03</t>
  </si>
  <si>
    <t>2078-06</t>
  </si>
  <si>
    <t>2078-09</t>
  </si>
  <si>
    <t>2078-12</t>
  </si>
  <si>
    <t>2079-03</t>
  </si>
  <si>
    <t>2079-06</t>
  </si>
  <si>
    <t>2079-09</t>
  </si>
  <si>
    <t>2079-12</t>
  </si>
  <si>
    <t>2080-03</t>
  </si>
  <si>
    <t>2080-06</t>
  </si>
  <si>
    <t>2080-09</t>
  </si>
  <si>
    <t>2080-12</t>
  </si>
  <si>
    <t>2081-03</t>
  </si>
  <si>
    <t>2081-06</t>
  </si>
  <si>
    <t>2081-09</t>
  </si>
  <si>
    <t>2081-12</t>
  </si>
  <si>
    <t>2082-03</t>
  </si>
  <si>
    <t>2082 Saun</t>
  </si>
  <si>
    <t>(Mid-Aug, 2025)</t>
  </si>
  <si>
    <t>as on Saun End, 2082 (Mid-Aug, 2025)</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</si>
  <si>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</si>
  <si>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</si>
  <si>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</si>
  <si>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</si>
  <si>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</si>
  <si>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</si>
  <si>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</si>
  <si>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</si>
  <si>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</si>
  <si>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Investment in Gov. Securities/Total Deposit</t>
  </si>
  <si>
    <t>C.  Capital Adequacy Ratios (%)</t>
  </si>
  <si>
    <t xml:space="preserve">Core Capital/RWA </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</si>
  <si>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</si>
  <si>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</si>
  <si>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</si>
  <si>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</si>
  <si>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</si>
  <si>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</si>
  <si>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</si>
  <si>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</si>
  <si>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</si>
  <si>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</si>
  <si>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</si>
  <si>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</si>
  <si>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</si>
  <si>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</si>
  <si>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</si>
  <si>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2024/25(P) stands at Rs. 6,107,220 million (Source:https://nsonepal.gov.np/content/13365/annuppout-statistics-regarding-national-audit-of-national/)</t>
  </si>
  <si>
    <t>Number of branches include head office, banking branches and extention counters</t>
  </si>
  <si>
    <t>$ 6 months prior Total Loan has been used to calculate Deprived Sector Lending Ratio</t>
  </si>
  <si>
    <t>^Data as on Ashad end of FY2081/82 (2024/25)</t>
  </si>
  <si>
    <t>2/1</t>
  </si>
  <si>
    <t>3/2</t>
  </si>
  <si>
    <t>4/3</t>
  </si>
  <si>
    <t>NBL</t>
  </si>
  <si>
    <t>RBB</t>
  </si>
  <si>
    <t>NABIL</t>
  </si>
  <si>
    <t>NIMB</t>
  </si>
  <si>
    <t>SCBNL</t>
  </si>
  <si>
    <t>HBL</t>
  </si>
  <si>
    <t>NSBI</t>
  </si>
  <si>
    <t>EBL</t>
  </si>
  <si>
    <t>NIC</t>
  </si>
  <si>
    <t>MBL</t>
  </si>
  <si>
    <t>Kumari</t>
  </si>
  <si>
    <t>Laxmi</t>
  </si>
  <si>
    <t>SBL</t>
  </si>
  <si>
    <t>ADBNL</t>
  </si>
  <si>
    <t>Global</t>
  </si>
  <si>
    <t>Citizen</t>
  </si>
  <si>
    <t>Prime</t>
  </si>
  <si>
    <t>NMB</t>
  </si>
  <si>
    <t>Prabhu</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</si>
  <si>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</si>
  <si>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</si>
  <si>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</si>
  <si>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</si>
  <si>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</si>
  <si>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</si>
  <si>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</si>
  <si>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</si>
  <si>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</si>
  <si>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</si>
  <si>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</si>
  <si>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</si>
  <si>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</si>
  <si>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</si>
  <si>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</si>
  <si>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</si>
  <si>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</si>
  <si>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</si>
  <si>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</si>
  <si>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</si>
  <si>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</si>
  <si>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</si>
  <si>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</si>
  <si>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</si>
  <si>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</si>
  <si>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</si>
  <si>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</si>
  <si>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</si>
  <si>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</si>
  <si>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</si>
  <si>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</si>
  <si>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</si>
  <si>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</si>
  <si>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</si>
  <si>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</si>
  <si>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5/4</t>
  </si>
  <si>
    <t>NIFRA</t>
  </si>
  <si>
    <t>Districtwise List of Banks and Financial Institutions Branches ( Saun, 2082)</t>
  </si>
  <si>
    <t>Koshi</t>
  </si>
  <si>
    <t>Madhesh</t>
  </si>
  <si>
    <t>Bagmati</t>
  </si>
  <si>
    <t>Gandaki</t>
  </si>
  <si>
    <t>Lumbini</t>
  </si>
  <si>
    <t>Sudur Paschim</t>
  </si>
  <si>
    <t>* Population 29,164,578  based on final population report 2078(Census Nepal 2021) Source :</t>
  </si>
  <si>
    <t>https://censusnepal.cbs.gov.np/</t>
  </si>
  <si>
    <t>$ E Refers to Infrastructure Development Bank</t>
  </si>
  <si>
    <t>^ Number of branches include head office, banking branches and extention counters</t>
  </si>
  <si>
    <t>Bhadra, 2080 (Mid Sep, 2023)</t>
  </si>
  <si>
    <t>Asoj, 2080 (Mid Oct, 2023)</t>
  </si>
  <si>
    <t>Kartik, 2080 (Mid Nov, 2023)</t>
  </si>
  <si>
    <t>Mangshir, 2080 (Mid Dec, 2023)</t>
  </si>
  <si>
    <t>Poush, 2080 (Mid Jan, 2024)</t>
  </si>
  <si>
    <t>Magh, 2080 (Mid Feb, 2024)</t>
  </si>
  <si>
    <t>Falgun, 2080 (Mid Mar, 2024)</t>
  </si>
  <si>
    <t>Chaitra, 2080 (Mid April, 2024)</t>
  </si>
  <si>
    <t>Baisakh, 2081 (Mid May, 2024)</t>
  </si>
  <si>
    <t>Jestha, 2081 (Mid June, 2024)</t>
  </si>
  <si>
    <t>Asar, 2081 (Mid July, 2024)</t>
  </si>
  <si>
    <t>Saun, 2081 (Mid Aug, 2024)</t>
  </si>
  <si>
    <t>Bhadra, 2081 (Mid Sep, 2024)</t>
  </si>
  <si>
    <t>Asoj, 2081 (Mid Oct, 2024)</t>
  </si>
  <si>
    <t>Kartik, 2081 (Mid Nov, 2024)</t>
  </si>
  <si>
    <t>Mangshir, 2081 (Mid Dec, 2024)</t>
  </si>
  <si>
    <t>Poush, 2081 (Mid Jan, 2025)</t>
  </si>
  <si>
    <t>Magh, 2081 (Mid Feb, 2025)</t>
  </si>
  <si>
    <t>Falgun, 2081 (Mid March, 2025)</t>
  </si>
  <si>
    <t>Chaitra, 2081 (Mid April, 2025)</t>
  </si>
  <si>
    <t>Baisakh, 2082 (Mid May, 2025)</t>
  </si>
  <si>
    <t>Jestha, 2082 (Mid June, 2025)</t>
  </si>
  <si>
    <t>Ashar, 2082 (Mid July, 2025)</t>
  </si>
  <si>
    <t>Saun, 2082 (Mid Aug, 2025)</t>
  </si>
  <si>
    <t>Nepal Bank Limited</t>
  </si>
  <si>
    <t>Rastriya Banijya Bank</t>
  </si>
  <si>
    <t>Nabil Bank Limited</t>
  </si>
  <si>
    <t>Nepal Investment Mega Bank Limited</t>
  </si>
  <si>
    <t>Standard Chartered Bank Nepal Limited</t>
  </si>
  <si>
    <t>Himalayan Bank Limited</t>
  </si>
  <si>
    <t>Nepal SBI Bank Limited</t>
  </si>
  <si>
    <t>Everest Bank Limited</t>
  </si>
  <si>
    <t>NIC ASIA Bank Limited</t>
  </si>
  <si>
    <t>Machhapuchchhre Bank Limited</t>
  </si>
  <si>
    <t>Kumari Bank Limited</t>
  </si>
  <si>
    <t>Laxmi Sunrise Limited</t>
  </si>
  <si>
    <t>Siddhartha Bank Limited</t>
  </si>
  <si>
    <t>Agriculture Development Bank</t>
  </si>
  <si>
    <t>Global IME Bank Limited</t>
  </si>
  <si>
    <t>Citizens Bank International Limited</t>
  </si>
  <si>
    <t>Prime Commercial Bank Limited</t>
  </si>
  <si>
    <t>NMB Bank Limited</t>
  </si>
  <si>
    <t>Prabhu Bank Limited</t>
  </si>
  <si>
    <t>Sanima Bank Limited</t>
  </si>
  <si>
    <t>Mahalaxmi Bikas Bank Limited</t>
  </si>
  <si>
    <t>Narayani Development Bank Limited</t>
  </si>
  <si>
    <t>Karnali Development Bank Limited</t>
  </si>
  <si>
    <t>Shangrila Development Bank Limited</t>
  </si>
  <si>
    <t>Excel Development Bank Limited</t>
  </si>
  <si>
    <t>Miteri Development Bank Limited</t>
  </si>
  <si>
    <t>Muktinath Bikas Bank Limited</t>
  </si>
  <si>
    <t>Garima Bikas Bank Limited</t>
  </si>
  <si>
    <t>Kamana Sewa Bikash Bank Limited</t>
  </si>
  <si>
    <t>Corporate Development Bank Limited</t>
  </si>
  <si>
    <t>Jyoti Bikas Bank Limited</t>
  </si>
  <si>
    <t>Shine Resunga Development Bank Limited</t>
  </si>
  <si>
    <t>Lumbini Bikas Bank Limited</t>
  </si>
  <si>
    <t>Sindhu Bikas Bank Limited</t>
  </si>
  <si>
    <t>Salapa Bikas Bank Limited</t>
  </si>
  <si>
    <t>Saptakoshi Development Bank Limited</t>
  </si>
  <si>
    <t>Green Development Bank Limited</t>
  </si>
  <si>
    <t>Nepal Finance Limited</t>
  </si>
  <si>
    <t>Nepal Share Markets and Finance Limited</t>
  </si>
  <si>
    <t>Gurkhas Finance Limited</t>
  </si>
  <si>
    <t>Goodwill Finance Limited</t>
  </si>
  <si>
    <t>Shree Investment &amp; Finance Co. Limited</t>
  </si>
  <si>
    <t>Best Finance Limited</t>
  </si>
  <si>
    <t>Progressive Finance Limited</t>
  </si>
  <si>
    <t>Janaki Finance Co. Limited</t>
  </si>
  <si>
    <t>Pokhara Finance Limited</t>
  </si>
  <si>
    <t>Central Finance Limited</t>
  </si>
  <si>
    <t>PFCL</t>
  </si>
  <si>
    <t>Multipurpose Finance Limited</t>
  </si>
  <si>
    <t>Samriddhi Finance Company Limited</t>
  </si>
  <si>
    <t>Capital Merchant Banking &amp; Finance Co. Limited</t>
  </si>
  <si>
    <t>Guheshwori Merchant Banking &amp; Finance Limited</t>
  </si>
  <si>
    <t>ICFC Finance Limited</t>
  </si>
  <si>
    <t>Manjushree Financial Institution Limited</t>
  </si>
  <si>
    <t>Reliance Finance Limited</t>
  </si>
  <si>
    <t>Grameen Bikas Laghubitta Bittiya Sanstha Limited</t>
  </si>
  <si>
    <t>NEPALGBB</t>
  </si>
  <si>
    <t>Nirdhan Utthan Laghubitta Bittiya Sanstha Limited</t>
  </si>
  <si>
    <t>Nirdhan</t>
  </si>
  <si>
    <t>Deprosc Laghubitta Bittiya Sanstha Limited</t>
  </si>
  <si>
    <t>DIPROSC</t>
  </si>
  <si>
    <t>Chhimek Laghubitta Bittiya Sanstha Limited</t>
  </si>
  <si>
    <t>Chhimek</t>
  </si>
  <si>
    <t>Swabalamban Laghubitta Bittiya Sanstha Limited</t>
  </si>
  <si>
    <t>Swalamban</t>
  </si>
  <si>
    <t>Sana Kisan Bikas Laghubitta Bittiya Sanstha Limited</t>
  </si>
  <si>
    <t>Sanakisan</t>
  </si>
  <si>
    <t>Nerude Mirmire Laghubitta Bittiya Sanstha Limited</t>
  </si>
  <si>
    <t>NERUDE</t>
  </si>
  <si>
    <t>Sworojagar Laghubitta Bittiya Sanstha Limited</t>
  </si>
  <si>
    <t>Sworojgar</t>
  </si>
  <si>
    <t>First Microfinance Laghubitta Bittiya Sanstha Limited</t>
  </si>
  <si>
    <t>First</t>
  </si>
  <si>
    <t>Kalika Laghubitta Bittiya Sanstha Ltd.</t>
  </si>
  <si>
    <t>Kalika</t>
  </si>
  <si>
    <t>Janautthan Samudayik Laghubitta Bittiya Sanstha Ltd.</t>
  </si>
  <si>
    <t>Jana</t>
  </si>
  <si>
    <t>Mithila Laghubitta Bittiya Sanstha Ltd.</t>
  </si>
  <si>
    <t>Mithila</t>
  </si>
  <si>
    <t>Suryodaya Womi Laghubitta Bittiya Sanstha Ltd.</t>
  </si>
  <si>
    <t>SWomi</t>
  </si>
  <si>
    <t>Laxmi Laghubitta Bittiya Sanstha Ltd.</t>
  </si>
  <si>
    <t>LaxmiMF</t>
  </si>
  <si>
    <t>Himalayan Laghubitta Bittiya Sanstha Limited</t>
  </si>
  <si>
    <t>HimalayanMF</t>
  </si>
  <si>
    <t>Vijaya Laghubitta Bittiya Sanstha Ltd.</t>
  </si>
  <si>
    <t>VijayMF</t>
  </si>
  <si>
    <t>NMB Laghubitta Bittiya Sanstha Ltd.</t>
  </si>
  <si>
    <t>NMBMF</t>
  </si>
  <si>
    <t>Forward Microfinance Laghubitta Bittiya Sanstha Ltd.</t>
  </si>
  <si>
    <t>ForwardMF</t>
  </si>
  <si>
    <t>Global IME Laghubitta Bittiya Sanstha Limited</t>
  </si>
  <si>
    <t>GIMEMF</t>
  </si>
  <si>
    <t>Mahuli Laghubitta Bittiya Sanstha Ltd.</t>
  </si>
  <si>
    <t>MahuliMF</t>
  </si>
  <si>
    <t>Meromicrofinance Laghubitta Bittiya Sanatha Ltd.</t>
  </si>
  <si>
    <t>MeroMF</t>
  </si>
  <si>
    <t>Samata Gharelu Laghubitta Bittiya sanstha Limited</t>
  </si>
  <si>
    <t>SamataMF</t>
  </si>
  <si>
    <t>RSDC Laghubitta Bitiya Sanstha Ltd.</t>
  </si>
  <si>
    <t>RSDCMF</t>
  </si>
  <si>
    <t>Samudayik Laghubitta Bitiya Sanstha Ltd.</t>
  </si>
  <si>
    <t>SamudayikMF</t>
  </si>
  <si>
    <t>National Laghubitta Bittiya Sanstha Ltd.</t>
  </si>
  <si>
    <t>NationalMF</t>
  </si>
  <si>
    <t>WEAN Nepal Laghubitta Bittiya Sanstha Limited</t>
  </si>
  <si>
    <t>WEANNepalMF</t>
  </si>
  <si>
    <t>Unnati Sahakarya Laghubitta Bittiya Sanstha Ltd.</t>
  </si>
  <si>
    <t>UnnatiMF</t>
  </si>
  <si>
    <t>NADEP Laghubitta Bittiya Sanstha Limited</t>
  </si>
  <si>
    <t>NADEP</t>
  </si>
  <si>
    <t>Support Laghubitta Bittiya Sanstha Limited</t>
  </si>
  <si>
    <t>Support</t>
  </si>
  <si>
    <t>Arambha Chautari Laghubitta Bittiya Sanstha Limited</t>
  </si>
  <si>
    <t>AChautari</t>
  </si>
  <si>
    <t>Asha Laghubitta Bittiya Sanstha Ltd</t>
  </si>
  <si>
    <t>Asha</t>
  </si>
  <si>
    <t>Gurans Laghubitta Bittiya Sanstha Ltd</t>
  </si>
  <si>
    <t>Gurans</t>
  </si>
  <si>
    <t>Ganapati Laghubitta Bittiya Sastha Ltd</t>
  </si>
  <si>
    <t>Ganapati</t>
  </si>
  <si>
    <t>Infinity Laghubitta Bittiya Sanstha Ltd</t>
  </si>
  <si>
    <t>Infinity</t>
  </si>
  <si>
    <t>Swabhiman Laghubitta Bittiya Sanstha Ltd.</t>
  </si>
  <si>
    <t>Swabhiman</t>
  </si>
  <si>
    <t>Sampada Laghubitta Bittiya Sanstha Limited</t>
  </si>
  <si>
    <t>Sadhana</t>
  </si>
  <si>
    <t>NIC Asia Laghubitta Bittiya Sanstha Ltd.</t>
  </si>
  <si>
    <t>NICMF</t>
  </si>
  <si>
    <t>Samaj Laghubitta Bittiya Sanstha Ltd.</t>
  </si>
  <si>
    <t>Samaj</t>
  </si>
  <si>
    <t>Mahila Laghubitta Bittiya Sanstha Limited</t>
  </si>
  <si>
    <t>Mahila</t>
  </si>
  <si>
    <t>Unique Nepal Lagubitta Bittiya Sanstha Ltd.</t>
  </si>
  <si>
    <t>Unique</t>
  </si>
  <si>
    <t>Manushi Laghubitta Bittiya Sanstha Limited</t>
  </si>
  <si>
    <t>Manushi</t>
  </si>
  <si>
    <t>Upakar Laghubitta Bittiya Sanstha Limited</t>
  </si>
  <si>
    <t>Upakar</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</si>
  <si>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</si>
  <si>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</si>
  <si>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</si>
  <si>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</si>
  <si>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</si>
  <si>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</si>
  <si>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</si>
  <si>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</si>
  <si>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</si>
  <si>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</si>
  <si>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</si>
  <si>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</si>
  <si>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Matribhumi Laghubitta Bittiya Sanstha Limited</t>
  </si>
  <si>
    <t>Kisan(NRN)</t>
  </si>
  <si>
    <t>Jeevan Bikas Laghubitta Bittiya Sanstha Limited</t>
  </si>
  <si>
    <t>Jeevan</t>
  </si>
  <si>
    <t>Super Laghubitta Bittiya Sanstha Limited</t>
  </si>
  <si>
    <t>Super</t>
  </si>
  <si>
    <t>Aviyan Laghubitta Bittiya Sanstha Limited</t>
  </si>
  <si>
    <t>Aviyan</t>
  </si>
  <si>
    <t>Nepal Infrastructure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</si>
</sst>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0.0%"/>
    <numFmt numFmtId="167" formatCode="_(* #,##0.000_);_(* \(#,##0.000\);_(* &quot;-&quot;??_);_(@_)"/>
  </numFmts>
  <fonts count="3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u/>
      <sz val="11"/>
      <color theme="1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sz val="14"/>
      <name val="Calibri"/>
      <family val="2"/>
      <scheme val="minor"/>
    </font>
    <font>
      <b/>
      <sz val="11"/>
      <name val="Calibri"/>
      <family val="2"/>
      <scheme val="minor"/>
    </font>
    <font>
      <sz val="11"/>
      <name val="Calibri"/>
      <family val="2"/>
      <scheme val="minor"/>
    </font>
    <font>
      <b/>
      <vertAlign val="superscript"/>
      <sz val="12"/>
      <color theme="1"/>
      <name val="Calibri"/>
      <family val="2"/>
      <scheme val="minor"/>
    </font>
    <font>
      <b/>
      <sz val="11"/>
      <color rgb="FF002060"/>
      <name val="Calibri"/>
      <family val="2"/>
      <scheme val="minor"/>
    </font>
    <font>
      <sz val="11"/>
      <color theme="1"/>
      <name val="Times New Roman"/>
      <family val="1"/>
    </font>
    <font>
      <sz val="10"/>
      <name val="Calibri"/>
      <family val="2"/>
      <scheme val="minor"/>
    </font>
    <font>
      <sz val="10"/>
      <color theme="1"/>
      <name val="Calibri"/>
      <family val="2"/>
      <scheme val="minor"/>
    </font>
    <font>
      <b/>
      <sz val="12"/>
      <color rgb="FF002060"/>
      <name val="Calibri"/>
      <family val="2"/>
      <scheme val="minor"/>
    </font>
    <font>
      <sz val="10"/>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auto="1"/>
      </right>
      <top style="double">
        <color indexed="64"/>
      </top>
      <bottom/>
      <diagonal/>
    </border>
    <border>
      <left style="thin">
        <color indexed="64"/>
      </left>
      <right style="double">
        <color indexed="64"/>
      </right>
      <top style="double">
        <color indexed="64"/>
      </top>
      <bottom style="thin">
        <color indexed="64"/>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auto="1"/>
      </left>
      <right style="double">
        <color auto="1"/>
      </right>
      <top style="thin">
        <color auto="1"/>
      </top>
      <bottom style="double">
        <color auto="1"/>
      </bottom>
      <diagonal/>
    </border>
    <border>
      <left style="double">
        <color indexed="64"/>
      </left>
      <right style="thin">
        <color indexed="64"/>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43" fontId="18" fillId="0" borderId="0" applyFont="0" applyFill="0" applyBorder="0" applyAlignment="0" applyProtection="0"/>
    <xf numFmtId="0" fontId="21" fillId="0" borderId="0"/>
    <xf numFmtId="0" fontId="18" fillId="0" borderId="0"/>
    <xf numFmtId="43" fontId="18" fillId="0" borderId="0" applyFont="0" applyFill="0" applyBorder="0" applyAlignment="0" applyProtection="0"/>
  </cellStyleXfs>
  <cellXfs count="470">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Border="1" applyAlignment="1">
      <alignment horizontal="center"/>
    </xf>
    <xf numFmtId="0" fontId="4" fillId="2" borderId="0" xfId="0" applyFont="1" applyFill="1" applyBorder="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center"/>
    </xf>
    <xf numFmtId="0" fontId="9" fillId="2" borderId="9" xfId="0" applyFont="1" applyFill="1" applyBorder="1" applyAlignment="1">
      <alignment horizontal="center" vertical="center"/>
    </xf>
    <xf numFmtId="0" fontId="10" fillId="2" borderId="9" xfId="0" applyFont="1" applyFill="1" applyBorder="1" applyAlignment="1">
      <alignment horizontal="center"/>
    </xf>
    <xf numFmtId="0" fontId="10" fillId="2" borderId="9" xfId="0" applyFont="1" applyFill="1" applyBorder="1" applyAlignment="1">
      <alignment horizontal="left" vertical="center"/>
    </xf>
    <xf numFmtId="0" fontId="8" fillId="2" borderId="9" xfId="3" applyFill="1" applyBorder="1" applyAlignment="1">
      <alignment vertical="center"/>
    </xf>
    <xf numFmtId="10" fontId="0" fillId="2" borderId="0" xfId="2" applyNumberFormat="1" applyFont="1" applyFill="1"/>
    <xf numFmtId="0" fontId="10" fillId="2" borderId="0" xfId="0" applyFont="1" applyFill="1" applyAlignment="1">
      <alignment horizontal="left" vertical="center"/>
    </xf>
    <xf numFmtId="0" fontId="10" fillId="2" borderId="9" xfId="0" applyFont="1" applyFill="1" applyBorder="1" applyAlignment="1">
      <alignment horizontal="left" vertical="center" indent="3"/>
    </xf>
    <xf numFmtId="0" fontId="10" fillId="2" borderId="9" xfId="0" applyFont="1" applyFill="1" applyBorder="1" applyAlignment="1">
      <alignment vertical="center"/>
    </xf>
    <xf numFmtId="0" fontId="10" fillId="2" borderId="9" xfId="0" applyFont="1" applyFill="1" applyBorder="1"/>
    <xf numFmtId="0" fontId="8" fillId="2" borderId="9" xfId="3" applyFill="1" applyBorder="1"/>
    <xf numFmtId="0" fontId="0" fillId="2" borderId="9" xfId="0" applyFill="1" applyBorder="1"/>
    <xf numFmtId="0" fontId="10" fillId="2" borderId="0" xfId="0" applyFont="1" applyFill="1" applyAlignment="1">
      <alignment vertical="center"/>
    </xf>
    <xf numFmtId="0" fontId="2" fillId="2" borderId="0" xfId="0" applyFont="1" applyFill="1"/>
    <xf numFmtId="0" fontId="13" fillId="2" borderId="0" xfId="0" applyFont="1" applyFill="1" applyAlignment="1">
      <alignment horizontal="center"/>
    </xf>
    <xf numFmtId="0" fontId="10" fillId="2" borderId="0" xfId="0" applyFont="1" applyFill="1"/>
    <xf numFmtId="0" fontId="10" fillId="2" borderId="0" xfId="0" applyFont="1" applyFill="1" applyAlignment="1">
      <alignment horizontal="center" vertical="top"/>
    </xf>
    <xf numFmtId="0" fontId="10" fillId="0" borderId="0" xfId="0" applyFont="1" applyAlignment="1">
      <alignment vertical="top" wrapText="1"/>
    </xf>
    <xf numFmtId="0" fontId="10" fillId="2" borderId="0" xfId="0" applyFont="1" applyFill="1" applyAlignment="1">
      <alignment horizontal="left" vertical="top" wrapText="1"/>
    </xf>
    <xf numFmtId="0" fontId="10" fillId="2" borderId="0" xfId="0" applyFont="1" applyFill="1" applyAlignment="1">
      <alignment horizontal="center"/>
    </xf>
    <xf numFmtId="0" fontId="3" fillId="2" borderId="10" xfId="0" applyFont="1" applyFill="1" applyBorder="1" applyAlignment="1">
      <alignment horizontal="center" vertical="top" wrapText="1"/>
    </xf>
    <xf numFmtId="0" fontId="10" fillId="2" borderId="10" xfId="0" applyFont="1" applyFill="1" applyBorder="1"/>
    <xf numFmtId="0" fontId="3" fillId="2" borderId="10"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0" xfId="0" applyFont="1" applyFill="1" applyAlignment="1">
      <alignment vertical="top" wrapText="1"/>
    </xf>
    <xf numFmtId="0" fontId="10" fillId="2" borderId="11" xfId="0" applyFont="1" applyFill="1" applyBorder="1" applyAlignment="1">
      <alignment horizontal="center" vertical="top" wrapText="1"/>
    </xf>
    <xf numFmtId="0" fontId="10" fillId="2" borderId="11" xfId="0" applyFont="1" applyFill="1" applyBorder="1"/>
    <xf numFmtId="0" fontId="10" fillId="2" borderId="11" xfId="0" applyFont="1" applyFill="1" applyBorder="1" applyAlignment="1">
      <alignment vertical="top" wrapText="1"/>
    </xf>
    <xf numFmtId="0" fontId="10" fillId="2" borderId="0" xfId="0" applyFont="1" applyFill="1" applyAlignment="1">
      <alignment vertical="top"/>
    </xf>
    <xf numFmtId="0" fontId="14" fillId="2" borderId="12" xfId="0" applyFont="1" applyFill="1" applyBorder="1" applyAlignment="1">
      <alignment horizontal="center" vertical="top" wrapText="1"/>
    </xf>
    <xf numFmtId="0" fontId="15" fillId="2" borderId="9" xfId="0" applyFont="1" applyFill="1" applyBorder="1" applyAlignment="1">
      <alignment horizontal="center" vertical="center" wrapText="1"/>
    </xf>
    <xf numFmtId="0" fontId="15" fillId="2" borderId="9" xfId="0" applyFont="1" applyFill="1" applyBorder="1" applyAlignment="1">
      <alignment horizontal="center" vertical="center"/>
    </xf>
    <xf numFmtId="0" fontId="14"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horizontal="left"/>
    </xf>
    <xf numFmtId="0" fontId="10" fillId="2" borderId="0" xfId="0" applyFont="1" applyFill="1" applyAlignment="1">
      <alignment vertical="center" wrapText="1"/>
    </xf>
    <xf numFmtId="0" fontId="10" fillId="2" borderId="0" xfId="0" applyFont="1" applyFill="1" applyAlignment="1">
      <alignment horizontal="left" vertical="top"/>
    </xf>
    <xf numFmtId="0" fontId="16" fillId="2" borderId="0" xfId="0" applyFont="1" applyFill="1" applyAlignment="1">
      <alignment horizontal="left" vertical="top" wrapText="1"/>
    </xf>
    <xf numFmtId="0" fontId="10" fillId="2" borderId="0" xfId="0" applyFont="1" applyFill="1" applyAlignment="1">
      <alignment wrapText="1"/>
    </xf>
    <xf numFmtId="0" fontId="17" fillId="2" borderId="0" xfId="0" applyFont="1" applyFill="1" applyAlignment="1" applyProtection="1">
      <alignment horizontal="center"/>
      <protection hidden="1"/>
    </xf>
    <xf numFmtId="0" fontId="10" fillId="2" borderId="11" xfId="0" applyFont="1" applyFill="1" applyBorder="1" applyAlignment="1" applyProtection="1">
      <alignment horizontal="center" vertical="top"/>
      <protection hidden="1"/>
    </xf>
    <xf numFmtId="43" fontId="17" fillId="2" borderId="13" xfId="4" applyFont="1" applyFill="1" applyBorder="1" applyAlignment="1" applyProtection="1">
      <alignment horizontal="left" vertical="center" wrapText="1"/>
      <protection hidden="1"/>
    </xf>
    <xf numFmtId="43" fontId="17" fillId="2" borderId="14" xfId="4" applyFont="1" applyFill="1" applyBorder="1" applyAlignment="1" applyProtection="1">
      <alignment horizontal="left" vertical="center" wrapText="1"/>
      <protection hidden="1"/>
    </xf>
    <xf numFmtId="0" fontId="17" fillId="2" borderId="9" xfId="0" applyFont="1" applyFill="1" applyBorder="1" applyAlignment="1" applyProtection="1">
      <alignment horizontal="center" vertical="center"/>
      <protection hidden="1"/>
    </xf>
    <xf numFmtId="43" fontId="17" fillId="2" borderId="15" xfId="4" applyFont="1" applyFill="1" applyBorder="1" applyAlignment="1" applyProtection="1">
      <alignment horizontal="left" vertical="center" wrapText="1"/>
      <protection hidden="1"/>
    </xf>
    <xf numFmtId="43" fontId="17" fillId="2" borderId="10" xfId="4" applyFont="1" applyFill="1" applyBorder="1" applyAlignment="1" applyProtection="1">
      <alignment horizontal="left" vertical="center" wrapText="1"/>
      <protection hidden="1"/>
    </xf>
    <xf numFmtId="43" fontId="17" fillId="2" borderId="16" xfId="4" applyFont="1" applyFill="1" applyBorder="1" applyAlignment="1" applyProtection="1">
      <alignment horizontal="left" vertical="center" wrapText="1"/>
      <protection hidden="1"/>
    </xf>
    <xf numFmtId="1" fontId="19" fillId="2" borderId="9" xfId="4" applyNumberFormat="1" applyFont="1" applyFill="1" applyBorder="1" applyAlignment="1" applyProtection="1">
      <alignment horizontal="center" vertical="center"/>
      <protection hidden="1"/>
    </xf>
    <xf numFmtId="43" fontId="20" fillId="2" borderId="9" xfId="4" applyFont="1" applyFill="1" applyBorder="1" applyAlignment="1" applyProtection="1">
      <alignment horizontal="left" vertical="center" wrapText="1"/>
      <protection hidden="1"/>
    </xf>
    <xf numFmtId="2" fontId="20" fillId="2" borderId="9" xfId="2" applyNumberFormat="1" applyFont="1" applyFill="1" applyBorder="1" applyAlignment="1" applyProtection="1">
      <alignment vertical="center"/>
      <protection hidden="1"/>
    </xf>
    <xf numFmtId="43" fontId="17" fillId="2" borderId="10" xfId="4" applyFont="1" applyFill="1" applyBorder="1" applyAlignment="1" applyProtection="1">
      <alignment vertical="center" wrapText="1"/>
      <protection hidden="1"/>
    </xf>
    <xf numFmtId="43" fontId="17" fillId="2" borderId="16" xfId="4" applyFont="1" applyFill="1" applyBorder="1" applyAlignment="1" applyProtection="1">
      <alignment vertical="center" wrapText="1"/>
      <protection hidden="1"/>
    </xf>
    <xf numFmtId="43" fontId="20" fillId="2" borderId="9" xfId="4" applyFont="1" applyFill="1" applyBorder="1" applyAlignment="1" applyProtection="1">
      <alignment vertical="center" wrapText="1"/>
      <protection hidden="1"/>
    </xf>
    <xf numFmtId="0" fontId="17" fillId="2" borderId="15" xfId="4" applyNumberFormat="1" applyFont="1" applyFill="1" applyBorder="1" applyAlignment="1" applyProtection="1">
      <alignment horizontal="left" vertical="center"/>
      <protection hidden="1"/>
    </xf>
    <xf numFmtId="0" fontId="17" fillId="2" borderId="10" xfId="4" applyNumberFormat="1" applyFont="1" applyFill="1" applyBorder="1" applyAlignment="1" applyProtection="1">
      <alignment horizontal="left" vertical="center"/>
      <protection hidden="1"/>
    </xf>
    <xf numFmtId="2" fontId="10" fillId="2" borderId="9" xfId="2" applyNumberFormat="1" applyFont="1" applyFill="1" applyBorder="1" applyAlignment="1" applyProtection="1">
      <alignment vertical="center"/>
      <protection hidden="1"/>
    </xf>
    <xf numFmtId="0" fontId="19" fillId="2" borderId="9" xfId="5" applyFont="1" applyFill="1" applyBorder="1" applyAlignment="1" applyProtection="1">
      <alignment horizontal="center" vertical="center"/>
      <protection hidden="1"/>
    </xf>
    <xf numFmtId="0" fontId="19" fillId="2" borderId="9" xfId="5" applyFont="1" applyFill="1" applyBorder="1" applyAlignment="1" applyProtection="1">
      <alignment vertical="center"/>
      <protection hidden="1"/>
    </xf>
    <xf numFmtId="164" fontId="10" fillId="2" borderId="9" xfId="1" applyNumberFormat="1" applyFont="1" applyFill="1" applyBorder="1" applyAlignment="1" applyProtection="1">
      <alignment vertical="center"/>
      <protection hidden="1"/>
    </xf>
    <xf numFmtId="43" fontId="17" fillId="2" borderId="0" xfId="4" applyFont="1" applyFill="1" applyBorder="1" applyAlignment="1" applyProtection="1">
      <alignment horizontal="left" vertical="center" wrapText="1"/>
      <protection hidden="1"/>
    </xf>
    <xf numFmtId="0" fontId="10" fillId="2" borderId="9" xfId="0" applyFont="1" applyFill="1" applyBorder="1" applyAlignment="1" applyProtection="1">
      <alignment horizontal="center"/>
      <protection hidden="1"/>
    </xf>
    <xf numFmtId="0" fontId="22" fillId="2" borderId="9" xfId="5"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9" fillId="2" borderId="9" xfId="5" applyFont="1" applyFill="1" applyBorder="1" applyAlignment="1" applyProtection="1">
      <alignment horizontal="left" vertical="center"/>
      <protection hidden="1"/>
    </xf>
    <xf numFmtId="2" fontId="10" fillId="2" borderId="9" xfId="0" applyNumberFormat="1" applyFont="1" applyFill="1" applyBorder="1"/>
    <xf numFmtId="2" fontId="10" fillId="2" borderId="0" xfId="0" applyNumberFormat="1" applyFont="1" applyFill="1" applyBorder="1" applyAlignment="1" applyProtection="1">
      <alignment vertical="center"/>
      <protection hidden="1"/>
    </xf>
    <xf numFmtId="0" fontId="19" fillId="2" borderId="17" xfId="5" applyFont="1" applyFill="1" applyBorder="1" applyAlignment="1" applyProtection="1">
      <alignment horizontal="center" vertical="center"/>
      <protection hidden="1"/>
    </xf>
    <xf numFmtId="0" fontId="19" fillId="2" borderId="18" xfId="5" applyFont="1" applyFill="1" applyBorder="1" applyAlignment="1" applyProtection="1">
      <alignment horizontal="center" vertical="center"/>
      <protection hidden="1"/>
    </xf>
    <xf numFmtId="0" fontId="10" fillId="2" borderId="0" xfId="0" applyFont="1" applyFill="1" applyBorder="1" applyAlignment="1" applyProtection="1">
      <alignment horizontal="center"/>
      <protection hidden="1"/>
    </xf>
    <xf numFmtId="0" fontId="22" fillId="2" borderId="0" xfId="5" applyFont="1" applyFill="1" applyBorder="1" applyAlignment="1" applyProtection="1">
      <alignment vertical="center"/>
      <protection hidden="1"/>
    </xf>
    <xf numFmtId="2" fontId="3" fillId="2" borderId="0" xfId="0" applyNumberFormat="1" applyFont="1" applyFill="1" applyBorder="1"/>
    <xf numFmtId="0" fontId="3" fillId="2" borderId="0" xfId="0" applyFont="1" applyFill="1" applyAlignment="1" applyProtection="1">
      <alignment horizontal="left"/>
      <protection locked="0" hidden="1"/>
    </xf>
    <xf numFmtId="0" fontId="10" fillId="2" borderId="0" xfId="0" applyFont="1" applyFill="1" applyAlignment="1" applyProtection="1">
      <alignment horizontal="left"/>
      <protection locked="0" hidden="1"/>
    </xf>
    <xf numFmtId="0" fontId="10" fillId="2" borderId="0" xfId="0" applyFont="1" applyFill="1" applyAlignment="1" applyProtection="1">
      <alignment horizontal="left" vertical="top" indent="1"/>
      <protection locked="0" hidden="1"/>
    </xf>
    <xf numFmtId="0" fontId="10" fillId="2" borderId="0" xfId="0" applyFont="1" applyFill="1" applyAlignment="1" applyProtection="1">
      <alignment horizontal="left" wrapText="1" indent="1"/>
      <protection locked="0" hidden="1"/>
    </xf>
    <xf numFmtId="0" fontId="10" fillId="2" borderId="0" xfId="0" applyFont="1" applyFill="1" applyAlignment="1" applyProtection="1">
      <alignment horizontal="left" indent="1"/>
      <protection locked="0" hidden="1"/>
    </xf>
    <xf numFmtId="0" fontId="22" fillId="2" borderId="0" xfId="6" applyFont="1" applyFill="1" applyAlignment="1">
      <alignment horizontal="center" vertical="center"/>
    </xf>
    <xf numFmtId="0" fontId="22" fillId="2" borderId="0" xfId="6" applyFont="1" applyFill="1" applyAlignment="1">
      <alignment horizontal="center" vertical="center" wrapText="1"/>
    </xf>
    <xf numFmtId="0" fontId="22" fillId="2" borderId="19" xfId="6" applyFont="1" applyFill="1" applyBorder="1" applyAlignment="1">
      <alignment horizontal="center" vertical="center"/>
    </xf>
    <xf numFmtId="0" fontId="22" fillId="2" borderId="20" xfId="6" applyFont="1" applyFill="1" applyBorder="1" applyAlignment="1">
      <alignment horizontal="center" vertical="center"/>
    </xf>
    <xf numFmtId="0" fontId="22" fillId="2" borderId="21" xfId="6" applyFont="1" applyFill="1" applyBorder="1" applyAlignment="1">
      <alignment horizontal="center" vertical="center"/>
    </xf>
    <xf numFmtId="0" fontId="22" fillId="2" borderId="22" xfId="6" applyFont="1" applyFill="1" applyBorder="1" applyAlignment="1">
      <alignment horizontal="center" vertical="center"/>
    </xf>
    <xf numFmtId="0" fontId="22" fillId="2" borderId="9" xfId="6" applyFont="1" applyFill="1" applyBorder="1" applyAlignment="1">
      <alignment horizontal="center" vertical="center"/>
    </xf>
    <xf numFmtId="0" fontId="22" fillId="2" borderId="23" xfId="6" applyFont="1" applyFill="1" applyBorder="1" applyAlignment="1">
      <alignment horizontal="center" vertical="center"/>
    </xf>
    <xf numFmtId="0" fontId="22" fillId="2" borderId="11" xfId="6" applyFont="1" applyFill="1" applyBorder="1" applyAlignment="1">
      <alignment horizontal="center" vertical="center"/>
    </xf>
    <xf numFmtId="0" fontId="22" fillId="2" borderId="15" xfId="6" applyFont="1" applyFill="1" applyBorder="1" applyAlignment="1">
      <alignment horizontal="center"/>
    </xf>
    <xf numFmtId="0" fontId="22" fillId="2" borderId="16" xfId="6" applyFont="1" applyFill="1" applyBorder="1" applyAlignment="1">
      <alignment horizontal="center"/>
    </xf>
    <xf numFmtId="0" fontId="22" fillId="2" borderId="24" xfId="6" applyFont="1" applyFill="1" applyBorder="1" applyAlignment="1">
      <alignment horizontal="center" vertical="center"/>
    </xf>
    <xf numFmtId="0" fontId="22" fillId="2" borderId="10" xfId="6" applyFont="1" applyFill="1" applyBorder="1" applyAlignment="1">
      <alignment horizontal="center"/>
    </xf>
    <xf numFmtId="0" fontId="23" fillId="2" borderId="19" xfId="6" applyFont="1" applyFill="1" applyBorder="1" applyAlignment="1">
      <alignment horizontal="center" vertical="center"/>
    </xf>
    <xf numFmtId="0" fontId="23" fillId="2" borderId="21" xfId="6" applyFont="1" applyFill="1" applyBorder="1" applyAlignment="1">
      <alignment horizontal="center" vertical="center"/>
    </xf>
    <xf numFmtId="0" fontId="22" fillId="2" borderId="9" xfId="6"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23" xfId="6" applyFont="1" applyFill="1" applyBorder="1" applyAlignment="1">
      <alignment horizontal="center" vertical="center"/>
    </xf>
    <xf numFmtId="0" fontId="23" fillId="2" borderId="24" xfId="6"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2" fillId="2" borderId="9" xfId="6" applyFont="1" applyFill="1" applyBorder="1" applyAlignment="1">
      <alignment horizontal="center"/>
    </xf>
    <xf numFmtId="0" fontId="22" fillId="2" borderId="9" xfId="6" applyFont="1" applyFill="1" applyBorder="1"/>
    <xf numFmtId="43" fontId="10" fillId="2" borderId="9" xfId="1" applyNumberFormat="1" applyFont="1" applyFill="1" applyBorder="1"/>
    <xf numFmtId="0" fontId="19" fillId="2" borderId="9" xfId="6" applyFont="1" applyFill="1" applyBorder="1" applyAlignment="1">
      <alignment horizontal="center"/>
    </xf>
    <xf numFmtId="0" fontId="19" fillId="2" borderId="9" xfId="6" applyFont="1" applyFill="1" applyBorder="1"/>
    <xf numFmtId="0" fontId="19" fillId="2" borderId="9" xfId="6" applyFont="1" applyFill="1" applyBorder="1" applyAlignment="1">
      <alignment horizontal="left" indent="1"/>
    </xf>
    <xf numFmtId="0" fontId="22" fillId="2" borderId="15" xfId="6" applyFont="1" applyFill="1" applyBorder="1" applyAlignment="1">
      <alignment horizontal="left"/>
    </xf>
    <xf numFmtId="0" fontId="22" fillId="2" borderId="16" xfId="6" applyFont="1" applyFill="1" applyBorder="1" applyAlignment="1">
      <alignment horizontal="left"/>
    </xf>
    <xf numFmtId="0" fontId="22" fillId="2" borderId="10" xfId="6" applyFont="1" applyFill="1" applyBorder="1" applyAlignment="1">
      <alignment horizontal="left"/>
    </xf>
    <xf numFmtId="0" fontId="22" fillId="2" borderId="25" xfId="6" applyFont="1" applyFill="1" applyBorder="1" applyAlignment="1">
      <alignment horizontal="center"/>
    </xf>
    <xf numFmtId="0" fontId="22" fillId="2" borderId="25" xfId="6" applyFont="1" applyFill="1" applyBorder="1"/>
    <xf numFmtId="0" fontId="22" fillId="2" borderId="9" xfId="6" applyFont="1" applyFill="1" applyBorder="1" applyAlignment="1">
      <alignment wrapText="1"/>
    </xf>
    <xf numFmtId="0" fontId="19" fillId="2" borderId="9" xfId="6" applyFont="1" applyFill="1" applyBorder="1" applyAlignment="1">
      <alignment horizontal="left"/>
    </xf>
    <xf numFmtId="0" fontId="22" fillId="2" borderId="9" xfId="6" applyFont="1" applyFill="1" applyBorder="1" applyAlignment="1">
      <alignment horizontal="left"/>
    </xf>
    <xf numFmtId="0" fontId="22" fillId="2" borderId="15" xfId="6" applyFont="1" applyFill="1" applyBorder="1" applyAlignment="1">
      <alignment horizontal="center" vertical="center"/>
    </xf>
    <xf numFmtId="0" fontId="22" fillId="2" borderId="16" xfId="6" applyFont="1" applyFill="1" applyBorder="1" applyAlignment="1">
      <alignment horizontal="center" vertical="center"/>
    </xf>
    <xf numFmtId="0" fontId="23" fillId="2" borderId="15" xfId="6" applyFont="1" applyFill="1" applyBorder="1" applyAlignment="1">
      <alignment horizontal="center" vertical="center"/>
    </xf>
    <xf numFmtId="2" fontId="22" fillId="2" borderId="9" xfId="6" applyNumberFormat="1" applyFont="1" applyFill="1" applyBorder="1" applyAlignment="1">
      <alignment horizontal="center" vertical="center"/>
    </xf>
    <xf numFmtId="0" fontId="23" fillId="2" borderId="9" xfId="0" applyFont="1" applyFill="1" applyBorder="1" applyProtection="1">
      <protection hidden="1"/>
    </xf>
    <xf numFmtId="43" fontId="10" fillId="2" borderId="9" xfId="1" applyFont="1" applyFill="1" applyBorder="1"/>
    <xf numFmtId="0" fontId="20" fillId="2" borderId="9" xfId="0" applyFont="1" applyFill="1" applyBorder="1" applyProtection="1">
      <protection hidden="1"/>
    </xf>
    <xf numFmtId="0" fontId="23" fillId="2" borderId="9" xfId="0" applyFont="1" applyFill="1" applyBorder="1" applyAlignment="1" applyProtection="1">
      <alignment vertical="center"/>
      <protection hidden="1"/>
    </xf>
    <xf numFmtId="0" fontId="20" fillId="2" borderId="9" xfId="0" applyFont="1" applyFill="1" applyBorder="1" applyAlignment="1" applyProtection="1">
      <alignment vertical="center"/>
      <protection hidden="1"/>
    </xf>
    <xf numFmtId="0" fontId="20" fillId="2" borderId="9" xfId="0" applyFont="1" applyFill="1" applyBorder="1" applyAlignment="1" applyProtection="1">
      <alignment horizontal="left" vertical="center" indent="2"/>
      <protection hidden="1"/>
    </xf>
    <xf numFmtId="0" fontId="10" fillId="2" borderId="9" xfId="0" applyFont="1" applyFill="1" applyBorder="1" applyAlignment="1" applyProtection="1">
      <alignment vertical="center"/>
      <protection hidden="1"/>
    </xf>
    <xf numFmtId="0" fontId="24" fillId="2" borderId="9" xfId="0" applyFont="1" applyFill="1" applyBorder="1" applyAlignment="1" applyProtection="1">
      <alignment horizontal="left"/>
      <protection hidden="1"/>
    </xf>
    <xf numFmtId="43" fontId="3" fillId="2" borderId="9" xfId="1" applyFont="1" applyFill="1" applyBorder="1"/>
    <xf numFmtId="0" fontId="17" fillId="2" borderId="9" xfId="0" applyFont="1" applyFill="1" applyBorder="1" applyAlignment="1" applyProtection="1">
      <alignment horizontal="left"/>
      <protection hidden="1"/>
    </xf>
    <xf numFmtId="0" fontId="24" fillId="2" borderId="9" xfId="0" applyFont="1" applyFill="1" applyBorder="1" applyAlignment="1" applyProtection="1">
      <alignment horizontal="center"/>
      <protection hidden="1"/>
    </xf>
    <xf numFmtId="2" fontId="10" fillId="2" borderId="0" xfId="0" applyNumberFormat="1" applyFont="1" applyFill="1"/>
    <xf numFmtId="2" fontId="10" fillId="2" borderId="20" xfId="0" applyNumberFormat="1" applyFont="1" applyFill="1" applyBorder="1" applyAlignment="1">
      <alignment horizontal="center"/>
    </xf>
    <xf numFmtId="0" fontId="23" fillId="2" borderId="9" xfId="6" applyFont="1" applyFill="1" applyBorder="1" applyAlignment="1">
      <alignment horizontal="center" vertical="center"/>
    </xf>
    <xf numFmtId="2" fontId="17" fillId="2" borderId="9" xfId="4" applyNumberFormat="1" applyFont="1" applyFill="1" applyBorder="1" applyProtection="1">
      <protection hidden="1"/>
    </xf>
    <xf numFmtId="2" fontId="20" fillId="2" borderId="9" xfId="4" applyNumberFormat="1" applyFont="1" applyFill="1" applyBorder="1" applyProtection="1">
      <protection hidden="1"/>
    </xf>
    <xf numFmtId="2" fontId="20" fillId="2" borderId="9" xfId="4" applyNumberFormat="1" applyFont="1" applyFill="1" applyBorder="1" applyAlignment="1" applyProtection="1">
      <alignment wrapText="1"/>
      <protection hidden="1"/>
    </xf>
    <xf numFmtId="2" fontId="20" fillId="2" borderId="9" xfId="4" applyNumberFormat="1" applyFont="1" applyFill="1" applyBorder="1" applyAlignment="1" applyProtection="1">
      <alignment horizontal="left" wrapText="1"/>
      <protection hidden="1"/>
    </xf>
    <xf numFmtId="2" fontId="23" fillId="2" borderId="9" xfId="4" applyNumberFormat="1" applyFont="1" applyFill="1" applyBorder="1" applyProtection="1">
      <protection hidden="1"/>
    </xf>
    <xf numFmtId="43" fontId="10" fillId="2" borderId="9" xfId="1" applyFont="1" applyFill="1" applyBorder="1" applyAlignment="1">
      <alignment shrinkToFit="1"/>
    </xf>
    <xf numFmtId="2" fontId="20" fillId="2" borderId="9" xfId="5" applyNumberFormat="1" applyFont="1" applyFill="1" applyBorder="1" applyAlignment="1" applyProtection="1">
      <alignment vertical="center"/>
      <protection hidden="1"/>
    </xf>
    <xf numFmtId="0" fontId="20" fillId="2" borderId="9" xfId="0" applyFont="1" applyFill="1" applyBorder="1" applyAlignment="1" applyProtection="1">
      <alignment vertical="center" wrapText="1"/>
      <protection hidden="1"/>
    </xf>
    <xf numFmtId="2" fontId="20" fillId="2" borderId="9" xfId="4" applyNumberFormat="1" applyFont="1" applyFill="1" applyBorder="1" applyAlignment="1" applyProtection="1">
      <alignment horizontal="left"/>
      <protection hidden="1"/>
    </xf>
    <xf numFmtId="2" fontId="20" fillId="2" borderId="9" xfId="4" applyNumberFormat="1" applyFont="1" applyFill="1" applyBorder="1" applyAlignment="1" applyProtection="1">
      <alignment horizontal="left" indent="1"/>
      <protection hidden="1"/>
    </xf>
    <xf numFmtId="2" fontId="20" fillId="2" borderId="9" xfId="4" applyNumberFormat="1" applyFont="1" applyFill="1" applyBorder="1" applyAlignment="1" applyProtection="1">
      <alignment horizontal="left" wrapText="1" indent="1"/>
      <protection hidden="1"/>
    </xf>
    <xf numFmtId="0" fontId="10" fillId="0" borderId="0" xfId="0" applyFont="1" applyAlignment="1">
      <alignment wrapText="1"/>
    </xf>
    <xf numFmtId="0" fontId="0" fillId="2" borderId="0" xfId="0" applyFont="1" applyFill="1" applyAlignment="1">
      <alignment vertical="center" wrapText="1"/>
    </xf>
    <xf numFmtId="0" fontId="22" fillId="2" borderId="11" xfId="6"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2" fillId="2" borderId="0" xfId="0" applyFont="1" applyFill="1" applyProtection="1">
      <protection hidden="1"/>
    </xf>
    <xf numFmtId="165" fontId="23" fillId="2" borderId="0" xfId="0" applyNumberFormat="1" applyFont="1" applyFill="1" applyProtection="1">
      <protection hidden="1"/>
    </xf>
    <xf numFmtId="2" fontId="10" fillId="2" borderId="0" xfId="0" applyNumberFormat="1" applyFont="1" applyFill="1" applyProtection="1">
      <protection hidden="1"/>
    </xf>
    <xf numFmtId="0" fontId="22" fillId="2" borderId="26" xfId="0" applyFont="1" applyFill="1" applyBorder="1" applyAlignment="1" applyProtection="1">
      <alignment horizontal="center"/>
      <protection hidden="1"/>
    </xf>
    <xf numFmtId="0" fontId="22" fillId="2" borderId="27" xfId="0" applyFont="1" applyFill="1" applyBorder="1" applyProtection="1">
      <protection hidden="1"/>
    </xf>
    <xf numFmtId="43" fontId="10" fillId="2" borderId="9" xfId="1" applyNumberFormat="1" applyFont="1" applyFill="1" applyBorder="1" applyProtection="1">
      <protection hidden="1"/>
    </xf>
    <xf numFmtId="0" fontId="20" fillId="2" borderId="28" xfId="0" applyFont="1" applyFill="1" applyBorder="1" applyAlignment="1" applyProtection="1">
      <alignment horizontal="center"/>
      <protection hidden="1"/>
    </xf>
    <xf numFmtId="0" fontId="22" fillId="2" borderId="28" xfId="0" applyFont="1" applyFill="1" applyBorder="1" applyAlignment="1" applyProtection="1">
      <alignment horizontal="center"/>
      <protection hidden="1"/>
    </xf>
    <xf numFmtId="0" fontId="22" fillId="2" borderId="9" xfId="0" applyFont="1" applyFill="1" applyBorder="1" applyProtection="1">
      <protection hidden="1"/>
    </xf>
    <xf numFmtId="0" fontId="20" fillId="2" borderId="28" xfId="0" applyFont="1" applyFill="1" applyBorder="1" applyProtection="1">
      <protection hidden="1"/>
    </xf>
    <xf numFmtId="0" fontId="23" fillId="2" borderId="28" xfId="0" applyFont="1" applyFill="1" applyBorder="1" applyAlignment="1" applyProtection="1">
      <alignment horizontal="center"/>
      <protection hidden="1"/>
    </xf>
    <xf numFmtId="0" fontId="23" fillId="2" borderId="29" xfId="0" applyFont="1" applyFill="1" applyBorder="1" applyAlignment="1" applyProtection="1">
      <alignment horizontal="center"/>
      <protection hidden="1"/>
    </xf>
    <xf numFmtId="0" fontId="23" fillId="2" borderId="22" xfId="0" applyFont="1" applyFill="1" applyBorder="1" applyProtection="1">
      <protection hidden="1"/>
    </xf>
    <xf numFmtId="0" fontId="22" fillId="2" borderId="9" xfId="0" applyFont="1" applyFill="1" applyBorder="1" applyAlignment="1" applyProtection="1">
      <alignment horizontal="center"/>
      <protection hidden="1"/>
    </xf>
    <xf numFmtId="43" fontId="3" fillId="2" borderId="9" xfId="1" applyNumberFormat="1" applyFont="1" applyFill="1" applyBorder="1" applyProtection="1">
      <protection hidden="1"/>
    </xf>
    <xf numFmtId="10" fontId="10" fillId="2" borderId="30" xfId="2" applyNumberFormat="1" applyFont="1" applyFill="1" applyBorder="1" applyProtection="1">
      <protection hidden="1"/>
    </xf>
    <xf numFmtId="10" fontId="10" fillId="2" borderId="25" xfId="2" applyNumberFormat="1" applyFont="1" applyFill="1" applyBorder="1" applyProtection="1">
      <protection hidden="1"/>
    </xf>
    <xf numFmtId="0" fontId="20" fillId="2" borderId="9" xfId="0" applyFont="1" applyFill="1" applyBorder="1" applyAlignment="1" applyProtection="1">
      <alignment horizontal="left"/>
      <protection hidden="1"/>
    </xf>
    <xf numFmtId="0" fontId="22" fillId="2" borderId="10" xfId="0" applyFont="1" applyFill="1" applyBorder="1" applyAlignment="1" applyProtection="1">
      <alignment wrapText="1"/>
      <protection hidden="1"/>
    </xf>
    <xf numFmtId="0" fontId="23" fillId="2" borderId="28" xfId="0" applyFont="1" applyFill="1" applyBorder="1" applyProtection="1">
      <protection hidden="1"/>
    </xf>
    <xf numFmtId="0" fontId="22" fillId="2" borderId="28" xfId="0" applyFont="1" applyFill="1" applyBorder="1" applyProtection="1">
      <protection hidden="1"/>
    </xf>
    <xf numFmtId="0" fontId="19" fillId="2" borderId="9" xfId="0" applyFont="1" applyFill="1" applyBorder="1" applyAlignment="1" applyProtection="1">
      <alignment horizontal="left"/>
      <protection hidden="1"/>
    </xf>
    <xf numFmtId="0" fontId="23" fillId="2" borderId="9" xfId="0" applyFont="1" applyFill="1" applyBorder="1" applyAlignment="1" applyProtection="1">
      <alignment horizontal="left"/>
      <protection hidden="1"/>
    </xf>
    <xf numFmtId="0" fontId="23" fillId="2" borderId="9" xfId="0" applyFont="1" applyFill="1" applyBorder="1" applyAlignment="1">
      <alignment horizontal="center" vertical="center"/>
    </xf>
    <xf numFmtId="164" fontId="10" fillId="2" borderId="9" xfId="1" applyNumberFormat="1" applyFont="1" applyFill="1" applyBorder="1"/>
    <xf numFmtId="0" fontId="23" fillId="2" borderId="22" xfId="0" applyFont="1" applyFill="1" applyBorder="1" applyAlignment="1" applyProtection="1">
      <alignment vertical="center"/>
      <protection hidden="1"/>
    </xf>
    <xf numFmtId="0" fontId="23" fillId="2" borderId="9" xfId="0" applyFont="1" applyFill="1" applyBorder="1" applyAlignment="1" applyProtection="1">
      <alignment horizontal="center" vertical="center"/>
      <protection hidden="1"/>
    </xf>
    <xf numFmtId="0" fontId="20" fillId="2" borderId="0" xfId="0" applyFont="1" applyFill="1"/>
    <xf numFmtId="43" fontId="10" fillId="2" borderId="0" xfId="1" applyFont="1" applyFill="1"/>
    <xf numFmtId="43" fontId="25" fillId="2" borderId="11" xfId="1" applyFont="1" applyFill="1" applyBorder="1" applyProtection="1">
      <protection hidden="1"/>
    </xf>
    <xf numFmtId="0" fontId="23" fillId="2" borderId="15" xfId="0" applyFont="1" applyFill="1" applyBorder="1"/>
    <xf numFmtId="1" fontId="10" fillId="2" borderId="0" xfId="0" applyNumberFormat="1" applyFont="1" applyFill="1" applyBorder="1" applyAlignment="1" applyProtection="1">
      <alignment horizontal="center" textRotation="90" shrinkToFit="1"/>
      <protection hidden="1"/>
    </xf>
    <xf numFmtId="2" fontId="20" fillId="2" borderId="9" xfId="7" applyNumberFormat="1" applyFont="1" applyFill="1" applyBorder="1" applyAlignment="1" applyProtection="1">
      <alignment wrapText="1"/>
      <protection hidden="1"/>
    </xf>
    <xf numFmtId="43" fontId="10" fillId="2" borderId="9" xfId="1" applyFont="1" applyFill="1" applyBorder="1" applyAlignment="1" applyProtection="1">
      <alignment horizontal="center" shrinkToFit="1"/>
      <protection hidden="1"/>
    </xf>
    <xf numFmtId="2" fontId="23" fillId="2" borderId="22" xfId="7"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20" fillId="2" borderId="20" xfId="0" applyFont="1" applyFill="1" applyBorder="1" applyAlignment="1" applyProtection="1">
      <alignment vertical="center"/>
      <protection hidden="1"/>
    </xf>
    <xf numFmtId="43" fontId="10" fillId="2" borderId="20" xfId="1" applyFont="1" applyFill="1" applyBorder="1" applyAlignment="1" applyProtection="1">
      <alignment horizontal="center" textRotation="90" shrinkToFit="1"/>
      <protection hidden="1"/>
    </xf>
    <xf numFmtId="0" fontId="23" fillId="2" borderId="11" xfId="0" applyFont="1" applyFill="1" applyBorder="1"/>
    <xf numFmtId="43" fontId="10" fillId="2" borderId="11" xfId="1" applyFont="1" applyFill="1" applyBorder="1" applyAlignment="1" applyProtection="1">
      <alignment horizontal="center" textRotation="90" shrinkToFit="1"/>
      <protection hidden="1"/>
    </xf>
    <xf numFmtId="43" fontId="10" fillId="2" borderId="25" xfId="1" applyFont="1" applyFill="1" applyBorder="1" applyAlignment="1" applyProtection="1">
      <alignment horizontal="center" shrinkToFit="1"/>
      <protection hidden="1"/>
    </xf>
    <xf numFmtId="2" fontId="23" fillId="2" borderId="9" xfId="7" applyNumberFormat="1" applyFont="1" applyFill="1" applyBorder="1" applyAlignment="1">
      <alignment wrapText="1"/>
    </xf>
    <xf numFmtId="43" fontId="10" fillId="2" borderId="20" xfId="1" applyFont="1" applyFill="1" applyBorder="1" applyAlignment="1" applyProtection="1">
      <alignment horizontal="center" shrinkToFit="1"/>
      <protection hidden="1"/>
    </xf>
    <xf numFmtId="0" fontId="10" fillId="2" borderId="0" xfId="0" applyFont="1" applyFill="1" applyBorder="1"/>
    <xf numFmtId="43" fontId="10" fillId="2" borderId="11" xfId="1" applyFont="1" applyFill="1" applyBorder="1" applyAlignment="1" applyProtection="1">
      <alignment horizontal="center" shrinkToFit="1"/>
      <protection hidden="1"/>
    </xf>
    <xf numFmtId="0" fontId="20" fillId="2" borderId="31" xfId="0" applyFont="1" applyFill="1" applyBorder="1" applyAlignment="1" applyProtection="1">
      <alignment vertical="center"/>
      <protection hidden="1"/>
    </xf>
    <xf numFmtId="0" fontId="20" fillId="2" borderId="28" xfId="0" applyFont="1" applyFill="1" applyBorder="1" applyAlignment="1" applyProtection="1">
      <alignment vertical="center"/>
      <protection hidden="1"/>
    </xf>
    <xf numFmtId="0" fontId="20" fillId="2" borderId="28" xfId="0" applyFont="1" applyFill="1" applyBorder="1" applyAlignment="1" applyProtection="1">
      <alignment horizontal="left" vertical="center" indent="1"/>
      <protection hidden="1"/>
    </xf>
    <xf numFmtId="0" fontId="20" fillId="2" borderId="28"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0" fillId="2" borderId="0" xfId="0" applyFont="1" applyFill="1" applyAlignment="1">
      <alignment vertical="center" wrapText="1"/>
    </xf>
    <xf numFmtId="0" fontId="22" fillId="2" borderId="0" xfId="6" applyFont="1" applyFill="1" applyAlignment="1">
      <alignment horizontal="center" vertical="center"/>
    </xf>
    <xf numFmtId="0" fontId="23" fillId="2" borderId="0" xfId="6" applyFont="1" applyFill="1" applyAlignment="1">
      <alignment horizontal="center" vertical="center"/>
    </xf>
    <xf numFmtId="0" fontId="22" fillId="2" borderId="10" xfId="6" applyFont="1" applyFill="1" applyBorder="1" applyAlignment="1">
      <alignment horizontal="center" vertical="center"/>
    </xf>
    <xf numFmtId="0" fontId="23" fillId="2" borderId="15" xfId="6" quotePrefix="1" applyFont="1" applyFill="1" applyBorder="1" applyAlignment="1">
      <alignment horizontal="center" vertical="center"/>
    </xf>
    <xf numFmtId="0" fontId="23" fillId="2" borderId="19" xfId="6" quotePrefix="1" applyFont="1" applyFill="1" applyBorder="1" applyAlignment="1">
      <alignment horizontal="center" vertical="center"/>
    </xf>
    <xf numFmtId="0" fontId="23" fillId="2" borderId="20" xfId="6" quotePrefix="1" applyFont="1" applyFill="1" applyBorder="1" applyAlignment="1">
      <alignment horizontal="center" vertical="center"/>
    </xf>
    <xf numFmtId="0" fontId="23" fillId="2" borderId="21" xfId="6" quotePrefix="1" applyFont="1" applyFill="1" applyBorder="1" applyAlignment="1">
      <alignment horizontal="center" vertical="center"/>
    </xf>
    <xf numFmtId="0" fontId="23" fillId="2" borderId="23" xfId="6" quotePrefix="1" applyFont="1" applyFill="1" applyBorder="1" applyAlignment="1">
      <alignment horizontal="center" vertical="center"/>
    </xf>
    <xf numFmtId="0" fontId="23" fillId="2" borderId="11" xfId="6" quotePrefix="1" applyFont="1" applyFill="1" applyBorder="1" applyAlignment="1">
      <alignment horizontal="center" vertical="center"/>
    </xf>
    <xf numFmtId="0" fontId="23" fillId="2" borderId="24" xfId="6" quotePrefix="1" applyFont="1" applyFill="1" applyBorder="1" applyAlignment="1">
      <alignment horizontal="center" vertical="center"/>
    </xf>
    <xf numFmtId="164" fontId="19" fillId="2" borderId="9" xfId="1" applyNumberFormat="1" applyFont="1" applyFill="1" applyBorder="1" applyAlignment="1"/>
    <xf numFmtId="43" fontId="19" fillId="2" borderId="9" xfId="1" applyFont="1" applyFill="1" applyBorder="1" applyAlignment="1">
      <alignment horizontal="center" vertical="center"/>
    </xf>
    <xf numFmtId="0" fontId="23" fillId="2" borderId="22" xfId="6" applyFont="1" applyFill="1" applyBorder="1" applyAlignment="1">
      <alignment horizontal="center"/>
    </xf>
    <xf numFmtId="0" fontId="23" fillId="2" borderId="9" xfId="6" applyFont="1" applyFill="1" applyBorder="1"/>
    <xf numFmtId="2" fontId="10" fillId="2" borderId="9" xfId="2" applyNumberFormat="1" applyFont="1" applyFill="1" applyBorder="1" applyAlignment="1">
      <alignment shrinkToFit="1"/>
    </xf>
    <xf numFmtId="0" fontId="20" fillId="2" borderId="22" xfId="6" applyFont="1" applyFill="1" applyBorder="1" applyAlignment="1">
      <alignment horizontal="center"/>
    </xf>
    <xf numFmtId="0" fontId="20" fillId="2" borderId="16" xfId="6" applyFont="1" applyFill="1" applyBorder="1"/>
    <xf numFmtId="0" fontId="20" fillId="2" borderId="30" xfId="6" applyFont="1" applyFill="1" applyBorder="1" applyAlignment="1">
      <alignment horizontal="center"/>
    </xf>
    <xf numFmtId="0" fontId="20" fillId="2" borderId="25" xfId="6" applyFont="1" applyFill="1" applyBorder="1" applyAlignment="1">
      <alignment horizontal="center"/>
    </xf>
    <xf numFmtId="0" fontId="23" fillId="2" borderId="30" xfId="6" applyFont="1" applyFill="1" applyBorder="1" applyAlignment="1">
      <alignment horizontal="center"/>
    </xf>
    <xf numFmtId="0" fontId="23" fillId="2" borderId="25" xfId="6" applyFont="1" applyFill="1" applyBorder="1" applyAlignment="1">
      <alignment horizontal="center"/>
    </xf>
    <xf numFmtId="0" fontId="20" fillId="2" borderId="16" xfId="6" applyFont="1" applyFill="1" applyBorder="1" applyAlignment="1">
      <alignment horizontal="left" indent="1"/>
    </xf>
    <xf numFmtId="0" fontId="23" fillId="2" borderId="9" xfId="6" applyFont="1" applyFill="1" applyBorder="1" applyAlignment="1">
      <alignment horizontal="center"/>
    </xf>
    <xf numFmtId="0" fontId="23" fillId="2" borderId="22" xfId="6" applyFont="1" applyFill="1" applyBorder="1" applyAlignment="1">
      <alignment horizontal="center"/>
    </xf>
    <xf numFmtId="43" fontId="22"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3" fillId="2" borderId="15" xfId="6" applyFont="1" applyFill="1" applyBorder="1" applyAlignment="1">
      <alignment horizontal="center"/>
    </xf>
    <xf numFmtId="0" fontId="23" fillId="2" borderId="10" xfId="6" applyFont="1" applyFill="1" applyBorder="1" applyAlignment="1">
      <alignment horizontal="left"/>
    </xf>
    <xf numFmtId="166" fontId="10" fillId="2" borderId="10" xfId="2" applyNumberFormat="1" applyFont="1" applyFill="1" applyBorder="1" applyAlignment="1">
      <alignment shrinkToFit="1"/>
    </xf>
    <xf numFmtId="2" fontId="10" fillId="2" borderId="10" xfId="2" applyNumberFormat="1" applyFont="1" applyFill="1" applyBorder="1" applyAlignment="1">
      <alignment shrinkToFit="1"/>
    </xf>
    <xf numFmtId="0" fontId="23" fillId="2" borderId="30" xfId="6" applyFont="1" applyFill="1" applyBorder="1" applyAlignment="1">
      <alignment horizontal="left"/>
    </xf>
    <xf numFmtId="0" fontId="23" fillId="2" borderId="25" xfId="6" applyFont="1" applyFill="1" applyBorder="1"/>
    <xf numFmtId="0" fontId="20" fillId="2" borderId="22" xfId="6" applyFont="1" applyFill="1" applyBorder="1" applyAlignment="1">
      <alignment horizontal="left"/>
    </xf>
    <xf numFmtId="0" fontId="20" fillId="2" borderId="30" xfId="6" applyFont="1" applyFill="1" applyBorder="1" applyAlignment="1">
      <alignment horizontal="left"/>
    </xf>
    <xf numFmtId="0" fontId="20" fillId="2" borderId="25" xfId="6" applyFont="1" applyFill="1" applyBorder="1" applyAlignment="1">
      <alignment horizontal="left"/>
    </xf>
    <xf numFmtId="0" fontId="23" fillId="2" borderId="25" xfId="6" applyFont="1" applyFill="1" applyBorder="1" applyAlignment="1">
      <alignment horizontal="left"/>
    </xf>
    <xf numFmtId="0" fontId="23" fillId="2" borderId="9" xfId="6" applyFont="1" applyFill="1" applyBorder="1" applyAlignment="1">
      <alignment horizontal="left"/>
    </xf>
    <xf numFmtId="0" fontId="23" fillId="2" borderId="22" xfId="6" applyFont="1" applyFill="1" applyBorder="1" applyAlignment="1">
      <alignment horizontal="left"/>
    </xf>
    <xf numFmtId="0" fontId="23" fillId="2" borderId="9" xfId="6" applyFont="1" applyFill="1" applyBorder="1" applyAlignment="1">
      <alignment horizontal="center"/>
    </xf>
    <xf numFmtId="0" fontId="23" fillId="2" borderId="0" xfId="6" applyFont="1" applyFill="1" applyBorder="1" applyAlignment="1">
      <alignment horizontal="center"/>
    </xf>
    <xf numFmtId="43" fontId="22"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3" fillId="2" borderId="0" xfId="6" applyFont="1" applyFill="1"/>
    <xf numFmtId="0" fontId="10" fillId="2" borderId="0" xfId="0" applyFont="1" applyFill="1" applyAlignment="1">
      <alignment shrinkToFit="1"/>
    </xf>
    <xf numFmtId="0" fontId="23" fillId="2" borderId="9" xfId="0" applyFont="1" applyFill="1" applyBorder="1" applyAlignment="1" applyProtection="1">
      <alignment horizontal="left" vertical="center" wrapText="1" shrinkToFit="1"/>
      <protection hidden="1"/>
    </xf>
    <xf numFmtId="0" fontId="23" fillId="2" borderId="9" xfId="0" applyFont="1" applyFill="1" applyBorder="1" applyAlignment="1" applyProtection="1">
      <alignment shrinkToFit="1"/>
      <protection hidden="1"/>
    </xf>
    <xf numFmtId="0" fontId="20" fillId="2" borderId="9" xfId="0" applyFont="1" applyFill="1" applyBorder="1" applyAlignment="1" applyProtection="1">
      <alignment shrinkToFit="1"/>
      <protection hidden="1"/>
    </xf>
    <xf numFmtId="0" fontId="23" fillId="2" borderId="9" xfId="0" applyFont="1" applyFill="1" applyBorder="1" applyAlignment="1" applyProtection="1">
      <alignment vertical="center" shrinkToFit="1"/>
      <protection hidden="1"/>
    </xf>
    <xf numFmtId="0" fontId="20" fillId="2" borderId="9" xfId="0" applyFont="1" applyFill="1" applyBorder="1" applyAlignment="1" applyProtection="1">
      <alignment vertical="center" shrinkToFit="1"/>
      <protection hidden="1"/>
    </xf>
    <xf numFmtId="0" fontId="20" fillId="2" borderId="9" xfId="0" applyFont="1" applyFill="1" applyBorder="1" applyAlignment="1" applyProtection="1">
      <alignment horizontal="left" vertical="center" shrinkToFit="1"/>
      <protection hidden="1"/>
    </xf>
    <xf numFmtId="0" fontId="23" fillId="2" borderId="32" xfId="0" applyFont="1" applyFill="1" applyBorder="1" applyAlignment="1" applyProtection="1">
      <alignment horizontal="left" vertical="center" shrinkToFit="1"/>
      <protection hidden="1"/>
    </xf>
    <xf numFmtId="164" fontId="19" fillId="2" borderId="9" xfId="1" applyNumberFormat="1" applyFont="1" applyFill="1" applyBorder="1" applyAlignment="1">
      <alignment horizontal="center" vertical="center"/>
    </xf>
    <xf numFmtId="165" fontId="26" fillId="2" borderId="0" xfId="0" applyNumberFormat="1" applyFont="1" applyFill="1" applyProtection="1">
      <protection hidden="1"/>
    </xf>
    <xf numFmtId="0" fontId="27" fillId="2" borderId="9" xfId="0" applyFont="1" applyFill="1" applyBorder="1" applyAlignment="1" applyProtection="1">
      <alignment vertical="center"/>
      <protection hidden="1"/>
    </xf>
    <xf numFmtId="43" fontId="2" fillId="0" borderId="9" xfId="1" applyFont="1" applyBorder="1"/>
    <xf numFmtId="0" fontId="28" fillId="2" borderId="9" xfId="0" applyFont="1" applyFill="1" applyBorder="1" applyAlignment="1" applyProtection="1">
      <alignment vertical="center"/>
      <protection hidden="1"/>
    </xf>
    <xf numFmtId="43" fontId="0" fillId="0" borderId="9" xfId="1" applyFont="1" applyBorder="1"/>
    <xf numFmtId="0" fontId="28" fillId="2" borderId="9" xfId="0" applyFont="1" applyFill="1" applyBorder="1" applyAlignment="1" applyProtection="1">
      <alignment horizontal="left" vertical="center" indent="2"/>
      <protection hidden="1"/>
    </xf>
    <xf numFmtId="0" fontId="27" fillId="2" borderId="22" xfId="0" applyFont="1" applyFill="1" applyBorder="1" applyAlignment="1" applyProtection="1">
      <alignment vertical="center"/>
      <protection hidden="1"/>
    </xf>
    <xf numFmtId="43" fontId="2" fillId="0" borderId="22" xfId="1" applyFont="1" applyBorder="1"/>
    <xf numFmtId="0" fontId="27" fillId="2" borderId="9" xfId="0" applyFont="1" applyFill="1" applyBorder="1" applyAlignment="1" applyProtection="1">
      <alignment horizontal="center" vertical="center"/>
      <protection hidden="1"/>
    </xf>
    <xf numFmtId="43" fontId="27" fillId="2" borderId="9" xfId="1" applyFont="1" applyFill="1" applyBorder="1"/>
    <xf numFmtId="0" fontId="0" fillId="0" borderId="0" xfId="0" applyFont="1"/>
    <xf numFmtId="43" fontId="28" fillId="2" borderId="11" xfId="1" applyFont="1" applyFill="1" applyBorder="1" applyProtection="1">
      <protection hidden="1"/>
    </xf>
    <xf numFmtId="43" fontId="27" fillId="2" borderId="25" xfId="1" applyFont="1" applyFill="1" applyBorder="1"/>
    <xf numFmtId="43" fontId="28" fillId="2" borderId="9" xfId="1" applyFont="1" applyFill="1" applyBorder="1"/>
    <xf numFmtId="43" fontId="27" fillId="2" borderId="22" xfId="1" applyFont="1" applyFill="1" applyBorder="1"/>
    <xf numFmtId="0" fontId="3" fillId="2" borderId="11" xfId="0" applyFont="1" applyFill="1" applyBorder="1" applyAlignment="1">
      <alignment horizontal="center" vertical="center"/>
    </xf>
    <xf numFmtId="0" fontId="15" fillId="2" borderId="9" xfId="0" applyFont="1" applyFill="1" applyBorder="1" applyAlignment="1">
      <alignment horizontal="left" vertical="center"/>
    </xf>
    <xf numFmtId="1" fontId="15" fillId="2" borderId="9" xfId="0" applyNumberFormat="1" applyFont="1" applyFill="1" applyBorder="1" applyAlignment="1">
      <alignment horizontal="center" vertical="center" wrapText="1"/>
    </xf>
    <xf numFmtId="0" fontId="14" fillId="2" borderId="9" xfId="0" applyFont="1" applyFill="1" applyBorder="1" applyAlignment="1">
      <alignment horizontal="center" vertical="top" wrapText="1"/>
    </xf>
    <xf numFmtId="0" fontId="14" fillId="2" borderId="9" xfId="0" applyFont="1" applyFill="1" applyBorder="1" applyAlignment="1">
      <alignment horizontal="center" vertical="top"/>
    </xf>
    <xf numFmtId="0" fontId="14" fillId="2" borderId="9" xfId="0" applyFont="1" applyFill="1" applyBorder="1" applyAlignment="1">
      <alignment vertical="top"/>
    </xf>
    <xf numFmtId="164" fontId="14" fillId="2" borderId="9" xfId="1" applyNumberFormat="1" applyFont="1" applyFill="1" applyBorder="1" applyAlignment="1">
      <alignment horizontal="center" vertical="top"/>
    </xf>
    <xf numFmtId="0" fontId="14" fillId="3" borderId="9" xfId="0" applyFont="1" applyFill="1" applyBorder="1" applyAlignment="1">
      <alignment horizontal="center" vertical="top" wrapText="1"/>
    </xf>
    <xf numFmtId="0" fontId="15" fillId="3" borderId="9" xfId="0" applyFont="1" applyFill="1" applyBorder="1" applyAlignment="1">
      <alignment horizontal="center" vertical="top"/>
    </xf>
    <xf numFmtId="0" fontId="15" fillId="3" borderId="9" xfId="0" applyFont="1" applyFill="1" applyBorder="1" applyAlignment="1">
      <alignment vertical="top"/>
    </xf>
    <xf numFmtId="164" fontId="14" fillId="3" borderId="9" xfId="1" applyNumberFormat="1" applyFont="1" applyFill="1" applyBorder="1" applyAlignment="1">
      <alignment horizontal="center" vertical="top"/>
    </xf>
    <xf numFmtId="0" fontId="14" fillId="2" borderId="22" xfId="0" applyFont="1" applyFill="1" applyBorder="1" applyAlignment="1">
      <alignment horizontal="center" vertical="top" wrapText="1"/>
    </xf>
    <xf numFmtId="0" fontId="14" fillId="2" borderId="22" xfId="0" applyFont="1" applyFill="1" applyBorder="1" applyAlignment="1">
      <alignment vertical="top"/>
    </xf>
    <xf numFmtId="0" fontId="14" fillId="2" borderId="25" xfId="0" applyFont="1" applyFill="1" applyBorder="1" applyAlignment="1">
      <alignment horizontal="center" vertical="top" wrapText="1"/>
    </xf>
    <xf numFmtId="0" fontId="15" fillId="2" borderId="23" xfId="0" applyFont="1" applyFill="1" applyBorder="1" applyAlignment="1">
      <alignment horizontal="center" vertical="top"/>
    </xf>
    <xf numFmtId="0" fontId="3" fillId="2" borderId="24" xfId="0" applyFont="1" applyFill="1" applyBorder="1"/>
    <xf numFmtId="164" fontId="15" fillId="2" borderId="9" xfId="1" applyNumberFormat="1" applyFont="1" applyFill="1" applyBorder="1" applyAlignment="1">
      <alignment horizontal="center" vertical="top"/>
    </xf>
    <xf numFmtId="0" fontId="14" fillId="2" borderId="0" xfId="0" applyFont="1" applyFill="1" applyAlignment="1">
      <alignment horizontal="center" vertical="top" wrapText="1"/>
    </xf>
    <xf numFmtId="0" fontId="3" fillId="2" borderId="9" xfId="0" applyFont="1" applyFill="1" applyBorder="1"/>
    <xf numFmtId="164" fontId="10"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5"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10" fillId="2" borderId="9" xfId="0" applyNumberFormat="1" applyFont="1" applyFill="1" applyBorder="1"/>
    <xf numFmtId="164" fontId="3" fillId="2" borderId="9" xfId="0" applyNumberFormat="1" applyFont="1" applyFill="1" applyBorder="1"/>
    <xf numFmtId="0" fontId="10" fillId="2" borderId="0" xfId="0" applyFont="1" applyFill="1" applyAlignment="1">
      <alignment horizontal="center"/>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22" fillId="2" borderId="25" xfId="6" applyFont="1" applyFill="1" applyBorder="1" applyAlignment="1">
      <alignment horizontal="center" vertic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5" fillId="2" borderId="9" xfId="0" applyFont="1" applyFill="1" applyBorder="1" applyAlignment="1">
      <alignment horizontal="center" shrinkToFit="1"/>
    </xf>
    <xf numFmtId="0" fontId="15" fillId="2" borderId="9" xfId="0" applyFont="1" applyFill="1" applyBorder="1" applyAlignment="1">
      <alignment horizontal="center"/>
    </xf>
    <xf numFmtId="43" fontId="15" fillId="2" borderId="9" xfId="1" applyFont="1" applyFill="1" applyBorder="1" applyAlignment="1">
      <alignment horizontal="center"/>
    </xf>
    <xf numFmtId="0" fontId="14" fillId="2" borderId="9" xfId="0" applyFont="1" applyFill="1" applyBorder="1"/>
    <xf numFmtId="0" fontId="10" fillId="2" borderId="9" xfId="0" applyFont="1" applyFill="1" applyBorder="1" applyAlignment="1">
      <alignment horizontal="center" vertical="top"/>
    </xf>
    <xf numFmtId="43" fontId="3" fillId="2" borderId="9" xfId="1" applyNumberFormat="1" applyFont="1" applyFill="1" applyBorder="1"/>
    <xf numFmtId="0" fontId="3" fillId="2" borderId="9" xfId="0" applyFont="1" applyFill="1" applyBorder="1" applyAlignment="1">
      <alignment horizontal="center"/>
    </xf>
    <xf numFmtId="0" fontId="15" fillId="2" borderId="9" xfId="0" applyFont="1" applyFill="1" applyBorder="1" applyAlignment="1">
      <alignment horizontal="center" vertical="center" shrinkToFit="1"/>
    </xf>
    <xf numFmtId="0" fontId="15" fillId="2" borderId="9" xfId="0" applyFont="1" applyFill="1" applyBorder="1" applyAlignment="1">
      <alignment shrinkToFit="1"/>
    </xf>
    <xf numFmtId="0" fontId="10" fillId="2" borderId="9" xfId="0" applyFont="1" applyFill="1" applyBorder="1" applyAlignment="1">
      <alignment wrapText="1"/>
    </xf>
    <xf numFmtId="0" fontId="15" fillId="2" borderId="22" xfId="0" applyFont="1" applyFill="1" applyBorder="1"/>
    <xf numFmtId="43" fontId="3" fillId="2" borderId="22" xfId="1" applyNumberFormat="1" applyFont="1" applyFill="1" applyBorder="1"/>
    <xf numFmtId="0" fontId="10" fillId="2" borderId="33" xfId="0" applyFont="1" applyFill="1" applyBorder="1"/>
    <xf numFmtId="0" fontId="10" fillId="2" borderId="10" xfId="0" applyFont="1" applyFill="1" applyBorder="1" applyAlignment="1">
      <alignment shrinkToFit="1"/>
    </xf>
    <xf numFmtId="43" fontId="10" fillId="2" borderId="10" xfId="1" applyFont="1" applyFill="1" applyBorder="1"/>
    <xf numFmtId="0" fontId="3" fillId="2" borderId="25" xfId="0" applyFont="1" applyFill="1" applyBorder="1"/>
    <xf numFmtId="0" fontId="10" fillId="2" borderId="25" xfId="0" applyFont="1" applyFill="1" applyBorder="1"/>
    <xf numFmtId="0" fontId="3" fillId="2" borderId="25" xfId="0" applyFont="1" applyFill="1" applyBorder="1" applyAlignment="1">
      <alignment horizontal="center"/>
    </xf>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4" fillId="2" borderId="9" xfId="0" applyFont="1" applyFill="1" applyBorder="1" applyProtection="1">
      <protection hidden="1"/>
    </xf>
    <xf numFmtId="0" fontId="10" fillId="2" borderId="9" xfId="0" applyFont="1" applyFill="1" applyBorder="1" applyProtection="1">
      <protection hidden="1"/>
    </xf>
    <xf numFmtId="0" fontId="10" fillId="2" borderId="9" xfId="0" applyFont="1" applyFill="1" applyBorder="1" applyAlignment="1" applyProtection="1">
      <alignment wrapText="1"/>
      <protection hidden="1"/>
    </xf>
    <xf numFmtId="0" fontId="15" fillId="2" borderId="9" xfId="0" applyFont="1" applyFill="1" applyBorder="1"/>
    <xf numFmtId="0" fontId="3" fillId="2" borderId="0" xfId="0" applyFont="1" applyFill="1" applyAlignment="1">
      <alignment horizontal="center"/>
    </xf>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10"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10" fillId="2" borderId="25" xfId="0" applyFont="1" applyFill="1" applyBorder="1" applyAlignment="1">
      <alignment horizontal="left"/>
    </xf>
    <xf numFmtId="0" fontId="10" fillId="2" borderId="25" xfId="0" applyFont="1" applyFill="1" applyBorder="1" applyAlignment="1">
      <alignment horizontal="center"/>
    </xf>
    <xf numFmtId="0" fontId="10" fillId="2" borderId="35" xfId="0" applyFont="1" applyFill="1" applyBorder="1" applyAlignment="1">
      <alignment horizontal="left"/>
    </xf>
    <xf numFmtId="0" fontId="10" fillId="2" borderId="36" xfId="0" applyFont="1" applyFill="1" applyBorder="1" applyAlignment="1">
      <alignment horizontal="left"/>
    </xf>
    <xf numFmtId="0" fontId="10" fillId="2" borderId="36" xfId="0" applyFont="1" applyFill="1" applyBorder="1" applyAlignment="1">
      <alignment horizontal="center"/>
    </xf>
    <xf numFmtId="0" fontId="10" fillId="2" borderId="37" xfId="0" applyFont="1" applyFill="1" applyBorder="1" applyAlignment="1">
      <alignment horizontal="left"/>
    </xf>
    <xf numFmtId="0" fontId="10" fillId="2" borderId="38" xfId="0" applyFont="1" applyFill="1" applyBorder="1" applyAlignment="1">
      <alignment horizontal="left"/>
    </xf>
    <xf numFmtId="0" fontId="10" fillId="2" borderId="38" xfId="0" applyFont="1" applyFill="1" applyBorder="1" applyAlignment="1">
      <alignment horizontal="center"/>
    </xf>
    <xf numFmtId="0" fontId="10" fillId="2" borderId="39" xfId="0" applyFont="1" applyFill="1" applyBorder="1" applyAlignment="1">
      <alignment horizontal="left"/>
    </xf>
    <xf numFmtId="0" fontId="10" fillId="2" borderId="22" xfId="0" applyFont="1" applyFill="1" applyBorder="1" applyAlignment="1">
      <alignment horizontal="center"/>
    </xf>
    <xf numFmtId="0" fontId="10" fillId="2" borderId="30" xfId="0" applyFont="1" applyFill="1" applyBorder="1" applyAlignment="1">
      <alignment horizontal="left"/>
    </xf>
    <xf numFmtId="0" fontId="10" fillId="2" borderId="30" xfId="0" applyFont="1" applyFill="1" applyBorder="1" applyAlignment="1">
      <alignment horizontal="center"/>
    </xf>
    <xf numFmtId="0" fontId="10" fillId="2" borderId="40" xfId="0" applyFont="1" applyFill="1" applyBorder="1" applyAlignment="1">
      <alignment horizontal="left"/>
    </xf>
    <xf numFmtId="0" fontId="3" fillId="2" borderId="9" xfId="0" applyFont="1" applyFill="1" applyBorder="1" applyAlignment="1">
      <alignment horizontal="left" vertical="center" indent="3"/>
    </xf>
    <xf numFmtId="0" fontId="10" fillId="2" borderId="0" xfId="0" applyFont="1" applyFill="1" applyBorder="1" applyAlignment="1">
      <alignment horizontal="center"/>
    </xf>
    <xf numFmtId="0" fontId="10" fillId="2" borderId="0" xfId="0" applyFont="1" applyFill="1" applyBorder="1" applyAlignment="1">
      <alignment horizontal="left"/>
    </xf>
    <xf numFmtId="0" fontId="3" fillId="2" borderId="0" xfId="0" applyFont="1" applyFill="1" applyBorder="1" applyAlignment="1">
      <alignment horizontal="left" vertical="center" indent="3"/>
    </xf>
    <xf numFmtId="0" fontId="3" fillId="2" borderId="0" xfId="0" applyFont="1" applyFill="1" applyAlignment="1">
      <alignment horizontal="left" vertical="center" indent="3"/>
    </xf>
    <xf numFmtId="0" fontId="20" fillId="2" borderId="0" xfId="0" applyFont="1" applyFill="1" applyAlignment="1" applyProtection="1">
      <alignment horizontal="left" shrinkToFit="1"/>
      <protection hidden="1"/>
    </xf>
    <xf numFmtId="0" fontId="10" fillId="2" borderId="0" xfId="0" applyFont="1" applyFill="1" applyAlignment="1" applyProtection="1">
      <alignment horizontal="center"/>
      <protection hidden="1"/>
    </xf>
    <xf numFmtId="0" fontId="30" fillId="0" borderId="0" xfId="0" applyFont="1" applyFill="1" applyBorder="1" applyAlignment="1" applyProtection="1">
      <alignment horizontal="center" vertical="center"/>
      <protection hidden="1"/>
    </xf>
    <xf numFmtId="0" fontId="30" fillId="4" borderId="26" xfId="0" applyFont="1" applyFill="1" applyBorder="1" applyAlignment="1" applyProtection="1">
      <alignment horizontal="center" vertical="center" wrapText="1"/>
      <protection hidden="1"/>
    </xf>
    <xf numFmtId="0" fontId="30" fillId="4" borderId="27" xfId="0" applyFont="1" applyFill="1" applyBorder="1" applyAlignment="1" applyProtection="1">
      <alignment horizontal="center" vertical="center" wrapText="1"/>
      <protection hidden="1"/>
    </xf>
    <xf numFmtId="0" fontId="30" fillId="4" borderId="41" xfId="0" applyFont="1" applyFill="1" applyBorder="1" applyAlignment="1" applyProtection="1">
      <alignment horizontal="center" vertical="center" wrapText="1"/>
      <protection hidden="1"/>
    </xf>
    <xf numFmtId="0" fontId="30" fillId="4" borderId="42" xfId="0" applyFont="1" applyFill="1" applyBorder="1" applyAlignment="1" applyProtection="1">
      <alignment horizontal="center" vertical="center" wrapText="1"/>
      <protection hidden="1"/>
    </xf>
    <xf numFmtId="0" fontId="30" fillId="4" borderId="28" xfId="0" applyFont="1" applyFill="1" applyBorder="1" applyAlignment="1" applyProtection="1">
      <alignment horizontal="center" vertical="center" wrapText="1"/>
      <protection hidden="1"/>
    </xf>
    <xf numFmtId="0" fontId="30" fillId="4" borderId="9" xfId="0" applyFont="1" applyFill="1" applyBorder="1" applyAlignment="1" applyProtection="1">
      <alignment horizontal="center" vertical="center" wrapText="1"/>
      <protection hidden="1"/>
    </xf>
    <xf numFmtId="0" fontId="30" fillId="4" borderId="25" xfId="0" applyFont="1" applyFill="1" applyBorder="1" applyAlignment="1" applyProtection="1">
      <alignment horizontal="center" vertical="center" wrapText="1"/>
      <protection hidden="1"/>
    </xf>
    <xf numFmtId="0" fontId="30" fillId="4" borderId="43" xfId="0" applyFont="1" applyFill="1" applyBorder="1" applyAlignment="1" applyProtection="1">
      <alignment horizontal="center" vertical="center" wrapText="1"/>
      <protection hidden="1"/>
    </xf>
    <xf numFmtId="0" fontId="31" fillId="0" borderId="28" xfId="0" applyFont="1" applyBorder="1" applyAlignment="1">
      <alignment horizontal="center" vertical="center"/>
    </xf>
    <xf numFmtId="43" fontId="32" fillId="0" borderId="9" xfId="4" applyFont="1" applyBorder="1" applyAlignment="1" applyProtection="1">
      <alignment vertical="center" wrapText="1"/>
      <protection hidden="1"/>
    </xf>
    <xf numFmtId="2" fontId="28" fillId="0" borderId="9" xfId="2" applyNumberFormat="1" applyFont="1" applyFill="1" applyBorder="1" applyAlignment="1" applyProtection="1">
      <alignment vertical="center"/>
      <protection hidden="1"/>
    </xf>
    <xf numFmtId="2" fontId="1" fillId="0" borderId="9" xfId="2" applyNumberFormat="1" applyFont="1" applyFill="1" applyBorder="1" applyAlignment="1" applyProtection="1">
      <alignment vertical="center"/>
      <protection hidden="1"/>
    </xf>
    <xf numFmtId="2" fontId="1" fillId="0" borderId="43" xfId="2" applyNumberFormat="1" applyFont="1" applyFill="1" applyBorder="1" applyAlignment="1" applyProtection="1">
      <alignment vertical="center"/>
      <protection hidden="1"/>
    </xf>
    <xf numFmtId="43" fontId="32" fillId="0" borderId="9" xfId="4" applyFont="1" applyBorder="1" applyAlignment="1" applyProtection="1">
      <alignment horizontal="left" vertical="center" wrapText="1"/>
      <protection hidden="1"/>
    </xf>
    <xf numFmtId="43" fontId="32" fillId="0" borderId="9" xfId="4" applyFont="1" applyFill="1" applyBorder="1" applyAlignment="1" applyProtection="1">
      <alignment vertical="center" wrapText="1"/>
      <protection hidden="1"/>
    </xf>
    <xf numFmtId="2" fontId="28" fillId="0" borderId="43" xfId="2" applyNumberFormat="1" applyFont="1" applyFill="1" applyBorder="1" applyAlignment="1" applyProtection="1">
      <alignment vertical="center"/>
      <protection hidden="1"/>
    </xf>
    <xf numFmtId="43" fontId="32" fillId="4" borderId="9" xfId="4" applyFont="1" applyFill="1" applyBorder="1" applyAlignment="1" applyProtection="1">
      <alignment vertical="center" wrapText="1"/>
      <protection hidden="1"/>
    </xf>
    <xf numFmtId="2" fontId="28" fillId="4" borderId="9" xfId="2" applyNumberFormat="1" applyFont="1" applyFill="1" applyBorder="1" applyAlignment="1" applyProtection="1">
      <alignment vertical="center"/>
      <protection hidden="1"/>
    </xf>
    <xf numFmtId="2" fontId="1" fillId="4" borderId="9" xfId="2" applyNumberFormat="1" applyFont="1" applyFill="1" applyBorder="1" applyAlignment="1" applyProtection="1">
      <alignment vertical="center"/>
      <protection hidden="1"/>
    </xf>
    <xf numFmtId="2" fontId="1" fillId="4" borderId="43" xfId="2" applyNumberFormat="1" applyFont="1" applyFill="1" applyBorder="1" applyAlignment="1" applyProtection="1">
      <alignment vertical="center"/>
      <protection hidden="1"/>
    </xf>
    <xf numFmtId="43" fontId="32" fillId="0" borderId="22" xfId="4" applyFont="1" applyBorder="1" applyAlignment="1" applyProtection="1">
      <alignment vertical="center" wrapText="1"/>
      <protection hidden="1"/>
    </xf>
    <xf numFmtId="2" fontId="28" fillId="0" borderId="22" xfId="2" applyNumberFormat="1" applyFont="1" applyFill="1" applyBorder="1" applyAlignment="1" applyProtection="1">
      <alignment vertical="center"/>
      <protection hidden="1"/>
    </xf>
    <xf numFmtId="2" fontId="1" fillId="0" borderId="22" xfId="2" applyNumberFormat="1" applyFont="1" applyFill="1" applyBorder="1" applyAlignment="1" applyProtection="1">
      <alignment vertical="center"/>
      <protection hidden="1"/>
    </xf>
    <xf numFmtId="2" fontId="1" fillId="0" borderId="44" xfId="2" applyNumberFormat="1" applyFont="1" applyFill="1" applyBorder="1" applyAlignment="1" applyProtection="1">
      <alignment vertical="center"/>
      <protection hidden="1"/>
    </xf>
    <xf numFmtId="2" fontId="1" fillId="0" borderId="19" xfId="2" applyNumberFormat="1" applyFont="1" applyFill="1" applyBorder="1" applyAlignment="1" applyProtection="1">
      <alignment vertical="center"/>
      <protection hidden="1"/>
    </xf>
    <xf numFmtId="0" fontId="31" fillId="0" borderId="29" xfId="0" applyFont="1" applyBorder="1" applyAlignment="1">
      <alignment horizontal="center" vertical="center"/>
    </xf>
    <xf numFmtId="0" fontId="31" fillId="0" borderId="45" xfId="0" applyFont="1" applyBorder="1" applyAlignment="1">
      <alignment horizontal="center" vertical="center"/>
    </xf>
    <xf numFmtId="0" fontId="31" fillId="0" borderId="46" xfId="0" applyFont="1" applyBorder="1" applyAlignment="1">
      <alignment vertical="center"/>
    </xf>
    <xf numFmtId="44" fontId="33" fillId="0" borderId="47" xfId="1" applyNumberFormat="1" applyFont="1" applyBorder="1" applyAlignment="1">
      <alignment vertical="center" wrapText="1"/>
    </xf>
    <xf numFmtId="2" fontId="31" fillId="0" borderId="47" xfId="1" applyNumberFormat="1" applyFont="1" applyBorder="1" applyAlignment="1">
      <alignment vertical="center"/>
    </xf>
    <xf numFmtId="0" fontId="34" fillId="0" borderId="48" xfId="0" applyFont="1" applyFill="1" applyBorder="1" applyAlignment="1" applyProtection="1">
      <alignment horizontal="center" vertical="center"/>
      <protection hidden="1"/>
    </xf>
    <xf numFmtId="2" fontId="28" fillId="4" borderId="43" xfId="2" applyNumberFormat="1" applyFont="1" applyFill="1" applyBorder="1" applyAlignment="1" applyProtection="1">
      <alignment vertical="center"/>
      <protection hidden="1"/>
    </xf>
    <xf numFmtId="2" fontId="28" fillId="0" borderId="44" xfId="2" applyNumberFormat="1" applyFont="1" applyFill="1" applyBorder="1" applyAlignment="1" applyProtection="1">
      <alignment vertical="center"/>
      <protection hidden="1"/>
    </xf>
    <xf numFmtId="2" fontId="28" fillId="0" borderId="19" xfId="2" applyNumberFormat="1" applyFont="1" applyFill="1" applyBorder="1" applyAlignment="1" applyProtection="1">
      <alignment vertical="center"/>
      <protection hidden="1"/>
    </xf>
    <xf numFmtId="44" fontId="35" fillId="0" borderId="47" xfId="1" applyNumberFormat="1" applyFont="1" applyBorder="1" applyAlignment="1">
      <alignment vertical="center" wrapText="1"/>
    </xf>
    <xf numFmtId="1" fontId="0" fillId="0" borderId="0" xfId="0" applyNumberFormat="1"/>
    <xf numFmtId="1" fontId="30" fillId="4" borderId="27" xfId="0" applyNumberFormat="1" applyFont="1" applyFill="1" applyBorder="1" applyAlignment="1" applyProtection="1">
      <alignment horizontal="center" vertical="center" wrapText="1"/>
      <protection hidden="1"/>
    </xf>
    <xf numFmtId="1" fontId="30" fillId="4" borderId="42" xfId="0" applyNumberFormat="1" applyFont="1" applyFill="1" applyBorder="1" applyAlignment="1" applyProtection="1">
      <alignment horizontal="center" vertical="center" wrapText="1"/>
      <protection hidden="1"/>
    </xf>
    <xf numFmtId="1" fontId="30" fillId="4" borderId="9" xfId="0" applyNumberFormat="1" applyFont="1" applyFill="1" applyBorder="1" applyAlignment="1" applyProtection="1">
      <alignment horizontal="center" vertical="center" wrapText="1"/>
      <protection hidden="1"/>
    </xf>
    <xf numFmtId="1" fontId="30" fillId="4" borderId="43" xfId="0" applyNumberFormat="1" applyFont="1" applyFill="1" applyBorder="1" applyAlignment="1" applyProtection="1">
      <alignment horizontal="center" vertical="center" wrapText="1"/>
      <protection hidden="1"/>
    </xf>
    <xf numFmtId="164" fontId="1" fillId="0" borderId="9" xfId="1" applyNumberFormat="1" applyFont="1" applyFill="1" applyBorder="1" applyAlignment="1" applyProtection="1">
      <alignment vertical="center"/>
      <protection hidden="1"/>
    </xf>
    <xf numFmtId="164" fontId="1" fillId="0" borderId="43" xfId="1" applyNumberFormat="1" applyFont="1" applyFill="1" applyBorder="1" applyAlignment="1" applyProtection="1">
      <alignment vertical="center"/>
      <protection hidden="1"/>
    </xf>
    <xf numFmtId="164" fontId="28" fillId="0" borderId="9" xfId="1" applyNumberFormat="1" applyFont="1" applyFill="1" applyBorder="1" applyAlignment="1" applyProtection="1">
      <alignment vertical="center"/>
      <protection hidden="1"/>
    </xf>
    <xf numFmtId="164" fontId="1" fillId="4" borderId="9" xfId="1" applyNumberFormat="1" applyFont="1" applyFill="1" applyBorder="1" applyAlignment="1" applyProtection="1">
      <alignment vertical="center"/>
      <protection hidden="1"/>
    </xf>
    <xf numFmtId="164" fontId="1" fillId="4" borderId="43" xfId="1" applyNumberFormat="1" applyFont="1" applyFill="1" applyBorder="1" applyAlignment="1" applyProtection="1">
      <alignment vertical="center"/>
      <protection hidden="1"/>
    </xf>
    <xf numFmtId="164" fontId="1" fillId="0" borderId="22" xfId="1" applyNumberFormat="1" applyFont="1" applyFill="1" applyBorder="1" applyAlignment="1" applyProtection="1">
      <alignment vertical="center"/>
      <protection hidden="1"/>
    </xf>
    <xf numFmtId="164" fontId="1" fillId="0" borderId="44" xfId="1" applyNumberFormat="1" applyFont="1" applyFill="1" applyBorder="1" applyAlignment="1" applyProtection="1">
      <alignment vertical="center"/>
      <protection hidden="1"/>
    </xf>
    <xf numFmtId="43" fontId="32" fillId="0" borderId="9" xfId="4" applyFont="1" applyBorder="1" applyAlignment="1" applyProtection="1">
      <alignment vertical="center"/>
      <protection hidden="1"/>
    </xf>
    <xf numFmtId="43" fontId="32" fillId="0" borderId="22" xfId="4" applyFont="1" applyBorder="1" applyAlignment="1" applyProtection="1">
      <alignment vertical="center"/>
      <protection hidden="1"/>
    </xf>
    <xf numFmtId="164" fontId="1" fillId="0" borderId="47" xfId="1" applyNumberFormat="1" applyFont="1" applyBorder="1" applyAlignment="1">
      <alignment vertical="center"/>
    </xf>
    <xf numFmtId="164" fontId="1" fillId="0" borderId="49" xfId="1" applyNumberFormat="1" applyFont="1" applyFill="1" applyBorder="1" applyAlignment="1" applyProtection="1">
      <alignment vertical="center"/>
      <protection hidden="1"/>
    </xf>
    <xf numFmtId="0" fontId="34" fillId="0" borderId="0" xfId="0" applyFont="1" applyFill="1" applyBorder="1" applyAlignment="1" applyProtection="1">
      <alignment horizontal="center" vertical="center"/>
      <protection hidden="1"/>
    </xf>
    <xf numFmtId="2" fontId="0" fillId="2" borderId="9" xfId="0" applyNumberFormat="1" applyFont="1" applyFill="1" applyBorder="1"/>
    <xf numFmtId="2" fontId="0" fillId="2" borderId="43" xfId="0" applyNumberFormat="1" applyFont="1" applyFill="1" applyBorder="1"/>
    <xf numFmtId="2" fontId="0" fillId="4" borderId="9" xfId="0" applyNumberFormat="1" applyFont="1" applyFill="1" applyBorder="1"/>
    <xf numFmtId="2" fontId="0" fillId="4" borderId="43" xfId="0" applyNumberFormat="1" applyFont="1" applyFill="1" applyBorder="1"/>
    <xf numFmtId="0" fontId="0" fillId="0" borderId="9" xfId="0" applyBorder="1"/>
    <xf numFmtId="0" fontId="0" fillId="0" borderId="43" xfId="0" applyBorder="1"/>
    <xf numFmtId="2" fontId="0" fillId="2" borderId="22" xfId="0" applyNumberFormat="1" applyFont="1" applyFill="1" applyBorder="1"/>
    <xf numFmtId="2" fontId="0" fillId="2" borderId="44" xfId="0" applyNumberFormat="1" applyFont="1" applyFill="1" applyBorder="1"/>
    <xf numFmtId="2" fontId="0" fillId="2" borderId="49" xfId="0" applyNumberFormat="1" applyFont="1" applyFill="1" applyBorder="1"/>
    <xf numFmtId="167" fontId="0" fillId="0" borderId="0" xfId="1" applyNumberFormat="1" applyFont="1"/>
    <xf numFmtId="0" fontId="4" fillId="0" borderId="0" xfId="0" applyFont="1" applyBorder="1" applyAlignment="1">
      <alignment vertical="center"/>
    </xf>
    <xf numFmtId="0" fontId="4" fillId="0" borderId="17" xfId="0" applyFont="1" applyBorder="1" applyAlignment="1">
      <alignment vertical="center"/>
    </xf>
    <xf numFmtId="0" fontId="31" fillId="0" borderId="28" xfId="0" applyFont="1" applyBorder="1" applyAlignment="1">
      <alignment vertical="center"/>
    </xf>
    <xf numFmtId="43" fontId="0" fillId="2" borderId="9" xfId="1" applyFont="1" applyFill="1" applyBorder="1"/>
    <xf numFmtId="0" fontId="31" fillId="0" borderId="29" xfId="0" applyFont="1" applyBorder="1" applyAlignment="1">
      <alignment vertical="center"/>
    </xf>
    <xf numFmtId="43" fontId="0" fillId="2" borderId="22" xfId="1" applyFont="1" applyFill="1" applyBorder="1"/>
    <xf numFmtId="17" fontId="31" fillId="0" borderId="50" xfId="0" quotePrefix="1" applyNumberFormat="1" applyFont="1" applyBorder="1" applyAlignment="1">
      <alignment vertical="center"/>
    </xf>
    <xf numFmtId="43" fontId="0" fillId="2" borderId="47" xfId="1" applyFont="1" applyFill="1" applyBorder="1"/>
    <xf numFmtId="0" fontId="0" fillId="0" borderId="0" xfId="0" applyAlignment="1">
      <alignment horizontal="center" vertical="center"/>
    </xf>
    <xf numFmtId="0" fontId="34" fillId="0" borderId="48" xfId="0" applyFont="1" applyFill="1" applyBorder="1" applyAlignment="1" applyProtection="1">
      <alignment horizontal="center" vertical="center" wrapText="1"/>
      <protection hidden="1"/>
    </xf>
    <xf numFmtId="0" fontId="30" fillId="4" borderId="26" xfId="0" applyFont="1" applyFill="1" applyBorder="1" applyAlignment="1" applyProtection="1">
      <alignment horizontal="left" vertical="center" wrapText="1"/>
      <protection hidden="1"/>
    </xf>
    <xf numFmtId="0" fontId="4" fillId="0" borderId="17" xfId="0" applyFont="1" applyBorder="1" applyAlignment="1">
      <alignment horizontal="center" vertical="center"/>
    </xf>
    <xf numFmtId="0" fontId="30" fillId="4" borderId="28" xfId="0" applyFont="1" applyFill="1" applyBorder="1" applyAlignment="1" applyProtection="1">
      <alignment horizontal="left" vertical="center" wrapText="1"/>
      <protection hidden="1"/>
    </xf>
    <xf numFmtId="43" fontId="0" fillId="2" borderId="9" xfId="1" applyFont="1" applyFill="1" applyBorder="1" applyAlignment="1">
      <alignment horizontal="center" vertical="center"/>
    </xf>
    <xf numFmtId="43" fontId="0" fillId="2" borderId="22" xfId="1" applyFont="1" applyFill="1" applyBorder="1" applyAlignment="1">
      <alignment horizontal="center" vertical="center"/>
    </xf>
    <xf numFmtId="0" fontId="34" fillId="0" borderId="9" xfId="0" applyFont="1" applyFill="1" applyBorder="1" applyAlignment="1" applyProtection="1">
      <alignment horizontal="center" vertical="center" wrapText="1"/>
      <protection hidden="1"/>
    </xf>
    <xf numFmtId="0" fontId="30" fillId="4" borderId="31" xfId="0" applyFont="1" applyFill="1" applyBorder="1" applyAlignment="1" applyProtection="1">
      <alignment horizontal="center" vertical="center" wrapText="1"/>
      <protection hidden="1"/>
    </xf>
    <xf numFmtId="10" fontId="0" fillId="2" borderId="9" xfId="2" applyNumberFormat="1" applyFont="1" applyFill="1" applyBorder="1" applyAlignment="1">
      <alignment horizontal="center" vertical="center"/>
    </xf>
    <xf numFmtId="10" fontId="0" fillId="0" borderId="0" xfId="2" applyNumberFormat="1" applyFont="1"/>
    <xf numFmtId="10" fontId="0" fillId="0" borderId="0" xfId="0" applyNumberFormat="1"/>
    <xf numFmtId="10" fontId="0" fillId="2" borderId="22" xfId="2" applyNumberFormat="1" applyFont="1" applyFill="1" applyBorder="1" applyAlignment="1">
      <alignment horizontal="center" vertical="center"/>
    </xf>
    <xf numFmtId="43" fontId="0" fillId="0" borderId="0" xfId="1" applyFont="1"/>
    <xf numFmtId="10" fontId="0" fillId="2" borderId="47" xfId="2" applyNumberFormat="1" applyFont="1" applyFill="1" applyBorder="1" applyAlignment="1">
      <alignment horizontal="center"/>
    </xf>
    <xf numFmtId="17" fontId="31" fillId="0" borderId="28" xfId="0" quotePrefix="1" applyNumberFormat="1" applyFont="1" applyBorder="1" applyAlignment="1">
      <alignment vertical="center"/>
    </xf>
    <xf numFmtId="17" fontId="31" fillId="0" borderId="29" xfId="0" quotePrefix="1" applyNumberFormat="1" applyFont="1" applyBorder="1" applyAlignment="1">
      <alignment vertical="center"/>
    </xf>
    <xf numFmtId="0" fontId="34" fillId="0" borderId="15" xfId="0" applyFont="1" applyFill="1" applyBorder="1" applyAlignment="1" applyProtection="1">
      <alignment horizontal="center" vertical="center" wrapText="1"/>
      <protection hidden="1"/>
    </xf>
    <xf numFmtId="0" fontId="34" fillId="0" borderId="10" xfId="0" applyFont="1" applyFill="1" applyBorder="1" applyAlignment="1" applyProtection="1">
      <alignment horizontal="center" vertical="center" wrapText="1"/>
      <protection hidden="1"/>
    </xf>
    <xf numFmtId="0" fontId="34" fillId="0" borderId="16" xfId="0" applyFont="1" applyFill="1" applyBorder="1" applyAlignment="1" applyProtection="1">
      <alignment horizontal="center" vertical="center" wrapText="1"/>
      <protection hidden="1"/>
    </xf>
    <xf numFmtId="0" fontId="30" fillId="4" borderId="28" xfId="0" applyFont="1" applyFill="1" applyBorder="1" applyAlignment="1" applyProtection="1">
      <alignment horizontal="left" vertical="center" wrapText="1"/>
      <protection hidden="1"/>
    </xf>
    <xf numFmtId="0" fontId="30" fillId="4" borderId="9" xfId="0" applyFont="1" applyFill="1" applyBorder="1" applyAlignment="1" applyProtection="1">
      <alignment horizontal="center" vertical="center" wrapText="1"/>
      <protection hidden="1"/>
    </xf>
    <xf numFmtId="10" fontId="0" fillId="0" borderId="9" xfId="2" applyNumberFormat="1" applyFont="1" applyBorder="1" applyAlignment="1">
      <alignment horizontal="center" vertical="center"/>
    </xf>
    <xf numFmtId="10" fontId="0" fillId="0" borderId="22" xfId="2" applyNumberFormat="1" applyFont="1" applyBorder="1" applyAlignment="1">
      <alignment horizontal="center" vertical="center"/>
    </xf>
    <xf numFmtId="0" fontId="0" fillId="0" borderId="17" xfId="2" applyNumberFormat="1" applyFont="1" applyFill="1" applyBorder="1" applyAlignment="1">
      <alignment horizontal="center" vertical="center"/>
    </xf>
  </cellXfs>
  <cellStyles count="8">
    <cellStyle name="Comma" xfId="1" builtinId="3"/>
    <cellStyle name="Comma 2" xfId="4" xr:uid="{2F450EA9-1C70-42F1-BC89-0BF36DF726C2}"/>
    <cellStyle name="Comma 2 2" xfId="7" xr:uid="{20323409-6C1A-486D-8EEB-2F62C50D9BE6}"/>
    <cellStyle name="Hyperlink" xfId="3" builtinId="8"/>
    <cellStyle name="Normal" xfId="0" builtinId="0"/>
    <cellStyle name="Normal 25" xfId="6" xr:uid="{20E9452C-FA38-4492-93C5-AFB493F8C741}"/>
    <cellStyle name="Normal 3 3" xfId="5" xr:uid="{530D586C-8887-4AAD-817D-4A09C828CAF8}"/>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F4D1-4880-AB8D-CDCB085CFB62}"/>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F4D1-4880-AB8D-CDCB085CFB62}"/>
            </c:ext>
          </c:extLst>
        </c:ser>
        <c:dLbls>
          <c:showLegendKey val="0"/>
          <c:showVal val="0"/>
          <c:showCatName val="0"/>
          <c:showSerName val="0"/>
          <c:showPercent val="0"/>
          <c:showBubbleSize val="0"/>
        </c:dLbls>
        <c:marker val="1"/>
        <c:smooth val="0"/>
        <c:axId val="625227232"/>
        <c:axId val="625229408"/>
      </c:lineChart>
      <c:catAx>
        <c:axId val="6252272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5229408"/>
        <c:crosses val="autoZero"/>
        <c:auto val="1"/>
        <c:lblAlgn val="ctr"/>
        <c:lblOffset val="100"/>
        <c:noMultiLvlLbl val="0"/>
      </c:catAx>
      <c:valAx>
        <c:axId val="625229408"/>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5227232"/>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28"/>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strCache>
                  </c16:filteredLitCache>
                </c:ext>
              </c:extLst>
              <c:f/>
              <c:strCache>
                <c:ptCount val="12"/>
                <c:pt idx="0">
                  <c:v>2024 Mid Sep</c:v>
                </c:pt>
                <c:pt idx="1">
                  <c:v>2024 Mid Oct</c:v>
                </c:pt>
                <c:pt idx="2">
                  <c:v>2024 Mid Nov</c:v>
                </c:pt>
                <c:pt idx="3">
                  <c:v>2024 Mid Dec</c:v>
                </c:pt>
                <c:pt idx="4">
                  <c:v>2025 Mid Jan</c:v>
                </c:pt>
                <c:pt idx="5">
                  <c:v>2025 Mid Feb</c:v>
                </c:pt>
                <c:pt idx="6">
                  <c:v>2025 Mid Mar</c:v>
                </c:pt>
                <c:pt idx="7">
                  <c:v>2025 Mid April</c:v>
                </c:pt>
                <c:pt idx="8">
                  <c:v>2025 Mid May</c:v>
                </c:pt>
                <c:pt idx="9">
                  <c:v>2025 Mid June</c:v>
                </c:pt>
                <c:pt idx="10">
                  <c:v>2025 Mid July</c:v>
                </c:pt>
                <c:pt idx="11">
                  <c:v>2025 Mid Aug</c:v>
                </c:pt>
              </c:strCache>
            </c:strRef>
          </c:cat>
          <c:val>
            <c:numRef>
              <c:extLst>
                <c:ext xmlns:c16="http://schemas.microsoft.com/office/drawing/2014/chart" uri="{F5D05F6E-A05E-4728-AFD3-386EB277150F}">
                  <c16:filteredLitCache>
                    <c:numCache>
                      <c:formatCode>0</c:formatCode>
                      <c:ptCount val="28"/>
                      <c:pt idx="0">
                        <c:v>4950.8405696935033</c:v>
                      </c:pt>
                      <c:pt idx="1">
                        <c:v>4986.9063380665893</c:v>
                      </c:pt>
                      <c:pt idx="2">
                        <c:v>5159.1749909531372</c:v>
                      </c:pt>
                      <c:pt idx="3">
                        <c:v>5035.9641271118817</c:v>
                      </c:pt>
                      <c:pt idx="4">
                        <c:v>5092.14854133466</c:v>
                      </c:pt>
                      <c:pt idx="5">
                        <c:v>5171.6711028854133</c:v>
                      </c:pt>
                      <c:pt idx="6">
                        <c:v>5182.5481930325786</c:v>
                      </c:pt>
                      <c:pt idx="7">
                        <c:v>5249</c:v>
                      </c:pt>
                      <c:pt idx="8">
                        <c:v>5360.6446468016075</c:v>
                      </c:pt>
                      <c:pt idx="9">
                        <c:v>5386.0990836278224</c:v>
                      </c:pt>
                      <c:pt idx="10">
                        <c:v>5414.6548860723833</c:v>
                      </c:pt>
                      <c:pt idx="11">
                        <c:v>5485.4117926447652</c:v>
                      </c:pt>
                      <c:pt idx="12">
                        <c:v>5494.8741341501463</c:v>
                      </c:pt>
                      <c:pt idx="13">
                        <c:v>5568.6007361943102</c:v>
                      </c:pt>
                      <c:pt idx="14">
                        <c:v>5771.2381509137513</c:v>
                      </c:pt>
                      <c:pt idx="15">
                        <c:v>5611.5959402863064</c:v>
                      </c:pt>
                      <c:pt idx="16">
                        <c:v>5743.756964529668</c:v>
                      </c:pt>
                      <c:pt idx="17">
                        <c:v>5914.3466300454447</c:v>
                      </c:pt>
                      <c:pt idx="18">
                        <c:v>5912.7938203137037</c:v>
                      </c:pt>
                      <c:pt idx="19">
                        <c:v>6018.9611902204542</c:v>
                      </c:pt>
                      <c:pt idx="20">
                        <c:v>6131.0622743097583</c:v>
                      </c:pt>
                      <c:pt idx="21">
                        <c:v>6153.1591968008306</c:v>
                      </c:pt>
                      <c:pt idx="22">
                        <c:v>6187.6459815907338</c:v>
                      </c:pt>
                      <c:pt idx="23">
                        <c:v>6163.5122486689506</c:v>
                      </c:pt>
                      <c:pt idx="24">
                        <c:v>6190.0151915119204</c:v>
                      </c:pt>
                      <c:pt idx="25">
                        <c:v>6260.7462558073212</c:v>
                      </c:pt>
                      <c:pt idx="26">
                        <c:v>6495.5828453145377</c:v>
                      </c:pt>
                      <c:pt idx="27">
                        <c:v>6446.8262349818897</c:v>
                      </c:pt>
                    </c:numCache>
                  </c16:filteredLitCache>
                </c:ext>
              </c:extLst>
              <c:f/>
              <c:numCache>
                <c:formatCode>0</c:formatCode>
                <c:ptCount val="12"/>
                <c:pt idx="0">
                  <c:v>6528.3623801578706</c:v>
                </c:pt>
                <c:pt idx="1">
                  <c:v>6662.261717466703</c:v>
                </c:pt>
                <c:pt idx="2">
                  <c:v>6644.2306355769269</c:v>
                </c:pt>
                <c:pt idx="3">
                  <c:v>6680.949006189614</c:v>
                </c:pt>
                <c:pt idx="4">
                  <c:v>6737.5818592881524</c:v>
                </c:pt>
                <c:pt idx="5">
                  <c:v>6731.7898084737462</c:v>
                </c:pt>
                <c:pt idx="6">
                  <c:v>6769.2717497883777</c:v>
                </c:pt>
                <c:pt idx="7">
                  <c:v>6860.5374680342529</c:v>
                </c:pt>
                <c:pt idx="8">
                  <c:v>6884.5414712380889</c:v>
                </c:pt>
                <c:pt idx="9">
                  <c:v>7004.5372715536341</c:v>
                </c:pt>
                <c:pt idx="10">
                  <c:v>7303.531185462225</c:v>
                </c:pt>
                <c:pt idx="11">
                  <c:v>7241.2304770173878</c:v>
                </c:pt>
              </c:numCache>
            </c:numRef>
          </c:val>
          <c:smooth val="0"/>
          <c:extLst>
            <c:ext xmlns:c16="http://schemas.microsoft.com/office/drawing/2014/chart" uri="{F5D05F6E-A05E-4728-AFD3-386EB277150F}">
              <c16:categoryFilterExceptions>
                <c16:categoryFilterException>
                  <c16:uniqueId val="{00000002-5398-4841-B146-F486005C5D9C}"/>
                  <c16:dLbl>
                    <c:idx val="-1"/>
                    <c:layout>
                      <c:manualLayout>
                        <c:x val="-3.5412298922757351E-2"/>
                        <c:y val="-2.487556336334452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uri="{C3380CC4-5D6E-409C-BE32-E72D297353CC}">
                        <c16:uniqueId val="{00000002-5398-4841-B146-F486005C5D9C}"/>
                      </c:ext>
                    </c:extLst>
                  </c16:dLbl>
                </c16:categoryFilterException>
              </c16:categoryFilterExceptions>
            </c:ext>
            <c:ext xmlns:c16="http://schemas.microsoft.com/office/drawing/2014/chart" uri="{C5897E43-82E2-4C41-B96C-FBF1F857EA46}">
              <c16:datapointuniqueidmap xmlns:c16="http://schemas.microsoft.com/office/drawing/2014/chart">
                <c16:ptentry>
                  <c16:ptidx>12</c16:ptidx>
                  <c16:uniqueID val="{00000002-5398-4841-B146-F486005C5D9C}"/>
                </c16:ptentry>
              </c16:datapointuniqueidmap>
            </c:ext>
            <c:ext xmlns:c16="http://schemas.microsoft.com/office/drawing/2014/chart" uri="{C3380CC4-5D6E-409C-BE32-E72D297353CC}">
              <c16:uniqueId val="{00000000-5398-4841-B146-F486005C5D9C}"/>
            </c:ext>
          </c:extLst>
        </c:ser>
        <c:ser>
          <c:idx val="1"/>
          <c:order val="1"/>
          <c:tx>
            <c:v>Credit</c:v>
          </c:tx>
          <c:spPr>
            <a:ln w="22225" cap="rnd">
              <a:solidFill>
                <a:schemeClr val="tx1"/>
              </a:solidFill>
              <a:miter lim="800000"/>
            </a:ln>
            <a:effectLst/>
          </c:spPr>
          <c:marker>
            <c:symbol val="circle"/>
            <c:size val="5"/>
            <c:spPr>
              <a:solidFill>
                <a:schemeClr val="tx1"/>
              </a:solid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28"/>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strCache>
                  </c16:filteredLitCache>
                </c:ext>
              </c:extLst>
              <c:f/>
              <c:strCache>
                <c:ptCount val="12"/>
                <c:pt idx="0">
                  <c:v>2024 Mid Sep</c:v>
                </c:pt>
                <c:pt idx="1">
                  <c:v>2024 Mid Oct</c:v>
                </c:pt>
                <c:pt idx="2">
                  <c:v>2024 Mid Nov</c:v>
                </c:pt>
                <c:pt idx="3">
                  <c:v>2024 Mid Dec</c:v>
                </c:pt>
                <c:pt idx="4">
                  <c:v>2025 Mid Jan</c:v>
                </c:pt>
                <c:pt idx="5">
                  <c:v>2025 Mid Feb</c:v>
                </c:pt>
                <c:pt idx="6">
                  <c:v>2025 Mid Mar</c:v>
                </c:pt>
                <c:pt idx="7">
                  <c:v>2025 Mid April</c:v>
                </c:pt>
                <c:pt idx="8">
                  <c:v>2025 Mid May</c:v>
                </c:pt>
                <c:pt idx="9">
                  <c:v>2025 Mid June</c:v>
                </c:pt>
                <c:pt idx="10">
                  <c:v>2025 Mid July</c:v>
                </c:pt>
                <c:pt idx="11">
                  <c:v>2025 Mid Aug</c:v>
                </c:pt>
              </c:strCache>
            </c:strRef>
          </c:cat>
          <c:val>
            <c:numRef>
              <c:extLst>
                <c:ext xmlns:c16="http://schemas.microsoft.com/office/drawing/2014/chart" uri="{F5D05F6E-A05E-4728-AFD3-386EB277150F}">
                  <c16:filteredLitCache>
                    <c:numCache>
                      <c:formatCode>0</c:formatCode>
                      <c:ptCount val="28"/>
                      <c:pt idx="0">
                        <c:v>4743.5299954456877</c:v>
                      </c:pt>
                      <c:pt idx="1">
                        <c:v>4750.4103479382193</c:v>
                      </c:pt>
                      <c:pt idx="2">
                        <c:v>4714.4879432716252</c:v>
                      </c:pt>
                      <c:pt idx="3">
                        <c:v>4724.0196971666928</c:v>
                      </c:pt>
                      <c:pt idx="4">
                        <c:v>4752.3481503461562</c:v>
                      </c:pt>
                      <c:pt idx="5">
                        <c:v>4776.6506932589764</c:v>
                      </c:pt>
                      <c:pt idx="6">
                        <c:v>4787.8112562653123</c:v>
                      </c:pt>
                      <c:pt idx="7">
                        <c:v>4796</c:v>
                      </c:pt>
                      <c:pt idx="8">
                        <c:v>4844.1234247513585</c:v>
                      </c:pt>
                      <c:pt idx="9">
                        <c:v>4863.4652343394682</c:v>
                      </c:pt>
                      <c:pt idx="10">
                        <c:v>4855.4232702655918</c:v>
                      </c:pt>
                      <c:pt idx="11">
                        <c:v>4889.0467259640718</c:v>
                      </c:pt>
                      <c:pt idx="12">
                        <c:v>4879.1308206952781</c:v>
                      </c:pt>
                      <c:pt idx="13">
                        <c:v>4858.0775175173258</c:v>
                      </c:pt>
                      <c:pt idx="14">
                        <c:v>4878.2046121455105</c:v>
                      </c:pt>
                      <c:pt idx="15">
                        <c:v>4861.5747975022832</c:v>
                      </c:pt>
                      <c:pt idx="16">
                        <c:v>4912.1166189999703</c:v>
                      </c:pt>
                      <c:pt idx="17">
                        <c:v>4999.2694369426217</c:v>
                      </c:pt>
                      <c:pt idx="18">
                        <c:v>4981.7849779148546</c:v>
                      </c:pt>
                      <c:pt idx="19">
                        <c:v>4997.721838605873</c:v>
                      </c:pt>
                      <c:pt idx="20">
                        <c:v>5083.7828579947609</c:v>
                      </c:pt>
                      <c:pt idx="21">
                        <c:v>5089.8667098817868</c:v>
                      </c:pt>
                      <c:pt idx="22">
                        <c:v>5091.3446259703123</c:v>
                      </c:pt>
                      <c:pt idx="23">
                        <c:v>5126.8445849835844</c:v>
                      </c:pt>
                      <c:pt idx="24">
                        <c:v>5112.8340942737896</c:v>
                      </c:pt>
                      <c:pt idx="25">
                        <c:v>5136.1712919843403</c:v>
                      </c:pt>
                      <c:pt idx="26">
                        <c:v>5170.1963338678652</c:v>
                      </c:pt>
                      <c:pt idx="27">
                        <c:v>5172.7375413021982</c:v>
                      </c:pt>
                    </c:numCache>
                  </c16:filteredLitCache>
                </c:ext>
              </c:extLst>
              <c:f/>
              <c:numCache>
                <c:formatCode>0</c:formatCode>
                <c:ptCount val="12"/>
                <c:pt idx="0">
                  <c:v>5230.6463807991158</c:v>
                </c:pt>
                <c:pt idx="1">
                  <c:v>5296.2546067918101</c:v>
                </c:pt>
                <c:pt idx="2">
                  <c:v>5288.7656624545889</c:v>
                </c:pt>
                <c:pt idx="3">
                  <c:v>5333.4896690649548</c:v>
                </c:pt>
                <c:pt idx="4">
                  <c:v>5437.405934235002</c:v>
                </c:pt>
                <c:pt idx="5">
                  <c:v>5441.8277227324215</c:v>
                </c:pt>
                <c:pt idx="6">
                  <c:v>5465.0207315119142</c:v>
                </c:pt>
                <c:pt idx="7">
                  <c:v>5537.3714198273628</c:v>
                </c:pt>
                <c:pt idx="8">
                  <c:v>5529.1868478711813</c:v>
                </c:pt>
                <c:pt idx="9">
                  <c:v>5566.9981614200333</c:v>
                </c:pt>
                <c:pt idx="10">
                  <c:v>5593.9383027263393</c:v>
                </c:pt>
                <c:pt idx="11">
                  <c:v>5576.235100449273</c:v>
                </c:pt>
              </c:numCache>
            </c:numRef>
          </c:val>
          <c:smooth val="0"/>
          <c:extLst>
            <c:ext xmlns:c16="http://schemas.microsoft.com/office/drawing/2014/chart" uri="{C3380CC4-5D6E-409C-BE32-E72D297353CC}">
              <c16:uniqueId val="{00000001-5398-4841-B146-F486005C5D9C}"/>
            </c:ext>
          </c:extLst>
        </c:ser>
        <c:dLbls>
          <c:showLegendKey val="0"/>
          <c:showVal val="0"/>
          <c:showCatName val="0"/>
          <c:showSerName val="0"/>
          <c:showPercent val="0"/>
          <c:showBubbleSize val="0"/>
        </c:dLbls>
        <c:marker val="1"/>
        <c:smooth val="0"/>
        <c:axId val="766287904"/>
        <c:axId val="766296608"/>
      </c:lineChart>
      <c:catAx>
        <c:axId val="7662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6296608"/>
        <c:crosses val="autoZero"/>
        <c:auto val="1"/>
        <c:lblAlgn val="ctr"/>
        <c:lblOffset val="100"/>
        <c:noMultiLvlLbl val="0"/>
      </c:catAx>
      <c:valAx>
        <c:axId val="766296608"/>
        <c:scaling>
          <c:orientation val="minMax"/>
          <c:max val="8000"/>
          <c:min val="4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66287904"/>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CC67E0B0-90B5-4DAA-9B17-4D6DCAA217B2}"/>
            </a:ext>
          </a:extLst>
        </xdr:cNvPr>
        <xdr:cNvSpPr txBox="1"/>
      </xdr:nvSpPr>
      <xdr:spPr>
        <a:xfrm>
          <a:off x="2027767" y="444499"/>
          <a:ext cx="7028391" cy="119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9525</xdr:rowOff>
    </xdr:to>
    <xdr:sp macro="" textlink="">
      <xdr:nvSpPr>
        <xdr:cNvPr id="3" name="TextBox 2">
          <a:extLst>
            <a:ext uri="{FF2B5EF4-FFF2-40B4-BE49-F238E27FC236}">
              <a16:creationId xmlns:a16="http://schemas.microsoft.com/office/drawing/2014/main" id="{8B88B398-70C8-4EBB-A758-B2871E339C2B}"/>
            </a:ext>
          </a:extLst>
        </xdr:cNvPr>
        <xdr:cNvSpPr txBox="1"/>
      </xdr:nvSpPr>
      <xdr:spPr>
        <a:xfrm>
          <a:off x="2136351" y="7141210"/>
          <a:ext cx="7074958" cy="127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3EF6918A-109B-46B4-A473-1D81DF7624A5}"/>
            </a:ext>
          </a:extLst>
        </xdr:cNvPr>
        <xdr:cNvSpPr txBox="1"/>
      </xdr:nvSpPr>
      <xdr:spPr>
        <a:xfrm rot="16200000">
          <a:off x="1296036" y="3841751"/>
          <a:ext cx="9455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352424</xdr:colOff>
          <xdr:row>34</xdr:row>
          <xdr:rowOff>16415</xdr:rowOff>
        </xdr:from>
        <xdr:to>
          <xdr:col>9</xdr:col>
          <xdr:colOff>241299</xdr:colOff>
          <xdr:row>39</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C21A46FD-7321-4399-92BE-601AB5D3050A}"/>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BEF7F7FB-6C42-480B-B5E9-B80A09E96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xdr:row>
      <xdr:rowOff>182032</xdr:rowOff>
    </xdr:from>
    <xdr:to>
      <xdr:col>14</xdr:col>
      <xdr:colOff>156633</xdr:colOff>
      <xdr:row>32</xdr:row>
      <xdr:rowOff>8465</xdr:rowOff>
    </xdr:to>
    <xdr:graphicFrame macro="">
      <xdr:nvGraphicFramePr>
        <xdr:cNvPr id="7" name="Chart 6">
          <a:extLst>
            <a:ext uri="{FF2B5EF4-FFF2-40B4-BE49-F238E27FC236}">
              <a16:creationId xmlns:a16="http://schemas.microsoft.com/office/drawing/2014/main" id="{B04A3E13-7348-4A8F-852A-F584FCB35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94074</xdr:colOff>
      <xdr:row>50</xdr:row>
      <xdr:rowOff>0</xdr:rowOff>
    </xdr:from>
    <xdr:ext cx="7130814" cy="531518"/>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37897813-0B4B-4A5B-BE51-63A10F9EC912}"/>
                </a:ext>
              </a:extLst>
            </xdr:cNvPr>
            <xdr:cNvSpPr txBox="1"/>
          </xdr:nvSpPr>
          <xdr:spPr>
            <a:xfrm>
              <a:off x="750241" y="10210800"/>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m:t>
                      </m:r>
                      <m:r>
                        <a:rPr lang="en-US" sz="1100" b="0" i="1">
                          <a:latin typeface="Cambria Math" panose="02040503050406030204" pitchFamily="18" charset="0"/>
                        </a:rPr>
                        <m:t>𝐷𝑒𝑏𝑒𝑛𝑡𝑢𝑟𝑒𝑠</m:t>
                      </m:r>
                      <m:r>
                        <a:rPr lang="en-US" sz="1100" b="0" i="1">
                          <a:latin typeface="Cambria Math" panose="02040503050406030204" pitchFamily="18" charset="0"/>
                        </a:rPr>
                        <m:t> </m:t>
                      </m:r>
                      <m:r>
                        <a:rPr lang="en-US" sz="1100" b="0" i="1">
                          <a:latin typeface="Cambria Math" panose="02040503050406030204" pitchFamily="18" charset="0"/>
                        </a:rPr>
                        <m:t>𝑛𝑜𝑡</m:t>
                      </m:r>
                      <m:r>
                        <a:rPr lang="en-US" sz="1100" b="0" i="1">
                          <a:latin typeface="Cambria Math" panose="02040503050406030204" pitchFamily="18" charset="0"/>
                        </a:rPr>
                        <m:t> </m:t>
                      </m:r>
                      <m:r>
                        <a:rPr lang="en-US" sz="1100" b="0" i="1">
                          <a:latin typeface="Cambria Math" panose="02040503050406030204" pitchFamily="18" charset="0"/>
                        </a:rPr>
                        <m:t>𝑑𝑒𝑠𝑖𝑔𝑛𝑎𝑡𝑒𝑑</m:t>
                      </m:r>
                      <m:r>
                        <a:rPr lang="en-US" sz="1100" b="0" i="1">
                          <a:latin typeface="Cambria Math" panose="02040503050406030204" pitchFamily="18" charset="0"/>
                        </a:rPr>
                        <m:t> </m:t>
                      </m:r>
                      <m:r>
                        <a:rPr lang="en-US" sz="1100" b="0" i="1">
                          <a:latin typeface="Cambria Math" panose="02040503050406030204" pitchFamily="18" charset="0"/>
                        </a:rPr>
                        <m:t>𝑓𝑜𝑟</m:t>
                      </m:r>
                      <m:r>
                        <a:rPr lang="en-US" sz="1100" b="0" i="1">
                          <a:latin typeface="Cambria Math" panose="02040503050406030204" pitchFamily="18" charset="0"/>
                        </a:rPr>
                        <m:t> </m:t>
                      </m:r>
                      <m:r>
                        <a:rPr lang="en-US" sz="1100" b="0" i="1">
                          <a:latin typeface="Cambria Math" panose="02040503050406030204" pitchFamily="18" charset="0"/>
                        </a:rPr>
                        <m:t>𝑐𝑎𝑝𝑖𝑡𝑎𝑙</m:t>
                      </m:r>
                      <m:r>
                        <a:rPr lang="en-US" sz="1100" b="0" i="1">
                          <a:latin typeface="Cambria Math" panose="02040503050406030204" pitchFamily="18" charset="0"/>
                        </a:rPr>
                        <m:t> </m:t>
                      </m:r>
                      <m:r>
                        <a:rPr lang="en-US" sz="1100" b="0" i="1">
                          <a:latin typeface="Cambria Math" panose="02040503050406030204" pitchFamily="18" charset="0"/>
                        </a:rPr>
                        <m:t>𝑓𝑢𝑛𝑑</m:t>
                      </m:r>
                      <m:r>
                        <a:rPr lang="en-US" sz="1100" b="0" i="1">
                          <a:latin typeface="Cambria Math" panose="02040503050406030204" pitchFamily="18" charset="0"/>
                        </a:rPr>
                        <m:t>+</m:t>
                      </m:r>
                      <m:r>
                        <a:rPr lang="en-US" sz="1100" b="0" i="1">
                          <a:latin typeface="Cambria Math" panose="02040503050406030204" pitchFamily="18" charset="0"/>
                        </a:rPr>
                        <m:t>𝑁𝑅𝐵</m:t>
                      </m:r>
                      <m:r>
                        <a:rPr lang="en-US" sz="1100" b="0" i="1">
                          <a:latin typeface="Cambria Math" panose="02040503050406030204" pitchFamily="18" charset="0"/>
                        </a:rPr>
                        <m:t> </m:t>
                      </m:r>
                      <m:r>
                        <a:rPr lang="en-US" sz="1100" b="0" i="1">
                          <a:latin typeface="Cambria Math" panose="02040503050406030204" pitchFamily="18" charset="0"/>
                        </a:rPr>
                        <m:t>𝑅𝑒𝑓𝑖𝑎𝑛𝑐𝑒</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m:t>
                      </m:r>
                      <m:r>
                        <a:rPr lang="en-US" sz="1100" b="0" i="1">
                          <a:latin typeface="Cambria Math" panose="02040503050406030204" pitchFamily="18" charset="0"/>
                        </a:rPr>
                        <m:t>𝐹𝐶𝑌</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 </m:t>
                      </m:r>
                      <m:r>
                        <a:rPr lang="en-US" sz="1100" b="0" i="1">
                          <a:latin typeface="Cambria Math" panose="02040503050406030204" pitchFamily="18" charset="0"/>
                        </a:rPr>
                        <m:t>𝑚𝑜𝑟𝑒</m:t>
                      </m:r>
                      <m:r>
                        <a:rPr lang="en-US" sz="1100" b="0" i="1">
                          <a:latin typeface="Cambria Math" panose="02040503050406030204" pitchFamily="18" charset="0"/>
                        </a:rPr>
                        <m:t> </m:t>
                      </m:r>
                      <m:r>
                        <a:rPr lang="en-US" sz="1100" b="0" i="1">
                          <a:latin typeface="Cambria Math" panose="02040503050406030204" pitchFamily="18" charset="0"/>
                        </a:rPr>
                        <m:t>𝑡h𝑎𝑛</m:t>
                      </m:r>
                      <m:r>
                        <a:rPr lang="en-US" sz="1100" b="0" i="1">
                          <a:latin typeface="Cambria Math" panose="02040503050406030204" pitchFamily="18" charset="0"/>
                        </a:rPr>
                        <m:t> </m:t>
                      </m:r>
                      <m:r>
                        <a:rPr lang="en-US" sz="1100" b="0" i="1">
                          <a:latin typeface="Cambria Math" panose="02040503050406030204" pitchFamily="18" charset="0"/>
                        </a:rPr>
                        <m:t>𝑜𝑟</m:t>
                      </m:r>
                      <m:r>
                        <a:rPr lang="en-US" sz="1100" b="0" i="1">
                          <a:latin typeface="Cambria Math" panose="02040503050406030204" pitchFamily="18" charset="0"/>
                        </a:rPr>
                        <m:t> </m:t>
                      </m:r>
                      <m:r>
                        <a:rPr lang="en-US" sz="1100" b="0" i="1">
                          <a:latin typeface="Cambria Math" panose="02040503050406030204" pitchFamily="18" charset="0"/>
                        </a:rPr>
                        <m:t>𝑒𝑞𝑢𝑎𝑙</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1 </m:t>
                      </m:r>
                      <m:r>
                        <a:rPr lang="en-US" sz="1100" b="0" i="1">
                          <a:latin typeface="Cambria Math" panose="02040503050406030204" pitchFamily="18" charset="0"/>
                        </a:rPr>
                        <m:t>𝑦𝑒𝑎𝑟</m:t>
                      </m:r>
                      <m:r>
                        <a:rPr lang="en-US" sz="1100" b="0" i="1">
                          <a:latin typeface="Cambria Math" panose="02040503050406030204" pitchFamily="18" charset="0"/>
                        </a:rPr>
                        <m:t>−</m:t>
                      </m:r>
                      <m:r>
                        <a:rPr lang="en-US" sz="1100" b="0" i="1">
                          <a:latin typeface="Cambria Math" panose="02040503050406030204" pitchFamily="18" charset="0"/>
                        </a:rPr>
                        <m:t>𝐼𝑛𝑡𝑒𝑟𝑏𝑎𝑛𝑘</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 </m:t>
                      </m:r>
                    </m:den>
                  </m:f>
                </m:oMath>
              </a14:m>
              <a:endParaRPr lang="en-US" sz="1100"/>
            </a:p>
          </xdr:txBody>
        </xdr:sp>
      </mc:Choice>
      <mc:Fallback>
        <xdr:sp macro="" textlink="">
          <xdr:nvSpPr>
            <xdr:cNvPr id="2" name="TextBox 1">
              <a:extLst>
                <a:ext uri="{FF2B5EF4-FFF2-40B4-BE49-F238E27FC236}">
                  <a16:creationId xmlns:a16="http://schemas.microsoft.com/office/drawing/2014/main" id="{37897813-0B4B-4A5B-BE51-63A10F9EC912}"/>
                </a:ext>
              </a:extLst>
            </xdr:cNvPr>
            <xdr:cNvSpPr txBox="1"/>
          </xdr:nvSpPr>
          <xdr:spPr>
            <a:xfrm>
              <a:off x="750241" y="10210800"/>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𝐷𝑒𝑝𝑜𝑠𝑖𝑡+𝐷𝑒𝑏𝑒𝑛𝑡𝑢𝑟𝑒𝑠 𝑛𝑜𝑡 𝑑𝑒𝑠𝑖𝑔𝑛𝑎𝑡𝑒𝑑 𝑓𝑜𝑟 𝑐𝑎𝑝𝑖𝑡𝑎𝑙 𝑓𝑢𝑛𝑑+𝑁𝑅𝐵 𝑅𝑒𝑓𝑖𝑎𝑛𝑐𝑒 𝑙𝑜𝑎𝑛+𝐹𝐶𝑌 𝑙𝑜𝑎𝑛 𝑚𝑜𝑟𝑒 𝑡ℎ𝑎𝑛 𝑜𝑟 𝑒𝑞𝑢𝑎𝑙 𝑡𝑜 1 𝑦𝑒𝑎𝑟−𝐼𝑛𝑡𝑒𝑟𝑏𝑎𝑛𝑘 𝐷𝑒𝑝𝑜𝑠𝑖𝑡 )</a:t>
              </a:r>
              <a:endParaRPr lang="en-US" sz="1100"/>
            </a:p>
          </xdr:txBody>
        </xdr:sp>
      </mc:Fallback>
    </mc:AlternateContent>
    <xdr:clientData/>
  </xdr:oneCellAnchor>
  <xdr:oneCellAnchor>
    <xdr:from>
      <xdr:col>1</xdr:col>
      <xdr:colOff>0</xdr:colOff>
      <xdr:row>53</xdr:row>
      <xdr:rowOff>0</xdr:rowOff>
    </xdr:from>
    <xdr:ext cx="7810501" cy="34290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7453EFBD-C5B3-4552-AD17-6E574EA71FA0}"/>
                </a:ext>
              </a:extLst>
            </xdr:cNvPr>
            <xdr:cNvSpPr txBox="1"/>
          </xdr:nvSpPr>
          <xdr:spPr>
            <a:xfrm>
              <a:off x="656167" y="10807700"/>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den>
                  </m:f>
                </m:oMath>
              </a14:m>
              <a:r>
                <a:rPr lang="en-US" sz="1100"/>
                <a:t>    (As per balance sheet)</a:t>
              </a:r>
            </a:p>
          </xdr:txBody>
        </xdr:sp>
      </mc:Choice>
      <mc:Fallback>
        <xdr:sp macro="" textlink="">
          <xdr:nvSpPr>
            <xdr:cNvPr id="3" name="TextBox 2">
              <a:extLst>
                <a:ext uri="{FF2B5EF4-FFF2-40B4-BE49-F238E27FC236}">
                  <a16:creationId xmlns:a16="http://schemas.microsoft.com/office/drawing/2014/main" id="{7453EFBD-C5B3-4552-AD17-6E574EA71FA0}"/>
                </a:ext>
              </a:extLst>
            </xdr:cNvPr>
            <xdr:cNvSpPr txBox="1"/>
          </xdr:nvSpPr>
          <xdr:spPr>
            <a:xfrm>
              <a:off x="656167" y="10807700"/>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a:t>
              </a:r>
              <a:r>
                <a:rPr lang="en-US" sz="1100"/>
                <a:t>    (As per balance sheet)</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rawan_2082_NFRS%20-%20FINAL.xlsb"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ver"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Bank%20and%20Financial%20Institution%20Regulation%20Department\STAT\Monthly%20Stat\Monthly%20Stat%202079-80\Mangsir%202079\Data_Series-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20"/>
      <sheetName val="C21"/>
      <sheetName val="C22"/>
      <sheetName val="C23"/>
      <sheetName val="C24"/>
      <sheetName val="C25"/>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IDB_9.1"/>
      <sheetName val="LocalBody"/>
      <sheetName val="Branch_reinstated"/>
      <sheetName val="IDB_9.2"/>
      <sheetName val="Branches"/>
      <sheetName val="Interest"/>
      <sheetName val="Publish_List"/>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Cr_Data_series_till_poush_2079"/>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v>
          </cell>
          <cell r="N34">
            <v>4510.383476846534</v>
          </cell>
          <cell r="O34">
            <v>4108.7072706657418</v>
          </cell>
        </row>
        <row r="45">
          <cell r="L45">
            <v>2022</v>
          </cell>
          <cell r="M45" t="str">
            <v>Mid May</v>
          </cell>
          <cell r="N45">
            <v>4950.8405696935033</v>
          </cell>
          <cell r="O45">
            <v>4743.5299954456877</v>
          </cell>
        </row>
        <row r="46">
          <cell r="L46">
            <v>2022</v>
          </cell>
          <cell r="M46" t="str">
            <v>Mid Jun</v>
          </cell>
          <cell r="N46">
            <v>4986.9063380665893</v>
          </cell>
          <cell r="O46">
            <v>4750.4103479382193</v>
          </cell>
        </row>
        <row r="47">
          <cell r="L47">
            <v>2022</v>
          </cell>
          <cell r="M47" t="str">
            <v>Mid Jul</v>
          </cell>
          <cell r="N47">
            <v>5159.1749909531372</v>
          </cell>
          <cell r="O47">
            <v>4714.4879432716252</v>
          </cell>
        </row>
        <row r="48">
          <cell r="L48">
            <v>2022</v>
          </cell>
          <cell r="M48" t="str">
            <v>Mid Aug</v>
          </cell>
          <cell r="N48">
            <v>5035.9641271118817</v>
          </cell>
          <cell r="O48">
            <v>4724.0196971666928</v>
          </cell>
        </row>
        <row r="49">
          <cell r="L49">
            <v>2022</v>
          </cell>
          <cell r="M49" t="str">
            <v>Mid Sep</v>
          </cell>
          <cell r="N49">
            <v>5092.14854133466</v>
          </cell>
          <cell r="O49">
            <v>4752.3481503461562</v>
          </cell>
        </row>
        <row r="50">
          <cell r="L50">
            <v>2022</v>
          </cell>
          <cell r="M50" t="str">
            <v>Mid Oct</v>
          </cell>
          <cell r="N50">
            <v>5171.6711028854133</v>
          </cell>
          <cell r="O50">
            <v>4776.6506932589764</v>
          </cell>
        </row>
        <row r="51">
          <cell r="L51">
            <v>2022</v>
          </cell>
          <cell r="M51" t="str">
            <v>Mid Nov</v>
          </cell>
          <cell r="N51">
            <v>5182.5481930325786</v>
          </cell>
          <cell r="O51">
            <v>4787.8112562653123</v>
          </cell>
        </row>
        <row r="52">
          <cell r="L52">
            <v>2022</v>
          </cell>
          <cell r="M52" t="str">
            <v>Mid Dec</v>
          </cell>
          <cell r="N52">
            <v>5249</v>
          </cell>
          <cell r="O52">
            <v>4796</v>
          </cell>
        </row>
        <row r="53">
          <cell r="L53">
            <v>2023</v>
          </cell>
          <cell r="M53" t="str">
            <v>Mid Jan</v>
          </cell>
          <cell r="N53">
            <v>5360.6446468016075</v>
          </cell>
          <cell r="O53">
            <v>4844.1234247513585</v>
          </cell>
        </row>
        <row r="54">
          <cell r="L54">
            <v>2023</v>
          </cell>
          <cell r="M54" t="str">
            <v>Mid Feb</v>
          </cell>
          <cell r="N54">
            <v>5386.0990836278224</v>
          </cell>
          <cell r="O54">
            <v>4863.4652343394682</v>
          </cell>
        </row>
        <row r="55">
          <cell r="L55">
            <v>2023</v>
          </cell>
          <cell r="M55" t="str">
            <v>Mid Mar</v>
          </cell>
          <cell r="N55">
            <v>5414.6548860723833</v>
          </cell>
          <cell r="O55">
            <v>4855.4232702655918</v>
          </cell>
        </row>
        <row r="56">
          <cell r="L56">
            <v>2023</v>
          </cell>
          <cell r="M56" t="str">
            <v>Mid Apr</v>
          </cell>
          <cell r="N56">
            <v>5485.4117926447652</v>
          </cell>
          <cell r="O56">
            <v>4889.0467259640718</v>
          </cell>
        </row>
        <row r="57">
          <cell r="L57">
            <v>2023</v>
          </cell>
          <cell r="M57" t="str">
            <v>Mid May</v>
          </cell>
          <cell r="N57">
            <v>5494.8741341501463</v>
          </cell>
          <cell r="O57">
            <v>4879.1308206952781</v>
          </cell>
        </row>
        <row r="58">
          <cell r="L58">
            <v>2023</v>
          </cell>
          <cell r="M58" t="str">
            <v>Mid June</v>
          </cell>
          <cell r="N58">
            <v>5568.6007361943102</v>
          </cell>
          <cell r="O58">
            <v>4858.0775175173258</v>
          </cell>
        </row>
        <row r="59">
          <cell r="L59">
            <v>2023</v>
          </cell>
          <cell r="M59" t="str">
            <v>Mid July</v>
          </cell>
          <cell r="N59">
            <v>5771.2381509137513</v>
          </cell>
          <cell r="O59">
            <v>4878.2046121455105</v>
          </cell>
        </row>
        <row r="60">
          <cell r="L60">
            <v>2023</v>
          </cell>
          <cell r="M60" t="str">
            <v>Mid Aug</v>
          </cell>
          <cell r="N60">
            <v>5611.5959402863064</v>
          </cell>
          <cell r="O60">
            <v>4861.5747975022832</v>
          </cell>
        </row>
        <row r="61">
          <cell r="L61">
            <v>2023</v>
          </cell>
          <cell r="M61" t="str">
            <v>Mid Sep</v>
          </cell>
          <cell r="N61">
            <v>5743.756964529668</v>
          </cell>
          <cell r="O61">
            <v>4912.1166189999703</v>
          </cell>
        </row>
        <row r="62">
          <cell r="L62">
            <v>2023</v>
          </cell>
          <cell r="M62" t="str">
            <v>Mid Oct</v>
          </cell>
          <cell r="N62">
            <v>5914.3466300454447</v>
          </cell>
          <cell r="O62">
            <v>4999.2694369426217</v>
          </cell>
        </row>
        <row r="63">
          <cell r="L63">
            <v>2023</v>
          </cell>
          <cell r="M63" t="str">
            <v>Mid Nov</v>
          </cell>
          <cell r="N63">
            <v>5912.7938203137037</v>
          </cell>
          <cell r="O63">
            <v>4981.7849779148546</v>
          </cell>
        </row>
        <row r="64">
          <cell r="L64">
            <v>2023</v>
          </cell>
          <cell r="M64" t="str">
            <v>Mid Dec</v>
          </cell>
          <cell r="N64">
            <v>6018.9611902204542</v>
          </cell>
          <cell r="O64">
            <v>4997.721838605873</v>
          </cell>
        </row>
        <row r="65">
          <cell r="L65">
            <v>2024</v>
          </cell>
          <cell r="M65" t="str">
            <v>Mid Jan</v>
          </cell>
          <cell r="N65">
            <v>6131.0622743097583</v>
          </cell>
          <cell r="O65">
            <v>5083.7828579947609</v>
          </cell>
        </row>
        <row r="66">
          <cell r="L66">
            <v>2024</v>
          </cell>
          <cell r="M66" t="str">
            <v>Mid Feb</v>
          </cell>
          <cell r="N66">
            <v>6153.1591968008306</v>
          </cell>
          <cell r="O66">
            <v>5089.8667098817868</v>
          </cell>
        </row>
        <row r="67">
          <cell r="L67">
            <v>2024</v>
          </cell>
          <cell r="M67" t="str">
            <v>Mid Mar</v>
          </cell>
          <cell r="N67">
            <v>6187.6459815907338</v>
          </cell>
          <cell r="O67">
            <v>5091.3446259703123</v>
          </cell>
        </row>
        <row r="68">
          <cell r="L68">
            <v>2024</v>
          </cell>
          <cell r="M68" t="str">
            <v>Mid April</v>
          </cell>
          <cell r="N68">
            <v>6163.5122486689506</v>
          </cell>
          <cell r="O68">
            <v>5126.8445849835844</v>
          </cell>
        </row>
        <row r="69">
          <cell r="L69">
            <v>2024</v>
          </cell>
          <cell r="M69" t="str">
            <v>Mid May</v>
          </cell>
          <cell r="N69">
            <v>6190.0151915119204</v>
          </cell>
          <cell r="O69">
            <v>5112.8340942737896</v>
          </cell>
        </row>
        <row r="70">
          <cell r="L70">
            <v>2024</v>
          </cell>
          <cell r="M70" t="str">
            <v>Mid June</v>
          </cell>
          <cell r="N70">
            <v>6260.7462558073212</v>
          </cell>
          <cell r="O70">
            <v>5136.1712919843403</v>
          </cell>
        </row>
        <row r="71">
          <cell r="L71">
            <v>2024</v>
          </cell>
          <cell r="M71" t="str">
            <v>Mid July</v>
          </cell>
          <cell r="N71">
            <v>6495.5828453145377</v>
          </cell>
          <cell r="O71">
            <v>5170.1963338678652</v>
          </cell>
        </row>
        <row r="72">
          <cell r="L72">
            <v>2024</v>
          </cell>
          <cell r="M72" t="str">
            <v>Mid Aug</v>
          </cell>
          <cell r="N72">
            <v>6446.8262349818897</v>
          </cell>
          <cell r="O72">
            <v>5172.7375413021982</v>
          </cell>
        </row>
        <row r="73">
          <cell r="L73">
            <v>2024</v>
          </cell>
          <cell r="M73" t="str">
            <v>Mid Sep</v>
          </cell>
          <cell r="N73">
            <v>6528.3623801578706</v>
          </cell>
          <cell r="O73">
            <v>5230.6463807991158</v>
          </cell>
        </row>
        <row r="74">
          <cell r="L74">
            <v>2024</v>
          </cell>
          <cell r="M74" t="str">
            <v>Mid Oct</v>
          </cell>
          <cell r="N74">
            <v>6662.261717466703</v>
          </cell>
          <cell r="O74">
            <v>5296.2546067918101</v>
          </cell>
        </row>
        <row r="75">
          <cell r="L75">
            <v>2024</v>
          </cell>
          <cell r="M75" t="str">
            <v>Mid Nov</v>
          </cell>
          <cell r="N75">
            <v>6644.2306355769269</v>
          </cell>
          <cell r="O75">
            <v>5288.7656624545889</v>
          </cell>
        </row>
        <row r="76">
          <cell r="L76">
            <v>2024</v>
          </cell>
          <cell r="M76" t="str">
            <v>Mid Dec</v>
          </cell>
          <cell r="N76">
            <v>6680.949006189614</v>
          </cell>
          <cell r="O76">
            <v>5333.4896690649548</v>
          </cell>
        </row>
        <row r="77">
          <cell r="L77">
            <v>2025</v>
          </cell>
          <cell r="M77" t="str">
            <v>Mid Jan</v>
          </cell>
          <cell r="N77">
            <v>6737.5818592881524</v>
          </cell>
          <cell r="O77">
            <v>5437.405934235002</v>
          </cell>
        </row>
        <row r="78">
          <cell r="L78">
            <v>2025</v>
          </cell>
          <cell r="M78" t="str">
            <v>Mid Feb</v>
          </cell>
          <cell r="N78">
            <v>6731.7898084737462</v>
          </cell>
          <cell r="O78">
            <v>5441.8277227324215</v>
          </cell>
        </row>
        <row r="79">
          <cell r="L79">
            <v>2025</v>
          </cell>
          <cell r="M79" t="str">
            <v>Mid Mar</v>
          </cell>
          <cell r="N79">
            <v>6769.2717497883777</v>
          </cell>
          <cell r="O79">
            <v>5465.0207315119142</v>
          </cell>
        </row>
        <row r="80">
          <cell r="L80">
            <v>2025</v>
          </cell>
          <cell r="M80" t="str">
            <v>Mid April</v>
          </cell>
          <cell r="N80">
            <v>6860.5374680342529</v>
          </cell>
          <cell r="O80">
            <v>5537.3714198273628</v>
          </cell>
        </row>
        <row r="81">
          <cell r="L81">
            <v>2025</v>
          </cell>
          <cell r="M81" t="str">
            <v>Mid May</v>
          </cell>
          <cell r="N81">
            <v>6884.5414712380889</v>
          </cell>
          <cell r="O81">
            <v>5529.1868478711813</v>
          </cell>
        </row>
        <row r="82">
          <cell r="L82">
            <v>2025</v>
          </cell>
          <cell r="M82" t="str">
            <v>Mid June</v>
          </cell>
          <cell r="N82">
            <v>7004.5372715536341</v>
          </cell>
          <cell r="O82">
            <v>5566.9981614200333</v>
          </cell>
        </row>
        <row r="83">
          <cell r="L83">
            <v>2025</v>
          </cell>
          <cell r="M83" t="str">
            <v>Mid July</v>
          </cell>
          <cell r="N83">
            <v>7303.531185462225</v>
          </cell>
          <cell r="O83">
            <v>5593.9383027263393</v>
          </cell>
        </row>
        <row r="84">
          <cell r="L84">
            <v>2025</v>
          </cell>
          <cell r="M84" t="str">
            <v>Mid Aug</v>
          </cell>
          <cell r="N84">
            <v>7241.2304770173878</v>
          </cell>
          <cell r="O84">
            <v>5576.235100449273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shed"/>
      <sheetName val="C15"/>
      <sheetName val="C16"/>
      <sheetName val="C17"/>
      <sheetName val="C18"/>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0213-702B-46C8-9C82-779D54F0180E}">
  <sheetPr codeName="Sheet84">
    <tabColor theme="0"/>
  </sheetPr>
  <dimension ref="C2:P57"/>
  <sheetViews>
    <sheetView tabSelected="1" view="pageBreakPreview" topLeftCell="A4" zoomScaleNormal="100" zoomScaleSheetLayoutView="100" workbookViewId="0">
      <selection activeCell="S18" sqref="S18"/>
    </sheetView>
  </sheetViews>
  <sheetFormatPr defaultColWidth="9.1171875" defaultRowHeight="14.35" x14ac:dyDescent="0.5"/>
  <cols>
    <col min="1" max="1" width="14.1171875" style="1" customWidth="1"/>
    <col min="2" max="2" width="4.41015625" style="1" customWidth="1"/>
    <col min="3" max="3" width="9.1171875" style="1"/>
    <col min="4" max="5" width="9.1171875" style="1" customWidth="1"/>
    <col min="6" max="13" width="9.1171875" style="1"/>
    <col min="14" max="14" width="9.1171875" style="1" customWidth="1"/>
    <col min="15" max="15" width="9.1171875" style="1"/>
    <col min="16" max="16" width="5.5859375" style="1" customWidth="1"/>
    <col min="17" max="16384" width="9.1171875" style="1"/>
  </cols>
  <sheetData>
    <row r="2" spans="3:16" ht="14.7" thickBot="1" x14ac:dyDescent="0.55000000000000004"/>
    <row r="3" spans="3:16" x14ac:dyDescent="0.5">
      <c r="C3" s="2"/>
      <c r="D3" s="3"/>
      <c r="E3" s="3"/>
      <c r="F3" s="3"/>
      <c r="G3" s="3"/>
      <c r="H3" s="3"/>
      <c r="I3" s="3"/>
      <c r="J3" s="3"/>
      <c r="K3" s="3"/>
      <c r="L3" s="3"/>
      <c r="M3" s="3"/>
      <c r="N3" s="3"/>
      <c r="O3" s="4"/>
    </row>
    <row r="4" spans="3:16" x14ac:dyDescent="0.5">
      <c r="C4" s="5"/>
      <c r="D4" s="6"/>
      <c r="E4" s="6"/>
      <c r="F4" s="6"/>
      <c r="G4" s="6"/>
      <c r="H4" s="6"/>
      <c r="I4" s="6"/>
      <c r="J4" s="6"/>
      <c r="K4" s="6"/>
      <c r="L4" s="6"/>
      <c r="M4" s="6"/>
      <c r="N4" s="6"/>
      <c r="O4" s="7"/>
    </row>
    <row r="5" spans="3:16" x14ac:dyDescent="0.5">
      <c r="C5" s="5"/>
      <c r="D5" s="6"/>
      <c r="E5" s="6"/>
      <c r="F5" s="6"/>
      <c r="G5" s="6"/>
      <c r="H5" s="6"/>
      <c r="I5" s="6"/>
      <c r="J5" s="6"/>
      <c r="K5" s="6"/>
      <c r="L5" s="6"/>
      <c r="M5" s="6"/>
      <c r="N5" s="6"/>
      <c r="O5" s="7"/>
    </row>
    <row r="6" spans="3:16" x14ac:dyDescent="0.5">
      <c r="C6" s="5"/>
      <c r="D6" s="6"/>
      <c r="E6" s="6"/>
      <c r="F6" s="6"/>
      <c r="G6" s="6"/>
      <c r="H6" s="6"/>
      <c r="I6" s="6"/>
      <c r="J6" s="6"/>
      <c r="K6" s="6"/>
      <c r="L6" s="6"/>
      <c r="M6" s="6"/>
      <c r="N6" s="6"/>
      <c r="O6" s="7"/>
    </row>
    <row r="7" spans="3:16" x14ac:dyDescent="0.5">
      <c r="C7" s="5"/>
      <c r="D7" s="6"/>
      <c r="E7" s="6"/>
      <c r="F7" s="6"/>
      <c r="G7" s="6"/>
      <c r="H7" s="6"/>
      <c r="I7" s="6"/>
      <c r="J7" s="6"/>
      <c r="K7" s="6"/>
      <c r="L7" s="6"/>
      <c r="M7" s="6"/>
      <c r="N7" s="6"/>
      <c r="O7" s="7"/>
    </row>
    <row r="8" spans="3:16" x14ac:dyDescent="0.5">
      <c r="C8" s="5"/>
      <c r="D8" s="6"/>
      <c r="E8" s="6"/>
      <c r="F8" s="6"/>
      <c r="G8" s="6"/>
      <c r="H8" s="6"/>
      <c r="I8" s="6"/>
      <c r="J8" s="6"/>
      <c r="K8" s="6"/>
      <c r="L8" s="6"/>
      <c r="M8" s="6"/>
      <c r="N8" s="6"/>
      <c r="O8" s="7"/>
    </row>
    <row r="9" spans="3:16" x14ac:dyDescent="0.5">
      <c r="C9" s="5"/>
      <c r="D9" s="6"/>
      <c r="E9" s="6"/>
      <c r="F9" s="6"/>
      <c r="G9" s="6"/>
      <c r="H9" s="6"/>
      <c r="I9" s="6"/>
      <c r="J9" s="6"/>
      <c r="K9" s="6"/>
      <c r="L9" s="6"/>
      <c r="M9" s="6"/>
      <c r="N9" s="6"/>
      <c r="O9" s="7"/>
    </row>
    <row r="10" spans="3:16" x14ac:dyDescent="0.5">
      <c r="C10" s="5"/>
      <c r="D10" s="6"/>
      <c r="E10" s="6"/>
      <c r="F10" s="6"/>
      <c r="G10" s="6"/>
      <c r="H10" s="6"/>
      <c r="I10" s="6"/>
      <c r="J10" s="6"/>
      <c r="K10" s="6"/>
      <c r="L10" s="6"/>
      <c r="M10" s="6"/>
      <c r="N10" s="6"/>
      <c r="O10" s="7"/>
    </row>
    <row r="11" spans="3:16" x14ac:dyDescent="0.5">
      <c r="C11" s="5"/>
      <c r="D11" s="6"/>
      <c r="E11" s="6"/>
      <c r="F11" s="6"/>
      <c r="G11" s="6"/>
      <c r="H11" s="6"/>
      <c r="I11" s="6"/>
      <c r="J11" s="6"/>
      <c r="K11" s="6"/>
      <c r="L11" s="6"/>
      <c r="M11" s="6"/>
      <c r="N11" s="6"/>
      <c r="O11" s="7"/>
    </row>
    <row r="12" spans="3:16" x14ac:dyDescent="0.5">
      <c r="C12" s="5"/>
      <c r="D12" s="6"/>
      <c r="E12" s="6"/>
      <c r="F12" s="6"/>
      <c r="G12" s="6"/>
      <c r="H12" s="6"/>
      <c r="I12" s="6"/>
      <c r="J12" s="6"/>
      <c r="K12" s="6"/>
      <c r="L12" s="6"/>
      <c r="M12" s="6"/>
      <c r="N12" s="6"/>
      <c r="O12" s="7"/>
    </row>
    <row r="13" spans="3:16" x14ac:dyDescent="0.5">
      <c r="C13" s="5"/>
      <c r="D13" s="6"/>
      <c r="E13" s="6"/>
      <c r="F13" s="6"/>
      <c r="G13" s="6"/>
      <c r="H13" s="6"/>
      <c r="I13" s="6"/>
      <c r="J13" s="6"/>
      <c r="K13" s="6"/>
      <c r="L13" s="6"/>
      <c r="M13" s="6"/>
      <c r="N13" s="6"/>
      <c r="O13" s="8"/>
      <c r="P13" s="9"/>
    </row>
    <row r="14" spans="3:16" x14ac:dyDescent="0.5">
      <c r="C14" s="5"/>
      <c r="D14" s="6"/>
      <c r="E14" s="6"/>
      <c r="F14" s="6"/>
      <c r="G14" s="6"/>
      <c r="H14" s="6"/>
      <c r="I14" s="6"/>
      <c r="J14" s="6"/>
      <c r="K14" s="6"/>
      <c r="L14" s="6"/>
      <c r="M14" s="6"/>
      <c r="N14" s="6"/>
      <c r="O14" s="8"/>
      <c r="P14" s="9"/>
    </row>
    <row r="15" spans="3:16" x14ac:dyDescent="0.5">
      <c r="C15" s="5"/>
      <c r="D15" s="6"/>
      <c r="E15" s="6"/>
      <c r="F15" s="6"/>
      <c r="G15" s="6"/>
      <c r="H15" s="6"/>
      <c r="I15" s="6"/>
      <c r="J15" s="6"/>
      <c r="K15" s="6"/>
      <c r="L15" s="6"/>
      <c r="M15" s="6"/>
      <c r="N15" s="6"/>
      <c r="O15" s="7"/>
    </row>
    <row r="16" spans="3:16" x14ac:dyDescent="0.5">
      <c r="C16" s="5"/>
      <c r="D16" s="6"/>
      <c r="E16" s="6"/>
      <c r="F16" s="6"/>
      <c r="G16" s="6"/>
      <c r="H16" s="6"/>
      <c r="I16" s="6"/>
      <c r="J16" s="6"/>
      <c r="K16" s="6"/>
      <c r="L16" s="6"/>
      <c r="M16" s="6"/>
      <c r="N16" s="6"/>
      <c r="O16" s="7"/>
    </row>
    <row r="17" spans="3:15" ht="15.7" x14ac:dyDescent="0.55000000000000004">
      <c r="C17" s="5"/>
      <c r="D17" s="10"/>
      <c r="E17" s="10"/>
      <c r="F17" s="10"/>
      <c r="G17" s="10"/>
      <c r="H17" s="10"/>
      <c r="I17" s="10"/>
      <c r="J17" s="10"/>
      <c r="K17" s="10"/>
      <c r="L17" s="10"/>
      <c r="M17" s="10"/>
      <c r="N17" s="10"/>
      <c r="O17" s="7"/>
    </row>
    <row r="18" spans="3:15" ht="15.7" x14ac:dyDescent="0.55000000000000004">
      <c r="C18" s="5"/>
      <c r="D18" s="10"/>
      <c r="E18" s="10"/>
      <c r="F18" s="10"/>
      <c r="G18" s="10"/>
      <c r="H18" s="10"/>
      <c r="I18" s="10"/>
      <c r="J18" s="10"/>
      <c r="K18" s="10"/>
      <c r="L18" s="10"/>
      <c r="M18" s="10"/>
      <c r="N18" s="10"/>
      <c r="O18" s="7"/>
    </row>
    <row r="19" spans="3:15" x14ac:dyDescent="0.5">
      <c r="C19" s="5"/>
      <c r="D19" s="11"/>
      <c r="E19" s="11"/>
      <c r="F19" s="11"/>
      <c r="G19" s="11"/>
      <c r="H19" s="11"/>
      <c r="I19" s="11"/>
      <c r="J19" s="11"/>
      <c r="K19" s="11"/>
      <c r="L19" s="11"/>
      <c r="M19" s="11"/>
      <c r="N19" s="11"/>
      <c r="O19" s="7"/>
    </row>
    <row r="20" spans="3:15" x14ac:dyDescent="0.5">
      <c r="C20" s="5"/>
      <c r="D20" s="6"/>
      <c r="E20" s="6"/>
      <c r="F20" s="6"/>
      <c r="G20" s="6"/>
      <c r="H20" s="6"/>
      <c r="I20" s="6"/>
      <c r="J20" s="6"/>
      <c r="K20" s="6"/>
      <c r="L20" s="6"/>
      <c r="M20" s="6"/>
      <c r="N20" s="6"/>
      <c r="O20" s="7"/>
    </row>
    <row r="21" spans="3:15" x14ac:dyDescent="0.5">
      <c r="C21" s="5"/>
      <c r="D21" s="6"/>
      <c r="E21" s="6"/>
      <c r="F21" s="6"/>
      <c r="G21" s="6"/>
      <c r="H21" s="6"/>
      <c r="I21" s="6"/>
      <c r="J21" s="6"/>
      <c r="K21" s="6"/>
      <c r="L21" s="6"/>
      <c r="M21" s="6"/>
      <c r="N21" s="6"/>
      <c r="O21" s="7"/>
    </row>
    <row r="22" spans="3:15" x14ac:dyDescent="0.5">
      <c r="C22" s="5"/>
      <c r="D22" s="6"/>
      <c r="E22" s="6"/>
      <c r="F22" s="6"/>
      <c r="G22" s="6"/>
      <c r="H22" s="6"/>
      <c r="I22" s="6"/>
      <c r="J22" s="6"/>
      <c r="K22" s="6"/>
      <c r="L22" s="6"/>
      <c r="M22" s="6"/>
      <c r="N22" s="6"/>
      <c r="O22" s="7"/>
    </row>
    <row r="23" spans="3:15" x14ac:dyDescent="0.5">
      <c r="C23" s="5"/>
      <c r="D23" s="6"/>
      <c r="E23" s="6"/>
      <c r="F23" s="6"/>
      <c r="G23" s="6"/>
      <c r="H23" s="6"/>
      <c r="I23" s="6"/>
      <c r="J23" s="6"/>
      <c r="K23" s="6"/>
      <c r="L23" s="6"/>
      <c r="M23" s="6"/>
      <c r="N23" s="6"/>
      <c r="O23" s="7"/>
    </row>
    <row r="24" spans="3:15" x14ac:dyDescent="0.5">
      <c r="C24" s="5"/>
      <c r="D24" s="6"/>
      <c r="E24" s="6"/>
      <c r="F24" s="6"/>
      <c r="G24" s="6"/>
      <c r="H24" s="6"/>
      <c r="I24" s="6"/>
      <c r="J24" s="6"/>
      <c r="K24" s="6"/>
      <c r="L24" s="6"/>
      <c r="M24" s="6"/>
      <c r="N24" s="6"/>
      <c r="O24" s="7"/>
    </row>
    <row r="25" spans="3:15" x14ac:dyDescent="0.5">
      <c r="C25" s="5"/>
      <c r="D25" s="6"/>
      <c r="E25" s="6"/>
      <c r="F25" s="6"/>
      <c r="G25" s="6"/>
      <c r="H25" s="6"/>
      <c r="I25" s="6"/>
      <c r="J25" s="6"/>
      <c r="K25" s="6"/>
      <c r="L25" s="6"/>
      <c r="M25" s="6"/>
      <c r="N25" s="6"/>
      <c r="O25" s="7"/>
    </row>
    <row r="26" spans="3:15" x14ac:dyDescent="0.5">
      <c r="C26" s="5"/>
      <c r="D26" s="6"/>
      <c r="E26" s="6"/>
      <c r="F26" s="6"/>
      <c r="G26" s="6"/>
      <c r="H26" s="6"/>
      <c r="I26" s="6"/>
      <c r="J26" s="6"/>
      <c r="K26" s="6"/>
      <c r="L26" s="6"/>
      <c r="M26" s="6"/>
      <c r="N26" s="6"/>
      <c r="O26" s="7"/>
    </row>
    <row r="27" spans="3:15" x14ac:dyDescent="0.5">
      <c r="C27" s="5"/>
      <c r="D27" s="6"/>
      <c r="E27" s="6"/>
      <c r="F27" s="6"/>
      <c r="G27" s="6"/>
      <c r="H27" s="6"/>
      <c r="I27" s="6"/>
      <c r="J27" s="6"/>
      <c r="K27" s="6"/>
      <c r="L27" s="6"/>
      <c r="M27" s="6"/>
      <c r="N27" s="6"/>
      <c r="O27" s="7"/>
    </row>
    <row r="28" spans="3:15" x14ac:dyDescent="0.5">
      <c r="C28" s="5"/>
      <c r="D28" s="6"/>
      <c r="E28" s="6"/>
      <c r="F28" s="6"/>
      <c r="G28" s="6"/>
      <c r="H28" s="6"/>
      <c r="I28" s="6"/>
      <c r="J28" s="6"/>
      <c r="K28" s="6"/>
      <c r="L28" s="6"/>
      <c r="M28" s="6"/>
      <c r="N28" s="6"/>
      <c r="O28" s="7"/>
    </row>
    <row r="29" spans="3:15" x14ac:dyDescent="0.5">
      <c r="C29" s="5"/>
      <c r="D29" s="6"/>
      <c r="E29" s="6"/>
      <c r="F29" s="6"/>
      <c r="G29" s="6"/>
      <c r="H29" s="6"/>
      <c r="I29" s="6"/>
      <c r="J29" s="6"/>
      <c r="K29" s="6"/>
      <c r="L29" s="6"/>
      <c r="M29" s="6"/>
      <c r="N29" s="6"/>
      <c r="O29" s="7"/>
    </row>
    <row r="30" spans="3:15" x14ac:dyDescent="0.5">
      <c r="C30" s="5"/>
      <c r="D30" s="6"/>
      <c r="E30" s="6"/>
      <c r="F30" s="6"/>
      <c r="G30" s="6"/>
      <c r="H30" s="6"/>
      <c r="I30" s="6"/>
      <c r="J30" s="6"/>
      <c r="K30" s="6"/>
      <c r="L30" s="6"/>
      <c r="M30" s="6"/>
      <c r="N30" s="6"/>
      <c r="O30" s="7"/>
    </row>
    <row r="31" spans="3:15" x14ac:dyDescent="0.5">
      <c r="C31" s="5"/>
      <c r="D31" s="6"/>
      <c r="E31" s="6"/>
      <c r="F31" s="6"/>
      <c r="G31" s="6"/>
      <c r="H31" s="6"/>
      <c r="I31" s="6"/>
      <c r="J31" s="6"/>
      <c r="K31" s="6"/>
      <c r="L31" s="6"/>
      <c r="M31" s="6"/>
      <c r="N31" s="6"/>
      <c r="O31" s="7"/>
    </row>
    <row r="32" spans="3:15" x14ac:dyDescent="0.5">
      <c r="C32" s="5"/>
      <c r="D32" s="6"/>
      <c r="E32" s="6"/>
      <c r="F32" s="6"/>
      <c r="G32" s="6"/>
      <c r="H32" s="6"/>
      <c r="I32" s="6"/>
      <c r="J32" s="6"/>
      <c r="K32" s="6"/>
      <c r="L32" s="6"/>
      <c r="M32" s="6"/>
      <c r="N32" s="6"/>
      <c r="O32" s="7"/>
    </row>
    <row r="33" spans="3:15" x14ac:dyDescent="0.5">
      <c r="C33" s="5"/>
      <c r="D33" s="6"/>
      <c r="E33" s="6"/>
      <c r="F33" s="6"/>
      <c r="G33" s="6"/>
      <c r="H33" s="6"/>
      <c r="I33" s="6"/>
      <c r="J33" s="6"/>
      <c r="K33" s="6"/>
      <c r="L33" s="6"/>
      <c r="M33" s="6"/>
      <c r="N33" s="6"/>
      <c r="O33" s="7"/>
    </row>
    <row r="34" spans="3:15" x14ac:dyDescent="0.5">
      <c r="C34" s="5"/>
      <c r="D34" s="6"/>
      <c r="E34" s="6"/>
      <c r="F34" s="6"/>
      <c r="G34" s="6"/>
      <c r="H34" s="6"/>
      <c r="I34" s="6"/>
      <c r="J34" s="6"/>
      <c r="K34" s="6"/>
      <c r="L34" s="6"/>
      <c r="M34" s="6"/>
      <c r="N34" s="6"/>
      <c r="O34" s="7"/>
    </row>
    <row r="35" spans="3:15" x14ac:dyDescent="0.5">
      <c r="C35" s="5"/>
      <c r="D35" s="6"/>
      <c r="E35" s="6"/>
      <c r="F35" s="6"/>
      <c r="G35" s="6"/>
      <c r="H35" s="6"/>
      <c r="I35" s="6"/>
      <c r="J35" s="6"/>
      <c r="K35" s="6"/>
      <c r="L35" s="6"/>
      <c r="M35" s="6"/>
      <c r="N35" s="6"/>
      <c r="O35" s="7"/>
    </row>
    <row r="36" spans="3:15" x14ac:dyDescent="0.5">
      <c r="C36" s="5"/>
      <c r="D36" s="6"/>
      <c r="E36" s="6"/>
      <c r="F36" s="6"/>
      <c r="G36" s="6"/>
      <c r="H36" s="6"/>
      <c r="I36" s="6"/>
      <c r="J36" s="6"/>
      <c r="K36" s="6"/>
      <c r="L36" s="6"/>
      <c r="M36" s="6"/>
      <c r="N36" s="6"/>
      <c r="O36" s="7"/>
    </row>
    <row r="37" spans="3:15" x14ac:dyDescent="0.5">
      <c r="C37" s="5"/>
      <c r="D37" s="6"/>
      <c r="E37" s="6"/>
      <c r="F37" s="6"/>
      <c r="G37" s="6"/>
      <c r="H37" s="6"/>
      <c r="I37" s="6"/>
      <c r="J37" s="6"/>
      <c r="K37" s="6"/>
      <c r="L37" s="6"/>
      <c r="M37" s="6"/>
      <c r="N37" s="6"/>
      <c r="O37" s="7"/>
    </row>
    <row r="38" spans="3:15" x14ac:dyDescent="0.5">
      <c r="C38" s="5"/>
      <c r="D38" s="6"/>
      <c r="E38" s="6"/>
      <c r="F38" s="6"/>
      <c r="G38" s="6"/>
      <c r="H38" s="6"/>
      <c r="I38" s="6"/>
      <c r="J38" s="6"/>
      <c r="K38" s="6"/>
      <c r="L38" s="6"/>
      <c r="M38" s="6"/>
      <c r="N38" s="6"/>
      <c r="O38" s="7"/>
    </row>
    <row r="39" spans="3:15" x14ac:dyDescent="0.5">
      <c r="C39" s="5"/>
      <c r="D39" s="6"/>
      <c r="E39" s="6"/>
      <c r="F39" s="6"/>
      <c r="G39" s="6"/>
      <c r="H39" s="6"/>
      <c r="I39" s="6"/>
      <c r="J39" s="6"/>
      <c r="K39" s="6"/>
      <c r="L39" s="6"/>
      <c r="M39" s="6"/>
      <c r="N39" s="6"/>
      <c r="O39" s="7"/>
    </row>
    <row r="40" spans="3:15" x14ac:dyDescent="0.5">
      <c r="C40" s="5"/>
      <c r="D40" s="6"/>
      <c r="E40" s="6"/>
      <c r="F40" s="6"/>
      <c r="G40" s="6"/>
      <c r="H40" s="6"/>
      <c r="I40" s="6"/>
      <c r="J40" s="6"/>
      <c r="K40" s="6"/>
      <c r="L40" s="6"/>
      <c r="M40" s="6"/>
      <c r="N40" s="6"/>
      <c r="O40" s="7"/>
    </row>
    <row r="41" spans="3:15" x14ac:dyDescent="0.5">
      <c r="C41" s="5"/>
      <c r="D41" s="6"/>
      <c r="E41" s="6"/>
      <c r="F41" s="6"/>
      <c r="G41" s="6"/>
      <c r="H41" s="6"/>
      <c r="I41" s="6"/>
      <c r="J41" s="6"/>
      <c r="K41" s="6"/>
      <c r="L41" s="6"/>
      <c r="M41" s="6"/>
      <c r="N41" s="6"/>
      <c r="O41" s="7"/>
    </row>
    <row r="42" spans="3:15" x14ac:dyDescent="0.5">
      <c r="C42" s="5"/>
      <c r="D42" s="6"/>
      <c r="E42" s="6"/>
      <c r="F42" s="6"/>
      <c r="G42" s="6"/>
      <c r="H42" s="6"/>
      <c r="I42" s="6"/>
      <c r="J42" s="6"/>
      <c r="K42" s="6"/>
      <c r="L42" s="6"/>
      <c r="M42" s="6"/>
      <c r="N42" s="6"/>
      <c r="O42" s="7"/>
    </row>
    <row r="43" spans="3:15" x14ac:dyDescent="0.5">
      <c r="C43" s="5"/>
      <c r="D43" s="6"/>
      <c r="E43" s="6"/>
      <c r="F43" s="6"/>
      <c r="G43" s="6"/>
      <c r="H43" s="6"/>
      <c r="I43" s="6"/>
      <c r="J43" s="6"/>
      <c r="K43" s="6"/>
      <c r="L43" s="6"/>
      <c r="M43" s="6"/>
      <c r="N43" s="6"/>
      <c r="O43" s="7"/>
    </row>
    <row r="44" spans="3:15" x14ac:dyDescent="0.5">
      <c r="C44" s="5"/>
      <c r="D44" s="6"/>
      <c r="E44" s="6"/>
      <c r="F44" s="6"/>
      <c r="G44" s="6"/>
      <c r="H44" s="6"/>
      <c r="I44" s="6"/>
      <c r="J44" s="6"/>
      <c r="K44" s="6"/>
      <c r="L44" s="6"/>
      <c r="M44" s="6"/>
      <c r="N44" s="6"/>
      <c r="O44" s="7"/>
    </row>
    <row r="45" spans="3:15" x14ac:dyDescent="0.5">
      <c r="C45" s="5"/>
      <c r="D45" s="6"/>
      <c r="E45" s="6"/>
      <c r="F45" s="6"/>
      <c r="G45" s="6"/>
      <c r="H45" s="6"/>
      <c r="I45" s="6"/>
      <c r="J45" s="6"/>
      <c r="K45" s="6"/>
      <c r="L45" s="6"/>
      <c r="M45" s="6"/>
      <c r="N45" s="6"/>
      <c r="O45" s="7"/>
    </row>
    <row r="46" spans="3:15" x14ac:dyDescent="0.5">
      <c r="C46" s="5"/>
      <c r="D46" s="6"/>
      <c r="E46" s="6"/>
      <c r="F46" s="6"/>
      <c r="G46" s="6"/>
      <c r="H46" s="6"/>
      <c r="I46" s="6"/>
      <c r="J46" s="6"/>
      <c r="K46" s="6"/>
      <c r="L46" s="6"/>
      <c r="M46" s="6"/>
      <c r="N46" s="6"/>
      <c r="O46" s="7"/>
    </row>
    <row r="47" spans="3:15" ht="15.7" x14ac:dyDescent="0.55000000000000004">
      <c r="C47" s="5"/>
      <c r="D47" s="10" t="s">
        <v>946</v>
      </c>
      <c r="E47" s="10"/>
      <c r="F47" s="10"/>
      <c r="G47" s="10"/>
      <c r="H47" s="10"/>
      <c r="I47" s="10"/>
      <c r="J47" s="10"/>
      <c r="K47" s="10"/>
      <c r="L47" s="10"/>
      <c r="M47" s="10"/>
      <c r="N47" s="10"/>
      <c r="O47" s="7"/>
    </row>
    <row r="48" spans="3:15" ht="15.7" x14ac:dyDescent="0.55000000000000004">
      <c r="C48" s="5"/>
      <c r="D48" s="10" t="s">
        <v>947</v>
      </c>
      <c r="E48" s="10"/>
      <c r="F48" s="10"/>
      <c r="G48" s="10"/>
      <c r="H48" s="10"/>
      <c r="I48" s="10"/>
      <c r="J48" s="10"/>
      <c r="K48" s="10"/>
      <c r="L48" s="10"/>
      <c r="M48" s="10"/>
      <c r="N48" s="10"/>
      <c r="O48" s="7"/>
    </row>
    <row r="49" spans="3:15" x14ac:dyDescent="0.5">
      <c r="C49" s="5"/>
      <c r="D49" s="11"/>
      <c r="E49" s="11"/>
      <c r="F49" s="11"/>
      <c r="G49" s="11"/>
      <c r="H49" s="11"/>
      <c r="I49" s="11"/>
      <c r="J49" s="11"/>
      <c r="K49" s="11"/>
      <c r="L49" s="11"/>
      <c r="M49" s="11"/>
      <c r="N49" s="11"/>
      <c r="O49" s="7"/>
    </row>
    <row r="50" spans="3:15" ht="14.7" thickBot="1" x14ac:dyDescent="0.55000000000000004">
      <c r="C50" s="12"/>
      <c r="D50" s="13"/>
      <c r="E50" s="13"/>
      <c r="F50" s="13"/>
      <c r="G50" s="13"/>
      <c r="H50" s="13"/>
      <c r="I50" s="13"/>
      <c r="J50" s="13"/>
      <c r="K50" s="13"/>
      <c r="L50" s="13"/>
      <c r="M50" s="13"/>
      <c r="N50" s="13"/>
      <c r="O50" s="14"/>
    </row>
    <row r="55" spans="3:15" ht="13.95" customHeight="1" x14ac:dyDescent="0.5">
      <c r="E55" s="15"/>
    </row>
    <row r="56" spans="3:15" ht="14.45" customHeight="1" x14ac:dyDescent="0.5">
      <c r="E56" s="16"/>
    </row>
    <row r="57" spans="3:15" ht="15" customHeight="1" x14ac:dyDescent="0.5">
      <c r="E57" s="17"/>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351367</xdr:colOff>
                <xdr:row>34</xdr:row>
                <xdr:rowOff>16933</xdr:rowOff>
              </from>
              <to>
                <xdr:col>9</xdr:col>
                <xdr:colOff>241300</xdr:colOff>
                <xdr:row>39</xdr:row>
                <xdr:rowOff>97367</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4E45-8472-4AD5-8EE5-E14E27AE0116}">
  <sheetPr codeName="Sheet56"/>
  <dimension ref="C2:S50"/>
  <sheetViews>
    <sheetView zoomScaleNormal="100" zoomScaleSheetLayoutView="80" workbookViewId="0">
      <selection activeCell="M36" sqref="M36"/>
    </sheetView>
  </sheetViews>
  <sheetFormatPr defaultColWidth="9.1171875" defaultRowHeight="14.35" x14ac:dyDescent="0.5"/>
  <cols>
    <col min="1" max="1" width="9.1171875" style="1"/>
    <col min="2" max="2" width="3.41015625" style="1" customWidth="1"/>
    <col min="3" max="3" width="86.1171875" style="1" customWidth="1"/>
    <col min="4" max="4" width="10.1171875" style="19" bestFit="1" customWidth="1"/>
    <col min="5" max="13" width="9.1171875" style="1"/>
    <col min="14" max="14" width="7.87890625" style="1" customWidth="1"/>
    <col min="15" max="22" width="9.1171875" style="1"/>
    <col min="23" max="23" width="8.703125" style="1" customWidth="1"/>
    <col min="24" max="24" width="8.5859375" style="1" customWidth="1"/>
    <col min="25" max="25" width="8" style="1" customWidth="1"/>
    <col min="26" max="26" width="9.1171875" style="1"/>
    <col min="27" max="27" width="7.5859375" style="1" customWidth="1"/>
    <col min="28" max="28" width="8.1171875" style="1" customWidth="1"/>
    <col min="29" max="29" width="7.41015625" style="1" customWidth="1"/>
    <col min="30" max="30" width="8.1171875" style="1" customWidth="1"/>
    <col min="31" max="31" width="9.1171875" style="1"/>
    <col min="32" max="32" width="8.29296875" style="1" customWidth="1"/>
    <col min="33" max="16384" width="9.1171875" style="1"/>
  </cols>
  <sheetData>
    <row r="2" spans="3:8" ht="20.7" x14ac:dyDescent="0.5">
      <c r="C2" s="18"/>
    </row>
    <row r="3" spans="3:8" ht="20.7" x14ac:dyDescent="0.55000000000000004">
      <c r="C3" s="20" t="s">
        <v>0</v>
      </c>
      <c r="D3" s="21" t="s">
        <v>1</v>
      </c>
    </row>
    <row r="4" spans="3:8" ht="15.7" x14ac:dyDescent="0.5">
      <c r="C4" s="22" t="s">
        <v>2</v>
      </c>
      <c r="D4" s="23" t="s">
        <v>3</v>
      </c>
    </row>
    <row r="5" spans="3:8" ht="15.7" x14ac:dyDescent="0.5">
      <c r="C5" s="22" t="s">
        <v>4</v>
      </c>
      <c r="D5" s="23" t="s">
        <v>5</v>
      </c>
    </row>
    <row r="6" spans="3:8" ht="15.7" x14ac:dyDescent="0.5">
      <c r="C6" s="22" t="s">
        <v>6</v>
      </c>
      <c r="D6" s="23" t="s">
        <v>7</v>
      </c>
    </row>
    <row r="7" spans="3:8" ht="15.7" x14ac:dyDescent="0.5">
      <c r="C7" s="22" t="s">
        <v>8</v>
      </c>
      <c r="D7" s="23" t="s">
        <v>9</v>
      </c>
      <c r="G7" s="24"/>
    </row>
    <row r="8" spans="3:8" ht="15.7" x14ac:dyDescent="0.5">
      <c r="C8" s="22" t="s">
        <v>10</v>
      </c>
      <c r="D8" s="23" t="s">
        <v>11</v>
      </c>
      <c r="E8" s="25"/>
      <c r="F8" s="25"/>
      <c r="G8" s="25"/>
      <c r="H8" s="25"/>
    </row>
    <row r="9" spans="3:8" ht="3" customHeight="1" x14ac:dyDescent="0.5">
      <c r="C9" s="26"/>
      <c r="D9" s="27"/>
    </row>
    <row r="10" spans="3:8" ht="15.7" x14ac:dyDescent="0.5">
      <c r="C10" s="22" t="s">
        <v>12</v>
      </c>
      <c r="D10" s="27"/>
    </row>
    <row r="11" spans="3:8" ht="15.7" x14ac:dyDescent="0.5">
      <c r="C11" s="26" t="s">
        <v>13</v>
      </c>
      <c r="D11" s="23" t="s">
        <v>14</v>
      </c>
    </row>
    <row r="12" spans="3:8" ht="15.7" x14ac:dyDescent="0.5">
      <c r="C12" s="26" t="s">
        <v>15</v>
      </c>
      <c r="D12" s="23" t="s">
        <v>14</v>
      </c>
    </row>
    <row r="13" spans="3:8" ht="15.7" x14ac:dyDescent="0.5">
      <c r="C13" s="26" t="s">
        <v>16</v>
      </c>
      <c r="D13" s="23" t="s">
        <v>14</v>
      </c>
    </row>
    <row r="14" spans="3:8" ht="2.25" customHeight="1" x14ac:dyDescent="0.5">
      <c r="C14" s="22"/>
      <c r="D14" s="27"/>
    </row>
    <row r="15" spans="3:8" ht="15.7" x14ac:dyDescent="0.5">
      <c r="C15" s="22" t="s">
        <v>17</v>
      </c>
      <c r="D15" s="27"/>
    </row>
    <row r="16" spans="3:8" ht="15.7" x14ac:dyDescent="0.5">
      <c r="C16" s="26" t="s">
        <v>13</v>
      </c>
      <c r="D16" s="23" t="s">
        <v>18</v>
      </c>
    </row>
    <row r="17" spans="3:4" ht="15.7" x14ac:dyDescent="0.5">
      <c r="C17" s="26" t="s">
        <v>15</v>
      </c>
      <c r="D17" s="23" t="s">
        <v>18</v>
      </c>
    </row>
    <row r="18" spans="3:4" ht="15.7" x14ac:dyDescent="0.5">
      <c r="C18" s="26" t="s">
        <v>16</v>
      </c>
      <c r="D18" s="23" t="s">
        <v>18</v>
      </c>
    </row>
    <row r="19" spans="3:4" ht="4.5" customHeight="1" x14ac:dyDescent="0.5">
      <c r="C19" s="22"/>
      <c r="D19" s="27"/>
    </row>
    <row r="20" spans="3:4" ht="15.7" x14ac:dyDescent="0.5">
      <c r="C20" s="22" t="s">
        <v>19</v>
      </c>
      <c r="D20" s="27"/>
    </row>
    <row r="21" spans="3:4" ht="15.7" x14ac:dyDescent="0.5">
      <c r="C21" s="26" t="s">
        <v>13</v>
      </c>
      <c r="D21" s="23" t="s">
        <v>20</v>
      </c>
    </row>
    <row r="22" spans="3:4" ht="15.7" x14ac:dyDescent="0.5">
      <c r="C22" s="26" t="s">
        <v>15</v>
      </c>
      <c r="D22" s="23" t="s">
        <v>20</v>
      </c>
    </row>
    <row r="23" spans="3:4" ht="15.7" x14ac:dyDescent="0.5">
      <c r="C23" s="26" t="s">
        <v>16</v>
      </c>
      <c r="D23" s="23" t="s">
        <v>20</v>
      </c>
    </row>
    <row r="24" spans="3:4" ht="2.25" customHeight="1" x14ac:dyDescent="0.5">
      <c r="C24" s="22"/>
      <c r="D24" s="27"/>
    </row>
    <row r="25" spans="3:4" ht="15.7" x14ac:dyDescent="0.5">
      <c r="C25" s="22" t="s">
        <v>21</v>
      </c>
      <c r="D25" s="27"/>
    </row>
    <row r="26" spans="3:4" ht="15.7" x14ac:dyDescent="0.5">
      <c r="C26" s="26" t="s">
        <v>22</v>
      </c>
      <c r="D26" s="23" t="s">
        <v>23</v>
      </c>
    </row>
    <row r="27" spans="3:4" ht="15.7" x14ac:dyDescent="0.5">
      <c r="C27" s="26" t="s">
        <v>24</v>
      </c>
      <c r="D27" s="23" t="s">
        <v>23</v>
      </c>
    </row>
    <row r="28" spans="3:4" ht="15.7" x14ac:dyDescent="0.5">
      <c r="C28" s="26" t="s">
        <v>25</v>
      </c>
      <c r="D28" s="23" t="s">
        <v>23</v>
      </c>
    </row>
    <row r="29" spans="3:4" ht="6" customHeight="1" x14ac:dyDescent="0.5">
      <c r="C29" s="26"/>
      <c r="D29" s="27"/>
    </row>
    <row r="30" spans="3:4" ht="3" customHeight="1" x14ac:dyDescent="0.5">
      <c r="C30" s="22"/>
      <c r="D30" s="27"/>
    </row>
    <row r="31" spans="3:4" ht="15.7" x14ac:dyDescent="0.5">
      <c r="C31" s="22" t="s">
        <v>26</v>
      </c>
      <c r="D31" s="27"/>
    </row>
    <row r="32" spans="3:4" ht="15.7" x14ac:dyDescent="0.5">
      <c r="C32" s="26" t="s">
        <v>27</v>
      </c>
      <c r="D32" s="23" t="s">
        <v>28</v>
      </c>
    </row>
    <row r="33" spans="3:19" ht="15.7" x14ac:dyDescent="0.5">
      <c r="C33" s="26" t="s">
        <v>29</v>
      </c>
      <c r="D33" s="23" t="s">
        <v>30</v>
      </c>
    </row>
    <row r="34" spans="3:19" ht="15.7" x14ac:dyDescent="0.55000000000000004">
      <c r="C34" s="28" t="s">
        <v>31</v>
      </c>
      <c r="D34" s="29" t="s">
        <v>32</v>
      </c>
    </row>
    <row r="35" spans="3:19" ht="3" customHeight="1" x14ac:dyDescent="0.5">
      <c r="C35" s="30"/>
      <c r="D35" s="27"/>
    </row>
    <row r="36" spans="3:19" ht="15.7" x14ac:dyDescent="0.55000000000000004">
      <c r="C36" s="28" t="s">
        <v>33</v>
      </c>
      <c r="D36" s="23" t="s">
        <v>34</v>
      </c>
    </row>
    <row r="37" spans="3:19" ht="15.7" x14ac:dyDescent="0.5">
      <c r="D37" s="31"/>
    </row>
    <row r="38" spans="3:19" x14ac:dyDescent="0.5">
      <c r="C38" s="32" t="s">
        <v>35</v>
      </c>
      <c r="D38" s="1"/>
    </row>
    <row r="39" spans="3:19" ht="15.7" x14ac:dyDescent="0.5">
      <c r="C39" s="22" t="s">
        <v>36</v>
      </c>
      <c r="D39" s="23" t="s">
        <v>37</v>
      </c>
      <c r="S39" s="1" t="s">
        <v>38</v>
      </c>
    </row>
    <row r="41" spans="3:19" x14ac:dyDescent="0.5">
      <c r="C41" s="32" t="s">
        <v>39</v>
      </c>
      <c r="D41" s="1"/>
    </row>
    <row r="42" spans="3:19" ht="15.7" x14ac:dyDescent="0.5">
      <c r="C42" s="22" t="s">
        <v>40</v>
      </c>
      <c r="D42" s="23" t="s">
        <v>41</v>
      </c>
    </row>
    <row r="43" spans="3:19" ht="15.7" x14ac:dyDescent="0.5">
      <c r="C43" s="22" t="s">
        <v>42</v>
      </c>
      <c r="D43" s="23" t="s">
        <v>43</v>
      </c>
    </row>
    <row r="44" spans="3:19" ht="15.7" x14ac:dyDescent="0.5">
      <c r="C44" s="22" t="s">
        <v>44</v>
      </c>
      <c r="D44" s="23" t="s">
        <v>45</v>
      </c>
    </row>
    <row r="45" spans="3:19" ht="15.7" x14ac:dyDescent="0.5">
      <c r="C45" s="22" t="s">
        <v>46</v>
      </c>
      <c r="D45" s="23" t="s">
        <v>47</v>
      </c>
    </row>
    <row r="46" spans="3:19" ht="15.7" x14ac:dyDescent="0.5">
      <c r="C46" s="22" t="s">
        <v>48</v>
      </c>
      <c r="D46" s="23" t="s">
        <v>49</v>
      </c>
    </row>
    <row r="47" spans="3:19" ht="15.7" x14ac:dyDescent="0.5">
      <c r="C47" s="22" t="s">
        <v>50</v>
      </c>
      <c r="D47" s="23" t="s">
        <v>51</v>
      </c>
    </row>
    <row r="48" spans="3:19" ht="15.7" x14ac:dyDescent="0.5">
      <c r="C48" s="22" t="s">
        <v>52</v>
      </c>
      <c r="D48" s="23" t="s">
        <v>53</v>
      </c>
    </row>
    <row r="49" spans="3:4" ht="15.7" x14ac:dyDescent="0.5">
      <c r="C49" s="22" t="s">
        <v>54</v>
      </c>
      <c r="D49" s="23" t="s">
        <v>55</v>
      </c>
    </row>
    <row r="50" spans="3:4" ht="15.7" x14ac:dyDescent="0.5">
      <c r="C50" s="22" t="s">
        <v>56</v>
      </c>
      <c r="D50" s="23" t="s">
        <v>57</v>
      </c>
    </row>
  </sheetData>
  <hyperlinks>
    <hyperlink ref="D4" location="'C3'!A1" display="C3" xr:uid="{3B4D5E1C-6364-4D0C-B251-736979B4E12F}"/>
    <hyperlink ref="D5" location="'C4'!A1" display="C4" xr:uid="{0DB39AFE-2466-45AD-A980-115C70C6F17B}"/>
    <hyperlink ref="D6" location="'C5'!A1" display="C5" xr:uid="{D732852B-21B0-49C8-BCCC-EB910782E0A7}"/>
    <hyperlink ref="D7" location="'C6'!A1" display="C6" xr:uid="{6A20F520-6E13-4136-8161-5FE42EEB28EA}"/>
    <hyperlink ref="D8" location="'C7'!A1" display="C7" xr:uid="{A4ED267C-6376-4A20-BB05-9AE18B76504E}"/>
    <hyperlink ref="D11" location="'C8'!A1" display="C8" xr:uid="{9C136527-1CAC-44A4-9745-AE7988281BA7}"/>
    <hyperlink ref="D12" location="'C8'!A1" display="C8" xr:uid="{8F77C6B5-19A3-4465-B3D8-6525F52CD262}"/>
    <hyperlink ref="D13" location="'C8'!A1" display="C8" xr:uid="{10E6DE42-C258-44EA-84B3-296E1552D42B}"/>
    <hyperlink ref="D16" location="'C9'!A1" display="C9" xr:uid="{5BBF7D26-45A5-48D2-81E9-AB5D66D29357}"/>
    <hyperlink ref="D17" location="'C9'!A1" display="C9" xr:uid="{3F28F270-F11A-4879-B781-001A413F9711}"/>
    <hyperlink ref="D18" location="'C9'!A1" display="C9" xr:uid="{69DDDFFD-81D4-4792-9259-B87E525CF067}"/>
    <hyperlink ref="D21" location="'C10'!A1" display="C10" xr:uid="{4F794FAD-E78B-40F7-AA1D-0D9617E93964}"/>
    <hyperlink ref="D22" location="'C10'!A1" display="C10" xr:uid="{7BF081AD-9794-45E7-8EA4-50DD8AD5EC56}"/>
    <hyperlink ref="D23" location="'C10'!A1" display="C10" xr:uid="{EF5DB335-3190-4FDF-95A5-85257310B2FE}"/>
    <hyperlink ref="D26" location="'C11'!A1" display="C11" xr:uid="{316AA9AE-B212-4A76-836F-B446F72F8BE9}"/>
    <hyperlink ref="D27" location="'C11'!A1" display="C11" xr:uid="{4C85750D-4F64-4DC3-89AD-F003E20C4EF3}"/>
    <hyperlink ref="D28" location="'C11'!A1" display="C11" xr:uid="{E176084C-F75A-400B-96C7-AC8A01318CCA}"/>
    <hyperlink ref="D32" location="'C12'!A1" display="C12" xr:uid="{1D9DCF9F-0C24-4A11-8FE4-028312B62CB1}"/>
    <hyperlink ref="D33" location="'C13'!A1" display="C13" xr:uid="{D52BDA6A-3A56-45B2-BF5B-ABD0962F1861}"/>
    <hyperlink ref="D34" location="'C14'!A1" display="C14" xr:uid="{20A216A9-2A0D-443D-B247-0D002F509EA3}"/>
    <hyperlink ref="D36" location="'C15'!A1" display="C15" xr:uid="{6D581096-26CD-4F3F-ADCC-55195FDB45B9}"/>
    <hyperlink ref="D39" location="'C16'!A1" display="C16" xr:uid="{FFD00D4E-B2C7-4A96-A684-1E2AEB11513F}"/>
    <hyperlink ref="D42" location="'C17'!A1" display="C17" xr:uid="{20C988D4-508A-4CC6-A0F9-CCF724945B3E}"/>
    <hyperlink ref="D43" location="'C18'!A1" display="C18" xr:uid="{F88ED6ED-0CFB-4AEC-9842-A9E2CB52FC0B}"/>
    <hyperlink ref="D44" location="'C19'!A1" display="C19" xr:uid="{FC92A2D3-48D2-46E1-AF63-63301B8FF1C4}"/>
    <hyperlink ref="D45" location="'C20'!A1" display="C20" xr:uid="{87118FB4-B165-4F88-9774-1335D0E7FCA2}"/>
    <hyperlink ref="D46" location="'C21'!A1" display="C21" xr:uid="{1FD5487D-41DA-480B-B07A-24A90BA87667}"/>
    <hyperlink ref="D47" location="'C22'!A1" display="C22" xr:uid="{64F9203B-6A44-4B67-B9C6-F03A12F91121}"/>
    <hyperlink ref="D48" location="'C23'!A1" display="C23" xr:uid="{FCEF4CF9-D58D-4258-8F9E-AC8CA27C37DB}"/>
    <hyperlink ref="D49" location="'C24'!A1" display="C24" xr:uid="{C110679D-563A-46D3-8D43-E374FD9471B6}"/>
    <hyperlink ref="D50" location="'C25'!A1" display="C25" xr:uid="{8CCA5FFF-75E2-481A-8514-0D6B26C59790}"/>
  </hyperlinks>
  <pageMargins left="0.7" right="0.7"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41CA1-82A8-4A83-BD09-DF16BD9696B3}">
  <sheetPr codeName="Sheet59"/>
  <dimension ref="B2:U37"/>
  <sheetViews>
    <sheetView view="pageBreakPreview" topLeftCell="A7" zoomScaleNormal="100" zoomScaleSheetLayoutView="100" workbookViewId="0">
      <selection activeCell="M36" sqref="M36"/>
    </sheetView>
  </sheetViews>
  <sheetFormatPr defaultColWidth="15.87890625" defaultRowHeight="15.7" x14ac:dyDescent="0.55000000000000004"/>
  <cols>
    <col min="1" max="1" width="15.87890625" style="34"/>
    <col min="2" max="2" width="8" style="34" customWidth="1"/>
    <col min="3" max="3" width="21.29296875" style="34" customWidth="1"/>
    <col min="4" max="7" width="15.87890625" style="34"/>
    <col min="8" max="8" width="17.703125" style="34" bestFit="1" customWidth="1"/>
    <col min="9" max="9" width="15.87890625" style="34"/>
    <col min="10" max="10" width="4.87890625" style="34" customWidth="1"/>
    <col min="11" max="16384" width="15.87890625" style="34"/>
  </cols>
  <sheetData>
    <row r="2" spans="2:9" x14ac:dyDescent="0.55000000000000004">
      <c r="B2" s="33" t="s">
        <v>58</v>
      </c>
      <c r="C2" s="33"/>
      <c r="D2" s="33"/>
      <c r="E2" s="33"/>
      <c r="F2" s="33"/>
      <c r="G2" s="33"/>
      <c r="H2" s="33"/>
      <c r="I2" s="33"/>
    </row>
    <row r="4" spans="2:9" ht="36.75" customHeight="1" x14ac:dyDescent="0.55000000000000004">
      <c r="B4" s="35">
        <v>1</v>
      </c>
      <c r="C4" s="36" t="s">
        <v>59</v>
      </c>
      <c r="D4" s="36"/>
      <c r="E4" s="36"/>
      <c r="F4" s="36"/>
      <c r="G4" s="36"/>
      <c r="H4" s="36"/>
      <c r="I4" s="36"/>
    </row>
    <row r="5" spans="2:9" ht="31.5" customHeight="1" x14ac:dyDescent="0.55000000000000004">
      <c r="B5" s="35">
        <v>2</v>
      </c>
      <c r="C5" s="37" t="s">
        <v>60</v>
      </c>
      <c r="D5" s="37"/>
      <c r="E5" s="37"/>
      <c r="F5" s="37"/>
      <c r="G5" s="37"/>
      <c r="H5" s="37"/>
      <c r="I5" s="37"/>
    </row>
    <row r="6" spans="2:9" ht="35.25" customHeight="1" x14ac:dyDescent="0.55000000000000004">
      <c r="B6" s="35">
        <v>3</v>
      </c>
      <c r="C6" s="37" t="s">
        <v>61</v>
      </c>
      <c r="D6" s="37"/>
      <c r="E6" s="37"/>
      <c r="F6" s="37"/>
      <c r="G6" s="37"/>
      <c r="H6" s="37"/>
      <c r="I6" s="37"/>
    </row>
    <row r="7" spans="2:9" x14ac:dyDescent="0.55000000000000004">
      <c r="B7" s="38"/>
      <c r="C7" s="39" t="s">
        <v>62</v>
      </c>
      <c r="D7" s="40"/>
      <c r="E7" s="41" t="s">
        <v>63</v>
      </c>
      <c r="F7" s="41"/>
      <c r="G7" s="41"/>
      <c r="H7" s="39"/>
      <c r="I7" s="40"/>
    </row>
    <row r="8" spans="2:9" x14ac:dyDescent="0.55000000000000004">
      <c r="B8" s="38"/>
      <c r="C8" s="42" t="s">
        <v>64</v>
      </c>
      <c r="E8" s="43"/>
      <c r="F8" s="42" t="s">
        <v>65</v>
      </c>
    </row>
    <row r="9" spans="2:9" x14ac:dyDescent="0.55000000000000004">
      <c r="B9" s="38"/>
      <c r="C9" s="42" t="s">
        <v>66</v>
      </c>
      <c r="E9" s="43"/>
      <c r="F9" s="42" t="s">
        <v>67</v>
      </c>
    </row>
    <row r="10" spans="2:9" x14ac:dyDescent="0.55000000000000004">
      <c r="B10" s="38"/>
      <c r="C10" s="42" t="s">
        <v>68</v>
      </c>
      <c r="E10" s="43"/>
      <c r="F10" s="42" t="s">
        <v>69</v>
      </c>
    </row>
    <row r="11" spans="2:9" x14ac:dyDescent="0.55000000000000004">
      <c r="B11" s="38"/>
      <c r="C11" s="42" t="s">
        <v>70</v>
      </c>
      <c r="E11" s="43"/>
      <c r="F11" s="42" t="s">
        <v>71</v>
      </c>
    </row>
    <row r="12" spans="2:9" x14ac:dyDescent="0.55000000000000004">
      <c r="B12" s="38"/>
      <c r="C12" s="42" t="s">
        <v>72</v>
      </c>
      <c r="E12" s="43"/>
      <c r="F12" s="42" t="s">
        <v>73</v>
      </c>
    </row>
    <row r="13" spans="2:9" x14ac:dyDescent="0.55000000000000004">
      <c r="B13" s="38"/>
      <c r="C13" s="42" t="s">
        <v>74</v>
      </c>
      <c r="E13" s="43"/>
      <c r="F13" s="42" t="s">
        <v>75</v>
      </c>
    </row>
    <row r="14" spans="2:9" x14ac:dyDescent="0.55000000000000004">
      <c r="B14" s="38"/>
      <c r="C14" s="42" t="s">
        <v>76</v>
      </c>
      <c r="E14" s="43"/>
      <c r="F14" s="42" t="s">
        <v>77</v>
      </c>
    </row>
    <row r="15" spans="2:9" x14ac:dyDescent="0.55000000000000004">
      <c r="B15" s="38"/>
      <c r="C15" s="42" t="s">
        <v>78</v>
      </c>
      <c r="E15" s="43"/>
      <c r="F15" s="42" t="s">
        <v>79</v>
      </c>
    </row>
    <row r="16" spans="2:9" x14ac:dyDescent="0.55000000000000004">
      <c r="B16" s="38"/>
      <c r="C16" s="42" t="s">
        <v>80</v>
      </c>
      <c r="E16" s="43"/>
      <c r="F16" s="42" t="s">
        <v>81</v>
      </c>
    </row>
    <row r="17" spans="2:10" x14ac:dyDescent="0.55000000000000004">
      <c r="B17" s="38"/>
      <c r="C17" s="42" t="s">
        <v>82</v>
      </c>
      <c r="E17" s="43"/>
      <c r="F17" s="42" t="s">
        <v>83</v>
      </c>
    </row>
    <row r="18" spans="2:10" x14ac:dyDescent="0.55000000000000004">
      <c r="B18" s="38"/>
      <c r="C18" s="42" t="s">
        <v>84</v>
      </c>
      <c r="E18" s="43"/>
      <c r="F18" s="42" t="s">
        <v>85</v>
      </c>
    </row>
    <row r="19" spans="2:10" x14ac:dyDescent="0.55000000000000004">
      <c r="B19" s="38"/>
      <c r="C19" s="44" t="s">
        <v>86</v>
      </c>
      <c r="D19" s="45"/>
      <c r="E19" s="46"/>
      <c r="F19" s="44" t="s">
        <v>87</v>
      </c>
      <c r="G19" s="45"/>
      <c r="H19" s="45"/>
      <c r="I19" s="45"/>
    </row>
    <row r="20" spans="2:10" x14ac:dyDescent="0.55000000000000004">
      <c r="B20" s="38"/>
    </row>
    <row r="21" spans="2:10" x14ac:dyDescent="0.55000000000000004">
      <c r="B21" s="35">
        <v>4</v>
      </c>
      <c r="C21" s="47" t="s">
        <v>88</v>
      </c>
    </row>
    <row r="22" spans="2:10" ht="31.5" customHeight="1" x14ac:dyDescent="0.55000000000000004">
      <c r="B22" s="38"/>
      <c r="C22" s="48"/>
      <c r="D22" s="49" t="s">
        <v>89</v>
      </c>
      <c r="E22" s="49" t="s">
        <v>90</v>
      </c>
      <c r="F22" s="49" t="s">
        <v>91</v>
      </c>
      <c r="G22" s="49" t="s">
        <v>92</v>
      </c>
      <c r="H22" s="49" t="s">
        <v>93</v>
      </c>
      <c r="I22" s="50" t="s">
        <v>94</v>
      </c>
    </row>
    <row r="23" spans="2:10" ht="31.35" x14ac:dyDescent="0.55000000000000004">
      <c r="B23" s="38"/>
      <c r="C23" s="51" t="s">
        <v>95</v>
      </c>
      <c r="D23" s="52">
        <v>20</v>
      </c>
      <c r="E23" s="52">
        <v>17</v>
      </c>
      <c r="F23" s="52">
        <v>17</v>
      </c>
      <c r="G23" s="52">
        <v>52</v>
      </c>
      <c r="H23" s="52">
        <v>1</v>
      </c>
      <c r="I23" s="52">
        <v>107</v>
      </c>
    </row>
    <row r="24" spans="2:10" ht="31.35" x14ac:dyDescent="0.55000000000000004">
      <c r="B24" s="38"/>
      <c r="C24" s="51" t="s">
        <v>96</v>
      </c>
      <c r="D24" s="52">
        <v>20</v>
      </c>
      <c r="E24" s="52">
        <v>17</v>
      </c>
      <c r="F24" s="52">
        <v>17</v>
      </c>
      <c r="G24" s="52">
        <v>52</v>
      </c>
      <c r="H24" s="52">
        <v>1</v>
      </c>
      <c r="I24" s="52">
        <v>107</v>
      </c>
    </row>
    <row r="25" spans="2:10" x14ac:dyDescent="0.55000000000000004">
      <c r="B25" s="53">
        <v>5</v>
      </c>
      <c r="C25" s="31" t="s">
        <v>97</v>
      </c>
      <c r="D25" s="31"/>
      <c r="E25" s="31"/>
      <c r="F25" s="31"/>
      <c r="G25" s="31"/>
      <c r="H25" s="31"/>
      <c r="I25" s="31"/>
    </row>
    <row r="26" spans="2:10" x14ac:dyDescent="0.55000000000000004">
      <c r="B26" s="53">
        <v>6</v>
      </c>
      <c r="C26" s="54" t="s">
        <v>98</v>
      </c>
      <c r="D26" s="54"/>
      <c r="E26" s="54"/>
      <c r="F26" s="54"/>
      <c r="G26" s="54"/>
      <c r="H26" s="54"/>
      <c r="I26" s="54"/>
    </row>
    <row r="27" spans="2:10" ht="33.700000000000003" customHeight="1" x14ac:dyDescent="0.55000000000000004">
      <c r="B27" s="53">
        <v>7</v>
      </c>
      <c r="C27" s="54" t="s">
        <v>99</v>
      </c>
      <c r="D27" s="54"/>
      <c r="E27" s="54"/>
      <c r="F27" s="54"/>
      <c r="G27" s="54"/>
      <c r="H27" s="54"/>
      <c r="I27" s="54"/>
    </row>
    <row r="28" spans="2:10" ht="36.75" customHeight="1" x14ac:dyDescent="0.55000000000000004">
      <c r="B28" s="53">
        <v>8</v>
      </c>
      <c r="C28" s="54" t="s">
        <v>100</v>
      </c>
      <c r="D28" s="54"/>
      <c r="E28" s="54"/>
      <c r="F28" s="54"/>
      <c r="G28" s="54"/>
      <c r="H28" s="54"/>
      <c r="I28" s="54"/>
    </row>
    <row r="29" spans="2:10" ht="14.45" customHeight="1" x14ac:dyDescent="0.55000000000000004">
      <c r="B29" s="55"/>
      <c r="C29" s="56"/>
      <c r="D29" s="56"/>
      <c r="E29" s="56"/>
      <c r="F29" s="56"/>
      <c r="G29" s="56"/>
      <c r="H29" s="56"/>
      <c r="I29" s="56"/>
    </row>
    <row r="30" spans="2:10" ht="19.5" customHeight="1" x14ac:dyDescent="0.55000000000000004">
      <c r="B30" s="57"/>
      <c r="C30" s="58"/>
      <c r="D30" s="58"/>
      <c r="E30" s="58"/>
      <c r="F30" s="58"/>
      <c r="G30" s="58"/>
      <c r="H30" s="58"/>
      <c r="I30" s="58"/>
    </row>
    <row r="31" spans="2:10" x14ac:dyDescent="0.55000000000000004">
      <c r="B31" s="57"/>
      <c r="C31" s="58"/>
      <c r="D31" s="58"/>
      <c r="E31" s="58"/>
      <c r="F31" s="58"/>
      <c r="G31" s="58"/>
      <c r="H31" s="58"/>
      <c r="I31" s="58"/>
    </row>
    <row r="32" spans="2:10" x14ac:dyDescent="0.55000000000000004">
      <c r="B32" s="57"/>
      <c r="C32" s="58"/>
      <c r="D32" s="58"/>
      <c r="E32" s="58"/>
      <c r="F32" s="58"/>
      <c r="G32" s="58"/>
      <c r="H32" s="58"/>
      <c r="I32" s="58"/>
      <c r="J32" s="59"/>
    </row>
    <row r="35" spans="3:21" x14ac:dyDescent="0.55000000000000004">
      <c r="C35" s="56"/>
      <c r="D35" s="56"/>
      <c r="E35" s="56"/>
      <c r="F35" s="56"/>
      <c r="G35" s="56"/>
      <c r="H35" s="56"/>
      <c r="I35" s="56"/>
      <c r="J35" s="55"/>
    </row>
    <row r="36" spans="3:21" ht="90.75" customHeight="1" x14ac:dyDescent="0.55000000000000004">
      <c r="J36" s="56"/>
      <c r="K36" s="56"/>
      <c r="L36" s="56"/>
      <c r="M36" s="56"/>
      <c r="N36" s="56"/>
      <c r="O36" s="56"/>
      <c r="P36" s="54"/>
      <c r="Q36" s="54"/>
      <c r="R36" s="54"/>
      <c r="S36" s="54"/>
      <c r="T36" s="54"/>
      <c r="U36" s="54"/>
    </row>
    <row r="37" spans="3:21" ht="15" customHeight="1" x14ac:dyDescent="0.55000000000000004"/>
  </sheetData>
  <mergeCells count="12">
    <mergeCell ref="C27:I27"/>
    <mergeCell ref="C28:I28"/>
    <mergeCell ref="C30:I30"/>
    <mergeCell ref="C31:I31"/>
    <mergeCell ref="C32:I32"/>
    <mergeCell ref="P36:U36"/>
    <mergeCell ref="B2:I2"/>
    <mergeCell ref="C4:I4"/>
    <mergeCell ref="C5:I5"/>
    <mergeCell ref="C6:I6"/>
    <mergeCell ref="E7:G7"/>
    <mergeCell ref="C26:I26"/>
  </mergeCells>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C3C4-EBE0-4C4F-A63E-32B37B66758C}">
  <sheetPr codeName="Sheet61"/>
  <dimension ref="B2:G52"/>
  <sheetViews>
    <sheetView view="pageBreakPreview" zoomScale="90" zoomScaleNormal="100" zoomScaleSheetLayoutView="90" workbookViewId="0">
      <selection activeCell="M36" sqref="M36"/>
    </sheetView>
  </sheetViews>
  <sheetFormatPr defaultColWidth="9.1171875" defaultRowHeight="15.7" x14ac:dyDescent="0.55000000000000004"/>
  <cols>
    <col min="1" max="1" width="9.1171875" style="34"/>
    <col min="2" max="2" width="5.41015625" style="34" customWidth="1"/>
    <col min="3" max="3" width="41.41015625" style="34" customWidth="1"/>
    <col min="4" max="6" width="14.1171875" style="34" bestFit="1" customWidth="1"/>
    <col min="7" max="7" width="12.29296875" style="34" bestFit="1" customWidth="1"/>
    <col min="8" max="16384" width="9.1171875" style="34"/>
  </cols>
  <sheetData>
    <row r="2" spans="2:7" x14ac:dyDescent="0.55000000000000004">
      <c r="B2" s="60" t="s">
        <v>101</v>
      </c>
      <c r="C2" s="60"/>
      <c r="D2" s="60"/>
      <c r="E2" s="60"/>
      <c r="F2" s="60"/>
      <c r="G2" s="60"/>
    </row>
    <row r="3" spans="2:7" x14ac:dyDescent="0.55000000000000004">
      <c r="B3" s="61" t="s">
        <v>948</v>
      </c>
      <c r="C3" s="61"/>
      <c r="D3" s="61"/>
      <c r="E3" s="61"/>
      <c r="F3" s="61"/>
      <c r="G3" s="61"/>
    </row>
    <row r="4" spans="2:7" x14ac:dyDescent="0.55000000000000004">
      <c r="B4" s="62"/>
      <c r="C4" s="63"/>
      <c r="D4" s="64" t="s">
        <v>102</v>
      </c>
      <c r="E4" s="64" t="s">
        <v>103</v>
      </c>
      <c r="F4" s="64" t="s">
        <v>104</v>
      </c>
      <c r="G4" s="64" t="s">
        <v>105</v>
      </c>
    </row>
    <row r="5" spans="2:7" x14ac:dyDescent="0.55000000000000004">
      <c r="B5" s="65" t="s">
        <v>106</v>
      </c>
      <c r="C5" s="66"/>
      <c r="D5" s="66"/>
      <c r="E5" s="66"/>
      <c r="F5" s="66"/>
      <c r="G5" s="67"/>
    </row>
    <row r="6" spans="2:7" x14ac:dyDescent="0.55000000000000004">
      <c r="B6" s="68">
        <v>1</v>
      </c>
      <c r="C6" s="69" t="s">
        <v>717</v>
      </c>
      <c r="D6" s="70">
        <v>106.20929424922765</v>
      </c>
      <c r="E6" s="70">
        <v>10.202025544603831</v>
      </c>
      <c r="F6" s="70">
        <v>2.1570230142910285</v>
      </c>
      <c r="G6" s="70">
        <v>118.56834280812249</v>
      </c>
    </row>
    <row r="7" spans="2:7" x14ac:dyDescent="0.55000000000000004">
      <c r="B7" s="68">
        <v>2</v>
      </c>
      <c r="C7" s="69" t="s">
        <v>718</v>
      </c>
      <c r="D7" s="70">
        <v>81.096086383866293</v>
      </c>
      <c r="E7" s="70">
        <v>8.5304866093627094</v>
      </c>
      <c r="F7" s="70">
        <v>1.6790355034479256</v>
      </c>
      <c r="G7" s="70">
        <v>91.305608496676939</v>
      </c>
    </row>
    <row r="8" spans="2:7" x14ac:dyDescent="0.55000000000000004">
      <c r="B8" s="68">
        <v>3</v>
      </c>
      <c r="C8" s="69" t="s">
        <v>949</v>
      </c>
      <c r="D8" s="70">
        <v>76.354980943163582</v>
      </c>
      <c r="E8" s="70">
        <v>83.615617036704535</v>
      </c>
      <c r="F8" s="70">
        <v>77.840407465461908</v>
      </c>
      <c r="G8" s="70">
        <v>77.006734119945946</v>
      </c>
    </row>
    <row r="9" spans="2:7" x14ac:dyDescent="0.55000000000000004">
      <c r="B9" s="68">
        <v>4</v>
      </c>
      <c r="C9" s="69" t="s">
        <v>950</v>
      </c>
      <c r="D9" s="70">
        <v>75.480247000000006</v>
      </c>
      <c r="E9" s="70">
        <v>83.282379000000006</v>
      </c>
      <c r="F9" s="70">
        <v>77.809059000000005</v>
      </c>
      <c r="G9" s="70">
        <v>76.18520766259374</v>
      </c>
    </row>
    <row r="10" spans="2:7" x14ac:dyDescent="0.55000000000000004">
      <c r="B10" s="68">
        <v>5</v>
      </c>
      <c r="C10" s="69" t="s">
        <v>951</v>
      </c>
      <c r="D10" s="70">
        <v>47.78222580377868</v>
      </c>
      <c r="E10" s="70">
        <v>48.216778136825042</v>
      </c>
      <c r="F10" s="70">
        <v>65.291357910541876</v>
      </c>
      <c r="G10" s="70">
        <v>48.138146397060908</v>
      </c>
    </row>
    <row r="11" spans="2:7" x14ac:dyDescent="0.55000000000000004">
      <c r="B11" s="68">
        <v>6</v>
      </c>
      <c r="C11" s="69" t="s">
        <v>952</v>
      </c>
      <c r="D11" s="70">
        <v>37.297606985882666</v>
      </c>
      <c r="E11" s="70">
        <v>40.92252938387233</v>
      </c>
      <c r="F11" s="70">
        <v>23.981117135030257</v>
      </c>
      <c r="G11" s="70">
        <v>37.367251004075605</v>
      </c>
    </row>
    <row r="12" spans="2:7" x14ac:dyDescent="0.55000000000000004">
      <c r="B12" s="68">
        <v>7</v>
      </c>
      <c r="C12" s="69" t="s">
        <v>953</v>
      </c>
      <c r="D12" s="70">
        <v>6.1542516913580902</v>
      </c>
      <c r="E12" s="70">
        <v>2.0812367698056362</v>
      </c>
      <c r="F12" s="70">
        <v>1.1396999829023966</v>
      </c>
      <c r="G12" s="70">
        <v>5.7125696666757442</v>
      </c>
    </row>
    <row r="13" spans="2:7" x14ac:dyDescent="0.55000000000000004">
      <c r="B13" s="68">
        <v>8</v>
      </c>
      <c r="C13" s="69" t="s">
        <v>954</v>
      </c>
      <c r="D13" s="70">
        <v>8.038344808672452</v>
      </c>
      <c r="E13" s="70">
        <v>8.6484515597489704</v>
      </c>
      <c r="F13" s="70">
        <v>9.5266914534024441</v>
      </c>
      <c r="G13" s="70">
        <v>8.1179168293475801</v>
      </c>
    </row>
    <row r="14" spans="2:7" x14ac:dyDescent="0.55000000000000004">
      <c r="B14" s="68">
        <v>9</v>
      </c>
      <c r="C14" s="69" t="s">
        <v>955</v>
      </c>
      <c r="D14" s="70">
        <v>4.4394006675342812</v>
      </c>
      <c r="E14" s="70">
        <v>5.0258092593185513</v>
      </c>
      <c r="F14" s="70">
        <v>11.04587364485241</v>
      </c>
      <c r="G14" s="70">
        <v>4.6175596599635123</v>
      </c>
    </row>
    <row r="15" spans="2:7" x14ac:dyDescent="0.55000000000000004">
      <c r="B15" s="68">
        <v>10</v>
      </c>
      <c r="C15" s="69" t="s">
        <v>956</v>
      </c>
      <c r="D15" s="70">
        <v>4.9515499056174503</v>
      </c>
      <c r="E15" s="70">
        <v>5.3705401275511075</v>
      </c>
      <c r="F15" s="70">
        <v>10.545261512992443</v>
      </c>
      <c r="G15" s="70">
        <v>5.0935590447708492</v>
      </c>
    </row>
    <row r="16" spans="2:7" x14ac:dyDescent="0.55000000000000004">
      <c r="B16" s="68">
        <v>11</v>
      </c>
      <c r="C16" s="69" t="s">
        <v>957</v>
      </c>
      <c r="D16" s="70">
        <v>5.4044002806669358</v>
      </c>
      <c r="E16" s="70">
        <v>6.6119758264610295</v>
      </c>
      <c r="F16" s="70">
        <v>5.481573028735288</v>
      </c>
      <c r="G16" s="70">
        <v>5.5203848937936595</v>
      </c>
    </row>
    <row r="17" spans="2:7" x14ac:dyDescent="0.55000000000000004">
      <c r="B17" s="65" t="s">
        <v>107</v>
      </c>
      <c r="C17" s="66"/>
      <c r="D17" s="71"/>
      <c r="E17" s="71"/>
      <c r="F17" s="71"/>
      <c r="G17" s="72"/>
    </row>
    <row r="18" spans="2:7" x14ac:dyDescent="0.55000000000000004">
      <c r="B18" s="68">
        <v>1</v>
      </c>
      <c r="C18" s="73" t="s">
        <v>689</v>
      </c>
      <c r="D18" s="70">
        <v>7.9570729890592649</v>
      </c>
      <c r="E18" s="70">
        <v>6.3492605372817632</v>
      </c>
      <c r="F18" s="70">
        <v>7.0263822291732101</v>
      </c>
      <c r="G18" s="70">
        <v>7.8017999654493995</v>
      </c>
    </row>
    <row r="19" spans="2:7" ht="21" customHeight="1" x14ac:dyDescent="0.55000000000000004">
      <c r="B19" s="68">
        <v>2</v>
      </c>
      <c r="C19" s="73" t="s">
        <v>958</v>
      </c>
      <c r="D19" s="70">
        <v>15.333866699444776</v>
      </c>
      <c r="E19" s="70">
        <v>14.041277390220468</v>
      </c>
      <c r="F19" s="70">
        <v>11.337569732812291</v>
      </c>
      <c r="G19" s="70">
        <v>15.149946327751246</v>
      </c>
    </row>
    <row r="20" spans="2:7" x14ac:dyDescent="0.55000000000000004">
      <c r="B20" s="68">
        <v>3</v>
      </c>
      <c r="C20" s="73" t="s">
        <v>690</v>
      </c>
      <c r="D20" s="70">
        <v>23.930072683148097</v>
      </c>
      <c r="E20" s="70">
        <v>21.685234961973226</v>
      </c>
      <c r="F20" s="70">
        <v>23.909265695174444</v>
      </c>
      <c r="G20" s="70">
        <v>23.736540645983943</v>
      </c>
    </row>
    <row r="21" spans="2:7" x14ac:dyDescent="0.55000000000000004">
      <c r="B21" s="74" t="s">
        <v>959</v>
      </c>
      <c r="C21" s="75"/>
      <c r="D21" s="71"/>
      <c r="E21" s="71"/>
      <c r="F21" s="71"/>
      <c r="G21" s="72"/>
    </row>
    <row r="22" spans="2:7" x14ac:dyDescent="0.55000000000000004">
      <c r="B22" s="68">
        <v>1</v>
      </c>
      <c r="C22" s="73" t="s">
        <v>960</v>
      </c>
      <c r="D22" s="76">
        <v>9.9670252020414001</v>
      </c>
      <c r="E22" s="76">
        <v>10.654465738203751</v>
      </c>
      <c r="F22" s="76">
        <v>11.265705798552961</v>
      </c>
      <c r="G22" s="76">
        <v>10.042441915185192</v>
      </c>
    </row>
    <row r="23" spans="2:7" x14ac:dyDescent="0.55000000000000004">
      <c r="B23" s="68">
        <v>2</v>
      </c>
      <c r="C23" s="73" t="s">
        <v>692</v>
      </c>
      <c r="D23" s="76">
        <v>13.136143453236544</v>
      </c>
      <c r="E23" s="76">
        <v>13.669083177128758</v>
      </c>
      <c r="F23" s="76">
        <v>13.60944332437831</v>
      </c>
      <c r="G23" s="76">
        <v>13.185518716105461</v>
      </c>
    </row>
    <row r="24" spans="2:7" x14ac:dyDescent="0.55000000000000004">
      <c r="B24" s="65" t="s">
        <v>108</v>
      </c>
      <c r="C24" s="66"/>
      <c r="D24" s="71"/>
      <c r="E24" s="71"/>
      <c r="F24" s="71"/>
      <c r="G24" s="72"/>
    </row>
    <row r="25" spans="2:7" x14ac:dyDescent="0.55000000000000004">
      <c r="B25" s="77">
        <v>1</v>
      </c>
      <c r="C25" s="78" t="s">
        <v>961</v>
      </c>
      <c r="D25" s="79">
        <v>20</v>
      </c>
      <c r="E25" s="79">
        <v>17</v>
      </c>
      <c r="F25" s="79">
        <v>17</v>
      </c>
      <c r="G25" s="79">
        <v>54</v>
      </c>
    </row>
    <row r="26" spans="2:7" x14ac:dyDescent="0.55000000000000004">
      <c r="B26" s="77">
        <v>2</v>
      </c>
      <c r="C26" s="78" t="s">
        <v>962</v>
      </c>
      <c r="D26" s="79">
        <v>5101</v>
      </c>
      <c r="E26" s="79">
        <v>1134</v>
      </c>
      <c r="F26" s="79">
        <v>291</v>
      </c>
      <c r="G26" s="79">
        <v>6526</v>
      </c>
    </row>
    <row r="27" spans="2:7" x14ac:dyDescent="0.55000000000000004">
      <c r="B27" s="77">
        <v>3</v>
      </c>
      <c r="C27" s="78" t="s">
        <v>963</v>
      </c>
      <c r="D27" s="79">
        <v>51615759</v>
      </c>
      <c r="E27" s="79">
        <v>7543037</v>
      </c>
      <c r="F27" s="79">
        <v>999637</v>
      </c>
      <c r="G27" s="79">
        <v>60158433</v>
      </c>
    </row>
    <row r="28" spans="2:7" x14ac:dyDescent="0.55000000000000004">
      <c r="B28" s="77">
        <v>4</v>
      </c>
      <c r="C28" s="78" t="s">
        <v>964</v>
      </c>
      <c r="D28" s="79">
        <v>1643791</v>
      </c>
      <c r="E28" s="79">
        <v>266884</v>
      </c>
      <c r="F28" s="79">
        <v>58572</v>
      </c>
      <c r="G28" s="79">
        <v>1969247</v>
      </c>
    </row>
    <row r="29" spans="2:7" x14ac:dyDescent="0.55000000000000004">
      <c r="B29" s="77">
        <v>5</v>
      </c>
      <c r="C29" s="78" t="s">
        <v>965</v>
      </c>
      <c r="D29" s="79">
        <v>810</v>
      </c>
      <c r="E29" s="79">
        <v>6</v>
      </c>
      <c r="F29" s="79">
        <v>0</v>
      </c>
      <c r="G29" s="79">
        <v>816</v>
      </c>
    </row>
    <row r="30" spans="2:7" x14ac:dyDescent="0.55000000000000004">
      <c r="B30" s="77">
        <v>6</v>
      </c>
      <c r="C30" s="78" t="s">
        <v>966</v>
      </c>
      <c r="D30" s="79">
        <v>275153</v>
      </c>
      <c r="E30" s="79">
        <v>1029</v>
      </c>
      <c r="F30" s="79">
        <v>0</v>
      </c>
      <c r="G30" s="79">
        <v>276182</v>
      </c>
    </row>
    <row r="31" spans="2:7" x14ac:dyDescent="0.55000000000000004">
      <c r="B31" s="77">
        <v>7</v>
      </c>
      <c r="C31" s="78" t="s">
        <v>967</v>
      </c>
      <c r="D31" s="79">
        <v>24014023</v>
      </c>
      <c r="E31" s="79">
        <v>3677476</v>
      </c>
      <c r="F31" s="79">
        <v>297209</v>
      </c>
      <c r="G31" s="79">
        <v>27988708</v>
      </c>
    </row>
    <row r="32" spans="2:7" x14ac:dyDescent="0.55000000000000004">
      <c r="B32" s="77">
        <v>8</v>
      </c>
      <c r="C32" s="78" t="s">
        <v>968</v>
      </c>
      <c r="D32" s="79">
        <v>1629809</v>
      </c>
      <c r="E32" s="79">
        <v>602175</v>
      </c>
      <c r="F32" s="79">
        <v>18788</v>
      </c>
      <c r="G32" s="79">
        <v>2250772</v>
      </c>
    </row>
    <row r="33" spans="2:7" x14ac:dyDescent="0.55000000000000004">
      <c r="B33" s="77">
        <v>9</v>
      </c>
      <c r="C33" s="78" t="s">
        <v>969</v>
      </c>
      <c r="D33" s="79">
        <v>4880</v>
      </c>
      <c r="E33" s="79">
        <v>344</v>
      </c>
      <c r="F33" s="79">
        <v>40</v>
      </c>
      <c r="G33" s="79">
        <v>5264</v>
      </c>
    </row>
    <row r="34" spans="2:7" x14ac:dyDescent="0.55000000000000004">
      <c r="B34" s="77">
        <v>10</v>
      </c>
      <c r="C34" s="78" t="s">
        <v>970</v>
      </c>
      <c r="D34" s="79">
        <v>12357717</v>
      </c>
      <c r="E34" s="79">
        <v>1228018</v>
      </c>
      <c r="F34" s="79">
        <v>76086</v>
      </c>
      <c r="G34" s="79">
        <v>13661821</v>
      </c>
    </row>
    <row r="35" spans="2:7" x14ac:dyDescent="0.55000000000000004">
      <c r="B35" s="77">
        <v>11</v>
      </c>
      <c r="C35" s="78" t="s">
        <v>971</v>
      </c>
      <c r="D35" s="79">
        <v>315280</v>
      </c>
      <c r="E35" s="79">
        <v>3357</v>
      </c>
      <c r="F35" s="79">
        <v>0</v>
      </c>
      <c r="G35" s="79">
        <v>318637</v>
      </c>
    </row>
    <row r="36" spans="2:7" x14ac:dyDescent="0.55000000000000004">
      <c r="B36" s="77">
        <v>12</v>
      </c>
      <c r="C36" s="78" t="s">
        <v>972</v>
      </c>
      <c r="D36" s="79">
        <v>251391</v>
      </c>
      <c r="E36" s="79">
        <v>4159</v>
      </c>
      <c r="F36" s="79">
        <v>0</v>
      </c>
      <c r="G36" s="79">
        <v>255550</v>
      </c>
    </row>
    <row r="37" spans="2:7" x14ac:dyDescent="0.55000000000000004">
      <c r="B37" s="66" t="s">
        <v>109</v>
      </c>
      <c r="C37" s="66"/>
      <c r="D37" s="80"/>
      <c r="E37" s="80"/>
      <c r="F37" s="80"/>
      <c r="G37" s="80"/>
    </row>
    <row r="38" spans="2:7" x14ac:dyDescent="0.55000000000000004">
      <c r="B38" s="81">
        <v>1</v>
      </c>
      <c r="C38" s="82" t="s">
        <v>973</v>
      </c>
      <c r="D38" s="83">
        <v>4.015412981449491</v>
      </c>
      <c r="E38" s="84"/>
      <c r="F38" s="84"/>
      <c r="G38" s="84"/>
    </row>
    <row r="39" spans="2:7" x14ac:dyDescent="0.55000000000000004">
      <c r="B39" s="77"/>
      <c r="C39" s="85" t="s">
        <v>110</v>
      </c>
      <c r="D39" s="86">
        <v>3.0744840457700722</v>
      </c>
      <c r="E39" s="87"/>
      <c r="F39" s="87"/>
      <c r="G39" s="87"/>
    </row>
    <row r="40" spans="2:7" x14ac:dyDescent="0.55000000000000004">
      <c r="B40" s="88"/>
      <c r="C40" s="85" t="s">
        <v>111</v>
      </c>
      <c r="D40" s="86">
        <v>5.3258492337729972</v>
      </c>
      <c r="E40" s="87"/>
      <c r="F40" s="87"/>
      <c r="G40" s="87"/>
    </row>
    <row r="41" spans="2:7" x14ac:dyDescent="0.55000000000000004">
      <c r="B41" s="89"/>
      <c r="C41" s="85" t="s">
        <v>112</v>
      </c>
      <c r="D41" s="86">
        <v>1.0380995257415229</v>
      </c>
      <c r="E41" s="87"/>
      <c r="F41" s="87"/>
      <c r="G41" s="87"/>
    </row>
    <row r="42" spans="2:7" x14ac:dyDescent="0.55000000000000004">
      <c r="B42" s="81">
        <v>2</v>
      </c>
      <c r="C42" s="82" t="s">
        <v>974</v>
      </c>
      <c r="D42" s="83">
        <v>7.7559166396523276</v>
      </c>
      <c r="E42" s="84"/>
      <c r="F42" s="84"/>
      <c r="G42" s="84"/>
    </row>
    <row r="43" spans="2:7" x14ac:dyDescent="0.55000000000000004">
      <c r="B43" s="90"/>
      <c r="C43" s="91"/>
      <c r="D43" s="92"/>
      <c r="E43" s="84"/>
      <c r="F43" s="84"/>
      <c r="G43" s="84"/>
    </row>
    <row r="44" spans="2:7" x14ac:dyDescent="0.55000000000000004">
      <c r="B44" s="93" t="s">
        <v>113</v>
      </c>
      <c r="C44" s="94"/>
      <c r="D44" s="94"/>
      <c r="E44" s="94"/>
      <c r="F44" s="94"/>
      <c r="G44" s="94"/>
    </row>
    <row r="45" spans="2:7" x14ac:dyDescent="0.55000000000000004">
      <c r="B45" s="95" t="s">
        <v>975</v>
      </c>
      <c r="C45" s="94"/>
      <c r="D45" s="94"/>
      <c r="E45" s="94"/>
      <c r="F45" s="94"/>
      <c r="G45" s="94"/>
    </row>
    <row r="46" spans="2:7" ht="33.700000000000003" customHeight="1" x14ac:dyDescent="0.55000000000000004">
      <c r="B46" s="96" t="s">
        <v>976</v>
      </c>
      <c r="C46" s="96"/>
      <c r="D46" s="96"/>
      <c r="E46" s="96"/>
      <c r="F46" s="96"/>
      <c r="G46" s="96"/>
    </row>
    <row r="47" spans="2:7" x14ac:dyDescent="0.55000000000000004">
      <c r="B47" s="97" t="s">
        <v>977</v>
      </c>
      <c r="C47" s="94"/>
      <c r="D47" s="94"/>
      <c r="E47" s="94"/>
      <c r="F47" s="94"/>
      <c r="G47" s="94"/>
    </row>
    <row r="48" spans="2:7" x14ac:dyDescent="0.55000000000000004">
      <c r="B48" s="97" t="s">
        <v>978</v>
      </c>
      <c r="C48" s="94"/>
      <c r="D48" s="94"/>
      <c r="E48" s="94"/>
      <c r="F48" s="94"/>
      <c r="G48" s="94"/>
    </row>
    <row r="49" spans="2:7" x14ac:dyDescent="0.55000000000000004">
      <c r="B49" s="97" t="s">
        <v>979</v>
      </c>
      <c r="C49" s="94"/>
      <c r="D49" s="94"/>
      <c r="E49" s="94"/>
      <c r="F49" s="94"/>
      <c r="G49" s="94"/>
    </row>
    <row r="50" spans="2:7" ht="13" customHeight="1" x14ac:dyDescent="0.55000000000000004">
      <c r="B50" s="97"/>
      <c r="C50" s="55"/>
      <c r="D50" s="55"/>
      <c r="E50" s="55"/>
      <c r="F50" s="55"/>
      <c r="G50" s="55"/>
    </row>
    <row r="51" spans="2:7" x14ac:dyDescent="0.55000000000000004">
      <c r="B51" s="97"/>
      <c r="C51" s="55"/>
      <c r="D51" s="55"/>
      <c r="E51" s="55"/>
      <c r="F51" s="55"/>
      <c r="G51" s="55"/>
    </row>
    <row r="52" spans="2:7" x14ac:dyDescent="0.55000000000000004">
      <c r="B52" s="97"/>
    </row>
  </sheetData>
  <mergeCells count="9">
    <mergeCell ref="B24:C24"/>
    <mergeCell ref="B37:C37"/>
    <mergeCell ref="B46:G46"/>
    <mergeCell ref="B2:G2"/>
    <mergeCell ref="B3:G3"/>
    <mergeCell ref="B4:C4"/>
    <mergeCell ref="B5:G5"/>
    <mergeCell ref="B17:C17"/>
    <mergeCell ref="B21:C21"/>
  </mergeCells>
  <pageMargins left="0.7" right="0.7" top="0.75" bottom="0.75" header="0.3" footer="0.3"/>
  <pageSetup paperSize="9" scale="7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E73B-54B4-4002-90E4-F670EDE59BE8}">
  <sheetPr codeName="Sheet63"/>
  <dimension ref="B2:AI62"/>
  <sheetViews>
    <sheetView workbookViewId="0">
      <pane xSplit="3" ySplit="6" topLeftCell="D7"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3.29296875" style="34" bestFit="1" customWidth="1"/>
    <col min="3" max="3" width="33" style="34" bestFit="1" customWidth="1"/>
    <col min="4" max="8" width="14.5859375" style="34" bestFit="1" customWidth="1"/>
    <col min="9" max="9" width="10.41015625" style="34" bestFit="1" customWidth="1"/>
    <col min="10" max="11" width="9.41015625" style="34" bestFit="1" customWidth="1"/>
    <col min="12" max="16" width="14.5859375" style="34" bestFit="1" customWidth="1"/>
    <col min="17" max="17" width="10.41015625" style="34" bestFit="1" customWidth="1"/>
    <col min="18" max="18" width="9.41015625" style="34" bestFit="1" customWidth="1"/>
    <col min="19" max="19" width="9.46875" style="34" bestFit="1" customWidth="1"/>
    <col min="20" max="24" width="12.703125" style="34" bestFit="1" customWidth="1"/>
    <col min="25" max="25" width="10.41015625" style="34" bestFit="1" customWidth="1"/>
    <col min="26" max="26" width="9.41015625" style="34" bestFit="1" customWidth="1"/>
    <col min="27" max="27" width="10.41015625" style="34" bestFit="1" customWidth="1"/>
    <col min="28" max="32" width="12.703125" style="34" bestFit="1" customWidth="1"/>
    <col min="33" max="33" width="11.5859375" style="34" bestFit="1" customWidth="1"/>
    <col min="34" max="34" width="9.41015625" style="34" bestFit="1" customWidth="1"/>
    <col min="35" max="35" width="10.41015625" style="34" bestFit="1" customWidth="1"/>
    <col min="36" max="16384" width="9.1171875" style="34"/>
  </cols>
  <sheetData>
    <row r="2" spans="2:35" x14ac:dyDescent="0.55000000000000004">
      <c r="B2" s="98"/>
      <c r="C2" s="99"/>
      <c r="D2" s="100" t="s">
        <v>114</v>
      </c>
      <c r="E2" s="101"/>
      <c r="F2" s="101"/>
      <c r="G2" s="101"/>
      <c r="H2" s="101"/>
      <c r="I2" s="101"/>
      <c r="J2" s="101"/>
      <c r="K2" s="102"/>
      <c r="L2" s="103" t="s">
        <v>115</v>
      </c>
      <c r="M2" s="103"/>
      <c r="N2" s="103"/>
      <c r="O2" s="103"/>
      <c r="P2" s="103"/>
      <c r="Q2" s="103"/>
      <c r="R2" s="104"/>
      <c r="S2" s="104"/>
      <c r="T2" s="100" t="s">
        <v>116</v>
      </c>
      <c r="U2" s="101"/>
      <c r="V2" s="101"/>
      <c r="W2" s="101"/>
      <c r="X2" s="101"/>
      <c r="Y2" s="101"/>
      <c r="Z2" s="101"/>
      <c r="AA2" s="102"/>
      <c r="AB2" s="100" t="s">
        <v>117</v>
      </c>
      <c r="AC2" s="101"/>
      <c r="AD2" s="101"/>
      <c r="AE2" s="101"/>
      <c r="AF2" s="101"/>
      <c r="AG2" s="101"/>
      <c r="AH2" s="101"/>
      <c r="AI2" s="102"/>
    </row>
    <row r="3" spans="2:35" x14ac:dyDescent="0.55000000000000004">
      <c r="B3" s="98"/>
      <c r="C3" s="99"/>
      <c r="D3" s="105"/>
      <c r="E3" s="106"/>
      <c r="F3" s="106"/>
      <c r="G3" s="106"/>
      <c r="H3" s="106"/>
      <c r="I3" s="106"/>
      <c r="J3" s="107" t="s">
        <v>118</v>
      </c>
      <c r="K3" s="108"/>
      <c r="L3" s="105"/>
      <c r="M3" s="106"/>
      <c r="N3" s="106"/>
      <c r="O3" s="106"/>
      <c r="P3" s="106"/>
      <c r="Q3" s="109"/>
      <c r="R3" s="110" t="s">
        <v>118</v>
      </c>
      <c r="S3" s="108"/>
      <c r="T3" s="105"/>
      <c r="U3" s="106"/>
      <c r="V3" s="106"/>
      <c r="W3" s="106"/>
      <c r="X3" s="106"/>
      <c r="Y3" s="106"/>
      <c r="Z3" s="107" t="s">
        <v>118</v>
      </c>
      <c r="AA3" s="108"/>
      <c r="AB3" s="105"/>
      <c r="AC3" s="106"/>
      <c r="AD3" s="106"/>
      <c r="AE3" s="106"/>
      <c r="AF3" s="106"/>
      <c r="AG3" s="106"/>
      <c r="AH3" s="107" t="s">
        <v>118</v>
      </c>
      <c r="AI3" s="108"/>
    </row>
    <row r="4" spans="2:35" x14ac:dyDescent="0.55000000000000004">
      <c r="B4" s="111" t="s">
        <v>119</v>
      </c>
      <c r="C4" s="112"/>
      <c r="D4" s="104" t="s">
        <v>179</v>
      </c>
      <c r="E4" s="104"/>
      <c r="F4" s="104"/>
      <c r="G4" s="113" t="s">
        <v>69</v>
      </c>
      <c r="H4" s="113" t="s">
        <v>71</v>
      </c>
      <c r="I4" s="114" t="s">
        <v>120</v>
      </c>
      <c r="J4" s="114"/>
      <c r="K4" s="114"/>
      <c r="L4" s="104" t="str">
        <f>$D4</f>
        <v xml:space="preserve">Mid-July </v>
      </c>
      <c r="M4" s="104"/>
      <c r="N4" s="104"/>
      <c r="O4" s="113" t="str">
        <f>$G4</f>
        <v>Mid-July</v>
      </c>
      <c r="P4" s="115" t="str">
        <f>$H4</f>
        <v>Mid-Aug</v>
      </c>
      <c r="Q4" s="114" t="s">
        <v>120</v>
      </c>
      <c r="R4" s="114"/>
      <c r="S4" s="114"/>
      <c r="T4" s="104" t="str">
        <f>$D4</f>
        <v xml:space="preserve">Mid-July </v>
      </c>
      <c r="U4" s="104"/>
      <c r="V4" s="104"/>
      <c r="W4" s="113" t="str">
        <f>$G4</f>
        <v>Mid-July</v>
      </c>
      <c r="X4" s="115" t="str">
        <f>$H4</f>
        <v>Mid-Aug</v>
      </c>
      <c r="Y4" s="114" t="s">
        <v>120</v>
      </c>
      <c r="Z4" s="114"/>
      <c r="AA4" s="114"/>
      <c r="AB4" s="104" t="str">
        <f>$D4</f>
        <v xml:space="preserve">Mid-July </v>
      </c>
      <c r="AC4" s="104"/>
      <c r="AD4" s="104"/>
      <c r="AE4" s="113" t="str">
        <f>$G4</f>
        <v>Mid-July</v>
      </c>
      <c r="AF4" s="115" t="str">
        <f>$H4</f>
        <v>Mid-Aug</v>
      </c>
      <c r="AG4" s="114" t="s">
        <v>120</v>
      </c>
      <c r="AH4" s="114"/>
      <c r="AI4" s="114"/>
    </row>
    <row r="5" spans="2:35" x14ac:dyDescent="0.55000000000000004">
      <c r="B5" s="116"/>
      <c r="C5" s="117"/>
      <c r="D5" s="113">
        <v>2022</v>
      </c>
      <c r="E5" s="113">
        <v>2023</v>
      </c>
      <c r="F5" s="113">
        <v>2024</v>
      </c>
      <c r="G5" s="113">
        <v>2025</v>
      </c>
      <c r="H5" s="113">
        <v>2025</v>
      </c>
      <c r="I5" s="114"/>
      <c r="J5" s="114"/>
      <c r="K5" s="114"/>
      <c r="L5" s="113">
        <f>$D5</f>
        <v>2022</v>
      </c>
      <c r="M5" s="113">
        <f>$E5</f>
        <v>2023</v>
      </c>
      <c r="N5" s="113">
        <f>$F5</f>
        <v>2024</v>
      </c>
      <c r="O5" s="113">
        <f>$G5</f>
        <v>2025</v>
      </c>
      <c r="P5" s="113">
        <f>$H5</f>
        <v>2025</v>
      </c>
      <c r="Q5" s="114"/>
      <c r="R5" s="114"/>
      <c r="S5" s="114"/>
      <c r="T5" s="113">
        <f>L5</f>
        <v>2022</v>
      </c>
      <c r="U5" s="113">
        <f>M5</f>
        <v>2023</v>
      </c>
      <c r="V5" s="113">
        <f>N5</f>
        <v>2024</v>
      </c>
      <c r="W5" s="113">
        <f>O5</f>
        <v>2025</v>
      </c>
      <c r="X5" s="113">
        <f>P5</f>
        <v>2025</v>
      </c>
      <c r="Y5" s="114"/>
      <c r="Z5" s="114"/>
      <c r="AA5" s="114"/>
      <c r="AB5" s="113">
        <f>T5</f>
        <v>2022</v>
      </c>
      <c r="AC5" s="113">
        <f>U5</f>
        <v>2023</v>
      </c>
      <c r="AD5" s="113">
        <f>V5</f>
        <v>2024</v>
      </c>
      <c r="AE5" s="113">
        <f>W5</f>
        <v>2025</v>
      </c>
      <c r="AF5" s="113">
        <f>X5</f>
        <v>2025</v>
      </c>
      <c r="AG5" s="114"/>
      <c r="AH5" s="114"/>
      <c r="AI5" s="114"/>
    </row>
    <row r="6" spans="2:35" x14ac:dyDescent="0.55000000000000004">
      <c r="B6" s="38"/>
      <c r="D6" s="113">
        <v>1</v>
      </c>
      <c r="E6" s="113">
        <v>2</v>
      </c>
      <c r="F6" s="113">
        <v>3</v>
      </c>
      <c r="G6" s="113">
        <v>4</v>
      </c>
      <c r="H6" s="113">
        <v>5</v>
      </c>
      <c r="I6" s="118" t="s">
        <v>980</v>
      </c>
      <c r="J6" s="118" t="s">
        <v>981</v>
      </c>
      <c r="K6" s="118" t="s">
        <v>982</v>
      </c>
      <c r="L6" s="119">
        <v>1</v>
      </c>
      <c r="M6" s="119">
        <v>2</v>
      </c>
      <c r="N6" s="119">
        <v>3</v>
      </c>
      <c r="O6" s="119">
        <v>4</v>
      </c>
      <c r="P6" s="119">
        <v>5</v>
      </c>
      <c r="Q6" s="118" t="s">
        <v>980</v>
      </c>
      <c r="R6" s="118" t="s">
        <v>981</v>
      </c>
      <c r="S6" s="118" t="s">
        <v>982</v>
      </c>
      <c r="T6" s="119">
        <v>1</v>
      </c>
      <c r="U6" s="119">
        <v>2</v>
      </c>
      <c r="V6" s="119">
        <v>3</v>
      </c>
      <c r="W6" s="119">
        <v>4</v>
      </c>
      <c r="X6" s="119">
        <v>5</v>
      </c>
      <c r="Y6" s="118" t="s">
        <v>980</v>
      </c>
      <c r="Z6" s="118" t="s">
        <v>981</v>
      </c>
      <c r="AA6" s="118" t="s">
        <v>982</v>
      </c>
      <c r="AB6" s="119">
        <v>1</v>
      </c>
      <c r="AC6" s="119">
        <v>2</v>
      </c>
      <c r="AD6" s="119">
        <v>3</v>
      </c>
      <c r="AE6" s="119">
        <v>4</v>
      </c>
      <c r="AF6" s="119">
        <v>5</v>
      </c>
      <c r="AG6" s="118" t="s">
        <v>980</v>
      </c>
      <c r="AH6" s="118" t="s">
        <v>981</v>
      </c>
      <c r="AI6" s="118" t="s">
        <v>982</v>
      </c>
    </row>
    <row r="7" spans="2:35" x14ac:dyDescent="0.55000000000000004">
      <c r="B7" s="120">
        <v>1</v>
      </c>
      <c r="C7" s="121" t="s">
        <v>299</v>
      </c>
      <c r="D7" s="122">
        <v>618798.36853197217</v>
      </c>
      <c r="E7" s="122">
        <v>683127.47496912419</v>
      </c>
      <c r="F7" s="122">
        <v>728712.52330307267</v>
      </c>
      <c r="G7" s="122">
        <v>775394.54048557591</v>
      </c>
      <c r="H7" s="122">
        <v>840143.58890312072</v>
      </c>
      <c r="I7" s="122">
        <v>10.395809542937222</v>
      </c>
      <c r="J7" s="122">
        <v>6.6729932555632772</v>
      </c>
      <c r="K7" s="122">
        <v>8.3504650419643038</v>
      </c>
      <c r="L7" s="122">
        <v>553625.694856663</v>
      </c>
      <c r="M7" s="122">
        <v>611311.94073775818</v>
      </c>
      <c r="N7" s="122">
        <v>652888.32804530486</v>
      </c>
      <c r="O7" s="122">
        <v>697777.94183503557</v>
      </c>
      <c r="P7" s="122">
        <v>754999.435655109</v>
      </c>
      <c r="Q7" s="122">
        <v>10.41972058774946</v>
      </c>
      <c r="R7" s="122">
        <v>6.8011742090298482</v>
      </c>
      <c r="S7" s="122">
        <v>8.2005315329974469</v>
      </c>
      <c r="T7" s="122">
        <v>47311.863569260677</v>
      </c>
      <c r="U7" s="122">
        <v>52784.401768457188</v>
      </c>
      <c r="V7" s="122">
        <v>57741.544956377569</v>
      </c>
      <c r="W7" s="122">
        <v>60146.158394788792</v>
      </c>
      <c r="X7" s="122">
        <v>66650.853358012057</v>
      </c>
      <c r="Y7" s="122">
        <v>11.566951711473616</v>
      </c>
      <c r="Z7" s="122">
        <v>9.3912974287857764</v>
      </c>
      <c r="AA7" s="122">
        <v>10.814805134691893</v>
      </c>
      <c r="AB7" s="122">
        <v>17860.810106048422</v>
      </c>
      <c r="AC7" s="122">
        <v>19031.132462908849</v>
      </c>
      <c r="AD7" s="122">
        <v>18082.650301390182</v>
      </c>
      <c r="AE7" s="122">
        <v>17470.440255751586</v>
      </c>
      <c r="AF7" s="122">
        <v>18493.299889999627</v>
      </c>
      <c r="AG7" s="122">
        <v>6.552446389609428</v>
      </c>
      <c r="AH7" s="122">
        <v>-4.98383438082762</v>
      </c>
      <c r="AI7" s="122">
        <v>5.8548038858780931</v>
      </c>
    </row>
    <row r="8" spans="2:35" x14ac:dyDescent="0.55000000000000004">
      <c r="B8" s="123" t="s">
        <v>121</v>
      </c>
      <c r="C8" s="124" t="s">
        <v>122</v>
      </c>
      <c r="D8" s="122">
        <v>407789.21434583998</v>
      </c>
      <c r="E8" s="122">
        <v>425051.95972585992</v>
      </c>
      <c r="F8" s="122">
        <v>436407.88841264002</v>
      </c>
      <c r="G8" s="122">
        <v>443682.12726691994</v>
      </c>
      <c r="H8" s="122">
        <v>444576.19720825995</v>
      </c>
      <c r="I8" s="122">
        <v>4.2332532535620544</v>
      </c>
      <c r="J8" s="122">
        <v>2.6716568957828102</v>
      </c>
      <c r="K8" s="122">
        <v>0.20151138383689399</v>
      </c>
      <c r="L8" s="122">
        <v>356095.44779492996</v>
      </c>
      <c r="M8" s="122">
        <v>369857.33091807994</v>
      </c>
      <c r="N8" s="122">
        <v>379020.46185955999</v>
      </c>
      <c r="O8" s="122">
        <v>385327.20473597996</v>
      </c>
      <c r="P8" s="122">
        <v>386252.25163631997</v>
      </c>
      <c r="Q8" s="122">
        <v>3.8646604442713337</v>
      </c>
      <c r="R8" s="122">
        <v>2.4774769233314924</v>
      </c>
      <c r="S8" s="122">
        <v>0.24006870005543038</v>
      </c>
      <c r="T8" s="122">
        <v>36993.57073082</v>
      </c>
      <c r="U8" s="122">
        <v>40206.941109970001</v>
      </c>
      <c r="V8" s="122">
        <v>42170.73446526999</v>
      </c>
      <c r="W8" s="122">
        <v>43054.766646849996</v>
      </c>
      <c r="X8" s="122">
        <v>43023.790146849999</v>
      </c>
      <c r="Y8" s="122">
        <v>8.6862933207041184</v>
      </c>
      <c r="Z8" s="122">
        <v>4.8842065573754203</v>
      </c>
      <c r="AA8" s="122">
        <v>-7.1954861215135807E-2</v>
      </c>
      <c r="AB8" s="122">
        <v>14700.195820090001</v>
      </c>
      <c r="AC8" s="122">
        <v>14987.687697810001</v>
      </c>
      <c r="AD8" s="122">
        <v>15216.692087809999</v>
      </c>
      <c r="AE8" s="122">
        <v>15300.155884090002</v>
      </c>
      <c r="AF8" s="122">
        <v>15300.155425090001</v>
      </c>
      <c r="AG8" s="122">
        <v>1.9556876777186689</v>
      </c>
      <c r="AH8" s="122">
        <v>1.5279205801561146</v>
      </c>
      <c r="AI8" s="122">
        <v>0</v>
      </c>
    </row>
    <row r="9" spans="2:35" x14ac:dyDescent="0.55000000000000004">
      <c r="B9" s="123" t="s">
        <v>121</v>
      </c>
      <c r="C9" s="124" t="s">
        <v>123</v>
      </c>
      <c r="D9" s="122">
        <v>120965.43882151647</v>
      </c>
      <c r="E9" s="122">
        <v>138150.65619207415</v>
      </c>
      <c r="F9" s="122">
        <v>150114.35272616005</v>
      </c>
      <c r="G9" s="122">
        <v>162781.51294758523</v>
      </c>
      <c r="H9" s="122">
        <v>172229.91556898633</v>
      </c>
      <c r="I9" s="122">
        <v>14.20671887772243</v>
      </c>
      <c r="J9" s="122">
        <v>8.6598862430335135</v>
      </c>
      <c r="K9" s="122">
        <v>5.804350874985742</v>
      </c>
      <c r="L9" s="122">
        <v>110434.2745527236</v>
      </c>
      <c r="M9" s="122">
        <v>126034.82727177783</v>
      </c>
      <c r="N9" s="122">
        <v>137000.33653733382</v>
      </c>
      <c r="O9" s="122">
        <v>148046.21994406727</v>
      </c>
      <c r="P9" s="122">
        <v>156836.84980732095</v>
      </c>
      <c r="Q9" s="122">
        <v>14.126556910277939</v>
      </c>
      <c r="R9" s="122">
        <v>8.7003806804833204</v>
      </c>
      <c r="S9" s="122">
        <v>5.9377605183030031</v>
      </c>
      <c r="T9" s="122">
        <v>7072.1375928581838</v>
      </c>
      <c r="U9" s="122">
        <v>8340.849975140376</v>
      </c>
      <c r="V9" s="122">
        <v>9318.186540383198</v>
      </c>
      <c r="W9" s="122">
        <v>10723.804106214448</v>
      </c>
      <c r="X9" s="122">
        <v>11232.615185004433</v>
      </c>
      <c r="Y9" s="122">
        <v>17.939548708028969</v>
      </c>
      <c r="Z9" s="122">
        <v>11.717510805253662</v>
      </c>
      <c r="AA9" s="122">
        <v>4.7447733079692043</v>
      </c>
      <c r="AB9" s="122">
        <v>3459.0266759346846</v>
      </c>
      <c r="AC9" s="122">
        <v>3774.9789451559568</v>
      </c>
      <c r="AD9" s="122">
        <v>3795.8296484430234</v>
      </c>
      <c r="AE9" s="122">
        <v>4011.4888973034867</v>
      </c>
      <c r="AF9" s="122">
        <v>4160.4505766609363</v>
      </c>
      <c r="AG9" s="122">
        <v>9.1340635958635747</v>
      </c>
      <c r="AH9" s="122">
        <v>0.55232080699765052</v>
      </c>
      <c r="AI9" s="122">
        <v>3.7133334496658361</v>
      </c>
    </row>
    <row r="10" spans="2:35" x14ac:dyDescent="0.55000000000000004">
      <c r="B10" s="123"/>
      <c r="C10" s="124" t="s">
        <v>124</v>
      </c>
      <c r="D10" s="122">
        <v>10266.528956128914</v>
      </c>
      <c r="E10" s="122">
        <v>-6632.9227895448012</v>
      </c>
      <c r="F10" s="122">
        <v>-21576.654380233806</v>
      </c>
      <c r="G10" s="122">
        <v>-31472.590904561388</v>
      </c>
      <c r="H10" s="122">
        <v>18140.668608783602</v>
      </c>
      <c r="I10" s="122">
        <v>-164.60722366758776</v>
      </c>
      <c r="J10" s="122">
        <v>225.2964003787171</v>
      </c>
      <c r="K10" s="122">
        <v>-157.63958415878702</v>
      </c>
      <c r="L10" s="122">
        <v>14956.317126344198</v>
      </c>
      <c r="M10" s="122">
        <v>-1179.5116888980249</v>
      </c>
      <c r="N10" s="122">
        <v>-13947.698406455145</v>
      </c>
      <c r="O10" s="122">
        <v>-19370.654716536621</v>
      </c>
      <c r="P10" s="122">
        <v>24781.623624513235</v>
      </c>
      <c r="Q10" s="122">
        <v>-107.8863650951571</v>
      </c>
      <c r="R10" s="122">
        <v>1082.499512509432</v>
      </c>
      <c r="S10" s="122">
        <v>-227.93385869859813</v>
      </c>
      <c r="T10" s="122">
        <v>-281.77396994374737</v>
      </c>
      <c r="U10" s="122">
        <v>-354.95865567246335</v>
      </c>
      <c r="V10" s="122">
        <v>-878.26359626748035</v>
      </c>
      <c r="W10" s="122">
        <v>-3457.3881848361971</v>
      </c>
      <c r="X10" s="122">
        <v>1585.6204508016624</v>
      </c>
      <c r="Y10" s="122">
        <v>25.975086063101113</v>
      </c>
      <c r="Z10" s="122">
        <v>147.42506197881451</v>
      </c>
      <c r="AA10" s="122">
        <v>-145.8617627748099</v>
      </c>
      <c r="AB10" s="122">
        <v>-4408.0142002715374</v>
      </c>
      <c r="AC10" s="122">
        <v>-5098.452444974313</v>
      </c>
      <c r="AD10" s="122">
        <v>-6750.6923775111773</v>
      </c>
      <c r="AE10" s="122">
        <v>-8644.5480031885709</v>
      </c>
      <c r="AF10" s="122">
        <v>-8226.5754665312961</v>
      </c>
      <c r="AG10" s="122">
        <v>15.663303849129187</v>
      </c>
      <c r="AH10" s="122">
        <v>32.406711843795662</v>
      </c>
      <c r="AI10" s="122">
        <v>-4.8350694946526929</v>
      </c>
    </row>
    <row r="11" spans="2:35" x14ac:dyDescent="0.55000000000000004">
      <c r="B11" s="123"/>
      <c r="C11" s="124" t="s">
        <v>125</v>
      </c>
      <c r="D11" s="122">
        <v>79777.187789689197</v>
      </c>
      <c r="E11" s="122">
        <v>126557.78141626529</v>
      </c>
      <c r="F11" s="122">
        <v>163766.93295274963</v>
      </c>
      <c r="G11" s="122">
        <v>200403.49519482633</v>
      </c>
      <c r="H11" s="122">
        <v>205196.80440318308</v>
      </c>
      <c r="I11" s="122">
        <v>58.639054596934287</v>
      </c>
      <c r="J11" s="122">
        <v>29.400918695002389</v>
      </c>
      <c r="K11" s="122">
        <v>2.3918244940831812</v>
      </c>
      <c r="L11" s="122">
        <v>72139.656778249962</v>
      </c>
      <c r="M11" s="122">
        <v>116599.29378286924</v>
      </c>
      <c r="N11" s="122">
        <v>150815.22444942643</v>
      </c>
      <c r="O11" s="122">
        <v>183775.17588959643</v>
      </c>
      <c r="P11" s="122">
        <v>187128.70748932168</v>
      </c>
      <c r="Q11" s="122">
        <v>61.629941144718437</v>
      </c>
      <c r="R11" s="122">
        <v>29.344887091508028</v>
      </c>
      <c r="S11" s="122">
        <v>1.8248002804295982</v>
      </c>
      <c r="T11" s="122">
        <v>3527.9292108843074</v>
      </c>
      <c r="U11" s="122">
        <v>4591.5693584916517</v>
      </c>
      <c r="V11" s="122">
        <v>7130.887542504518</v>
      </c>
      <c r="W11" s="122">
        <v>9824.9758105794481</v>
      </c>
      <c r="X11" s="122">
        <v>10808.827559568854</v>
      </c>
      <c r="Y11" s="122">
        <v>30.149124274007701</v>
      </c>
      <c r="Z11" s="122">
        <v>55.303959212208476</v>
      </c>
      <c r="AA11" s="122">
        <v>10.013760842261259</v>
      </c>
      <c r="AB11" s="122">
        <v>4109.6018005549231</v>
      </c>
      <c r="AC11" s="122">
        <v>5366.9182749044139</v>
      </c>
      <c r="AD11" s="122">
        <v>5820.8209608186799</v>
      </c>
      <c r="AE11" s="122">
        <v>6803.3434946504485</v>
      </c>
      <c r="AF11" s="122">
        <v>7259.269354292549</v>
      </c>
      <c r="AG11" s="122">
        <v>30.59470508078644</v>
      </c>
      <c r="AH11" s="122">
        <v>8.4573647455151111</v>
      </c>
      <c r="AI11" s="122">
        <v>6.701561291953662</v>
      </c>
    </row>
    <row r="12" spans="2:35" x14ac:dyDescent="0.55000000000000004">
      <c r="B12" s="120">
        <v>2</v>
      </c>
      <c r="C12" s="121" t="s">
        <v>126</v>
      </c>
      <c r="D12" s="122">
        <v>500433.52112003363</v>
      </c>
      <c r="E12" s="122">
        <v>255302.41597008263</v>
      </c>
      <c r="F12" s="122">
        <v>240885.60060759034</v>
      </c>
      <c r="G12" s="122">
        <v>235077.00326876622</v>
      </c>
      <c r="H12" s="122">
        <v>249902.6365509906</v>
      </c>
      <c r="I12" s="122">
        <v>-48.983749130154187</v>
      </c>
      <c r="J12" s="122">
        <v>-5.6469578314220472</v>
      </c>
      <c r="K12" s="122">
        <v>6.3067165226713007</v>
      </c>
      <c r="L12" s="122">
        <v>462082.91668704082</v>
      </c>
      <c r="M12" s="122">
        <v>243416.26181876313</v>
      </c>
      <c r="N12" s="122">
        <v>231918.9400490504</v>
      </c>
      <c r="O12" s="122">
        <v>225205.59834069389</v>
      </c>
      <c r="P12" s="122">
        <v>239744.26037960628</v>
      </c>
      <c r="Q12" s="122">
        <v>-47.321952518824972</v>
      </c>
      <c r="R12" s="122">
        <v>-4.7233163470673682</v>
      </c>
      <c r="S12" s="122">
        <v>6.4557275662772167</v>
      </c>
      <c r="T12" s="122">
        <v>26258.994687182847</v>
      </c>
      <c r="U12" s="122">
        <v>9339.8194643377865</v>
      </c>
      <c r="V12" s="122">
        <v>8018.7396767199389</v>
      </c>
      <c r="W12" s="122">
        <v>8623.8229801939942</v>
      </c>
      <c r="X12" s="122">
        <v>8922.8852915460266</v>
      </c>
      <c r="Y12" s="122">
        <v>-64.431914555738814</v>
      </c>
      <c r="Z12" s="122">
        <v>-14.144598075765915</v>
      </c>
      <c r="AA12" s="122">
        <v>3.4679527170093962</v>
      </c>
      <c r="AB12" s="122">
        <v>12091.609745810001</v>
      </c>
      <c r="AC12" s="122">
        <v>2546.3346869817042</v>
      </c>
      <c r="AD12" s="122">
        <v>947.92088181999998</v>
      </c>
      <c r="AE12" s="122">
        <v>1247.5819478783098</v>
      </c>
      <c r="AF12" s="122">
        <v>1235.4908798383099</v>
      </c>
      <c r="AG12" s="122">
        <v>-78.941348587987875</v>
      </c>
      <c r="AH12" s="122">
        <v>-62.773089112565927</v>
      </c>
      <c r="AI12" s="122">
        <v>-0.9690761313903653</v>
      </c>
    </row>
    <row r="13" spans="2:35" x14ac:dyDescent="0.55000000000000004">
      <c r="B13" s="123" t="s">
        <v>121</v>
      </c>
      <c r="C13" s="124" t="s">
        <v>127</v>
      </c>
      <c r="D13" s="122">
        <v>259218.38730374005</v>
      </c>
      <c r="E13" s="122">
        <v>2022.3369107999999</v>
      </c>
      <c r="F13" s="122">
        <v>392.87306956000003</v>
      </c>
      <c r="G13" s="122">
        <v>433.36278722000003</v>
      </c>
      <c r="H13" s="122">
        <v>433.36185809000006</v>
      </c>
      <c r="I13" s="122">
        <v>-99.219831586794442</v>
      </c>
      <c r="J13" s="122">
        <v>-80.573494071224417</v>
      </c>
      <c r="K13" s="122">
        <v>0</v>
      </c>
      <c r="L13" s="122">
        <v>229157.42567394004</v>
      </c>
      <c r="M13" s="122">
        <v>1673.8109107999999</v>
      </c>
      <c r="N13" s="122">
        <v>392.87306956000003</v>
      </c>
      <c r="O13" s="122">
        <v>433.36278722000003</v>
      </c>
      <c r="P13" s="122">
        <v>433.36185809000006</v>
      </c>
      <c r="Q13" s="122">
        <v>-99.269580741937986</v>
      </c>
      <c r="R13" s="122">
        <v>-76.52839928068299</v>
      </c>
      <c r="S13" s="122">
        <v>0</v>
      </c>
      <c r="T13" s="122">
        <v>20104.356941820002</v>
      </c>
      <c r="U13" s="122">
        <v>300</v>
      </c>
      <c r="V13" s="122">
        <v>0</v>
      </c>
      <c r="W13" s="122">
        <v>0</v>
      </c>
      <c r="X13" s="122">
        <v>0</v>
      </c>
      <c r="Y13" s="122">
        <v>-98.507786370717596</v>
      </c>
      <c r="Z13" s="122">
        <v>-100</v>
      </c>
      <c r="AA13" s="122">
        <v>0</v>
      </c>
      <c r="AB13" s="122">
        <v>9956.6046879799997</v>
      </c>
      <c r="AC13" s="122">
        <v>48.526000000000003</v>
      </c>
      <c r="AD13" s="122">
        <v>0</v>
      </c>
      <c r="AE13" s="122">
        <v>0</v>
      </c>
      <c r="AF13" s="122">
        <v>0</v>
      </c>
      <c r="AG13" s="122">
        <v>-99.512584617238815</v>
      </c>
      <c r="AH13" s="122">
        <v>-100</v>
      </c>
      <c r="AI13" s="122">
        <v>0</v>
      </c>
    </row>
    <row r="14" spans="2:35" x14ac:dyDescent="0.55000000000000004">
      <c r="B14" s="123"/>
      <c r="C14" s="124" t="s">
        <v>128</v>
      </c>
      <c r="D14" s="122">
        <v>40169.598858290003</v>
      </c>
      <c r="E14" s="122">
        <v>18992.719769700001</v>
      </c>
      <c r="F14" s="122">
        <v>6969.85</v>
      </c>
      <c r="G14" s="122">
        <v>9133.4352749600002</v>
      </c>
      <c r="H14" s="122">
        <v>11727.090282339999</v>
      </c>
      <c r="I14" s="122">
        <v>-52.718672827212608</v>
      </c>
      <c r="J14" s="122">
        <v>-63.302518017429833</v>
      </c>
      <c r="K14" s="122">
        <v>28.397296089972667</v>
      </c>
      <c r="L14" s="122">
        <v>38481.79885829</v>
      </c>
      <c r="M14" s="122">
        <v>16192.719769700001</v>
      </c>
      <c r="N14" s="122">
        <v>6969.85</v>
      </c>
      <c r="O14" s="122">
        <v>8433.4352749600002</v>
      </c>
      <c r="P14" s="122">
        <v>11727.090282339999</v>
      </c>
      <c r="Q14" s="122">
        <v>-57.921095167065985</v>
      </c>
      <c r="R14" s="122">
        <v>-56.956891739003694</v>
      </c>
      <c r="S14" s="122">
        <v>39.054644368134468</v>
      </c>
      <c r="T14" s="122">
        <v>500</v>
      </c>
      <c r="U14" s="122">
        <v>1250</v>
      </c>
      <c r="V14" s="122">
        <v>0</v>
      </c>
      <c r="W14" s="122">
        <v>700</v>
      </c>
      <c r="X14" s="122">
        <v>0</v>
      </c>
      <c r="Y14" s="122">
        <v>150</v>
      </c>
      <c r="Z14" s="122">
        <v>-100</v>
      </c>
      <c r="AA14" s="122">
        <v>-100</v>
      </c>
      <c r="AB14" s="122">
        <v>1187.8</v>
      </c>
      <c r="AC14" s="122">
        <v>1550</v>
      </c>
      <c r="AD14" s="122">
        <v>0</v>
      </c>
      <c r="AE14" s="122">
        <v>0</v>
      </c>
      <c r="AF14" s="122">
        <v>0</v>
      </c>
      <c r="AG14" s="122">
        <v>30.493349048661397</v>
      </c>
      <c r="AH14" s="122">
        <v>-100</v>
      </c>
      <c r="AI14" s="122">
        <v>0</v>
      </c>
    </row>
    <row r="15" spans="2:35" x14ac:dyDescent="0.55000000000000004">
      <c r="B15" s="123"/>
      <c r="C15" s="124" t="s">
        <v>129</v>
      </c>
      <c r="D15" s="122">
        <v>58032.576221259995</v>
      </c>
      <c r="E15" s="122">
        <v>64404.083128674392</v>
      </c>
      <c r="F15" s="122">
        <v>48274.985377171753</v>
      </c>
      <c r="G15" s="122">
        <v>33255.798558437265</v>
      </c>
      <c r="H15" s="122">
        <v>34753.925550767264</v>
      </c>
      <c r="I15" s="122">
        <v>10.979177558536946</v>
      </c>
      <c r="J15" s="122">
        <v>-25.043584195287014</v>
      </c>
      <c r="K15" s="122">
        <v>4.5048683237209666</v>
      </c>
      <c r="L15" s="122">
        <v>58032.576221259995</v>
      </c>
      <c r="M15" s="122">
        <v>64404.083128674392</v>
      </c>
      <c r="N15" s="122">
        <v>48274.985377171753</v>
      </c>
      <c r="O15" s="122">
        <v>33255.798558437265</v>
      </c>
      <c r="P15" s="122">
        <v>34753.925550767264</v>
      </c>
      <c r="Q15" s="122">
        <v>10.979177558536946</v>
      </c>
      <c r="R15" s="122">
        <v>-25.043584195287014</v>
      </c>
      <c r="S15" s="122">
        <v>4.5048683237209666</v>
      </c>
      <c r="T15" s="122">
        <v>0</v>
      </c>
      <c r="U15" s="122">
        <v>0</v>
      </c>
      <c r="V15" s="122">
        <v>0</v>
      </c>
      <c r="W15" s="122">
        <v>0</v>
      </c>
      <c r="X15" s="122">
        <v>0</v>
      </c>
      <c r="Y15" s="122">
        <v>0</v>
      </c>
      <c r="Z15" s="122">
        <v>0</v>
      </c>
      <c r="AA15" s="122">
        <v>0</v>
      </c>
      <c r="AB15" s="122">
        <v>0</v>
      </c>
      <c r="AC15" s="122">
        <v>0</v>
      </c>
      <c r="AD15" s="122">
        <v>0</v>
      </c>
      <c r="AE15" s="122">
        <v>0</v>
      </c>
      <c r="AF15" s="122">
        <v>0</v>
      </c>
      <c r="AG15" s="122">
        <v>0</v>
      </c>
      <c r="AH15" s="122">
        <v>0</v>
      </c>
      <c r="AI15" s="122">
        <v>0</v>
      </c>
    </row>
    <row r="16" spans="2:35" x14ac:dyDescent="0.55000000000000004">
      <c r="B16" s="123"/>
      <c r="C16" s="124" t="s">
        <v>130</v>
      </c>
      <c r="D16" s="122">
        <v>6027.2094785699992</v>
      </c>
      <c r="E16" s="122">
        <v>6467.2601998</v>
      </c>
      <c r="F16" s="122">
        <v>8036.7372786700007</v>
      </c>
      <c r="G16" s="122">
        <v>7242.6319651400008</v>
      </c>
      <c r="H16" s="122">
        <v>8489.2775122399999</v>
      </c>
      <c r="I16" s="122">
        <v>7.3010563760015019</v>
      </c>
      <c r="J16" s="122">
        <v>24.268082619223588</v>
      </c>
      <c r="K16" s="122">
        <v>17.212669983141492</v>
      </c>
      <c r="L16" s="122">
        <v>5862.1042328799995</v>
      </c>
      <c r="M16" s="122">
        <v>6163.8783448000004</v>
      </c>
      <c r="N16" s="122">
        <v>7557.7474567200006</v>
      </c>
      <c r="O16" s="122">
        <v>6805.7989196400003</v>
      </c>
      <c r="P16" s="122">
        <v>8052.44891964</v>
      </c>
      <c r="Q16" s="122">
        <v>5.1479845106702333</v>
      </c>
      <c r="R16" s="122">
        <v>22.613516161898026</v>
      </c>
      <c r="S16" s="122">
        <v>18.317464515560253</v>
      </c>
      <c r="T16" s="122">
        <v>165.10524569</v>
      </c>
      <c r="U16" s="122">
        <v>303.38185500000003</v>
      </c>
      <c r="V16" s="122">
        <v>478.98982194999996</v>
      </c>
      <c r="W16" s="122">
        <v>436.83304550000003</v>
      </c>
      <c r="X16" s="122">
        <v>436.82859260000004</v>
      </c>
      <c r="Y16" s="122">
        <v>83.744170552964675</v>
      </c>
      <c r="Z16" s="122">
        <v>57.884501285516514</v>
      </c>
      <c r="AA16" s="122">
        <v>0</v>
      </c>
      <c r="AB16" s="122">
        <v>0</v>
      </c>
      <c r="AC16" s="122">
        <v>0</v>
      </c>
      <c r="AD16" s="122">
        <v>0</v>
      </c>
      <c r="AE16" s="122">
        <v>0</v>
      </c>
      <c r="AF16" s="122">
        <v>0</v>
      </c>
      <c r="AG16" s="122">
        <v>0</v>
      </c>
      <c r="AH16" s="122">
        <v>0</v>
      </c>
      <c r="AI16" s="122">
        <v>0</v>
      </c>
    </row>
    <row r="17" spans="2:35" x14ac:dyDescent="0.55000000000000004">
      <c r="B17" s="123"/>
      <c r="C17" s="124" t="s">
        <v>131</v>
      </c>
      <c r="D17" s="122">
        <v>136985.74925817369</v>
      </c>
      <c r="E17" s="122">
        <v>163416.01596110826</v>
      </c>
      <c r="F17" s="122">
        <v>177211.15488218857</v>
      </c>
      <c r="G17" s="122">
        <v>185011.77468300896</v>
      </c>
      <c r="H17" s="122">
        <v>194498.98134755332</v>
      </c>
      <c r="I17" s="122">
        <v>19.294174759053398</v>
      </c>
      <c r="J17" s="122">
        <v>8.4417243792866845</v>
      </c>
      <c r="K17" s="122">
        <v>5.1278953766022681</v>
      </c>
      <c r="L17" s="122">
        <v>130549.01170067085</v>
      </c>
      <c r="M17" s="122">
        <v>154981.76966478876</v>
      </c>
      <c r="N17" s="122">
        <v>168723.48414559863</v>
      </c>
      <c r="O17" s="122">
        <v>176277.20280043664</v>
      </c>
      <c r="P17" s="122">
        <v>184777.433768769</v>
      </c>
      <c r="Q17" s="122">
        <v>18.715392786203431</v>
      </c>
      <c r="R17" s="122">
        <v>8.866662188720662</v>
      </c>
      <c r="S17" s="122">
        <v>4.8220813582244224</v>
      </c>
      <c r="T17" s="122">
        <v>5489.5324996728459</v>
      </c>
      <c r="U17" s="122">
        <v>7486.4376093377859</v>
      </c>
      <c r="V17" s="122">
        <v>7539.7498547699388</v>
      </c>
      <c r="W17" s="122">
        <v>7486.9899346939947</v>
      </c>
      <c r="X17" s="122">
        <v>8486.0566989460276</v>
      </c>
      <c r="Y17" s="122">
        <v>36.37670255923549</v>
      </c>
      <c r="Z17" s="122">
        <v>0.71208745411704899</v>
      </c>
      <c r="AA17" s="122">
        <v>13.344080865608205</v>
      </c>
      <c r="AB17" s="122">
        <v>947.20505782999999</v>
      </c>
      <c r="AC17" s="122">
        <v>947.80868698170434</v>
      </c>
      <c r="AD17" s="122">
        <v>947.92088181999998</v>
      </c>
      <c r="AE17" s="122">
        <v>1247.5819478783098</v>
      </c>
      <c r="AF17" s="122">
        <v>1235.4908798383099</v>
      </c>
      <c r="AG17" s="122">
        <v>6.3343925845367868E-2</v>
      </c>
      <c r="AH17" s="122">
        <v>1.1605701564661024E-2</v>
      </c>
      <c r="AI17" s="122">
        <v>-0.9690761313903653</v>
      </c>
    </row>
    <row r="18" spans="2:35" x14ac:dyDescent="0.55000000000000004">
      <c r="B18" s="120">
        <v>3</v>
      </c>
      <c r="C18" s="121" t="s">
        <v>132</v>
      </c>
      <c r="D18" s="122">
        <v>5159174.9909531372</v>
      </c>
      <c r="E18" s="122">
        <v>5771238.1509137517</v>
      </c>
      <c r="F18" s="122">
        <v>6495582.8453145381</v>
      </c>
      <c r="G18" s="122">
        <v>7303531.1854622252</v>
      </c>
      <c r="H18" s="122">
        <v>7241230.4770173877</v>
      </c>
      <c r="I18" s="122">
        <v>11.863585964545857</v>
      </c>
      <c r="J18" s="122">
        <v>12.55094108358705</v>
      </c>
      <c r="K18" s="122">
        <v>-0.85302175590489893</v>
      </c>
      <c r="L18" s="122">
        <v>4545156.7802254101</v>
      </c>
      <c r="M18" s="122">
        <v>5086243.7002381096</v>
      </c>
      <c r="N18" s="122">
        <v>5756808.9450960765</v>
      </c>
      <c r="O18" s="122">
        <v>6541649.9886276452</v>
      </c>
      <c r="P18" s="122">
        <v>6486436.0945367683</v>
      </c>
      <c r="Q18" s="122">
        <v>11.904692097331786</v>
      </c>
      <c r="R18" s="122">
        <v>13.183899347960853</v>
      </c>
      <c r="S18" s="122">
        <v>-0.84403629182857531</v>
      </c>
      <c r="T18" s="122">
        <v>509489.96444124758</v>
      </c>
      <c r="U18" s="122">
        <v>571572.53078195185</v>
      </c>
      <c r="V18" s="122">
        <v>610171.2260066109</v>
      </c>
      <c r="W18" s="122">
        <v>630436.94403128268</v>
      </c>
      <c r="X18" s="122">
        <v>623060.22460351349</v>
      </c>
      <c r="Y18" s="122">
        <v>12.18523913601752</v>
      </c>
      <c r="Z18" s="122">
        <v>6.7530712156513104</v>
      </c>
      <c r="AA18" s="122">
        <v>-1.1700964096424891</v>
      </c>
      <c r="AB18" s="122">
        <v>104528.24628648002</v>
      </c>
      <c r="AC18" s="122">
        <v>113421.91989369006</v>
      </c>
      <c r="AD18" s="122">
        <v>128602.67421185004</v>
      </c>
      <c r="AE18" s="122">
        <v>131444.25280329728</v>
      </c>
      <c r="AF18" s="122">
        <v>131734.15787710663</v>
      </c>
      <c r="AG18" s="122">
        <v>8.5083888805179431</v>
      </c>
      <c r="AH18" s="122">
        <v>13.384317599278869</v>
      </c>
      <c r="AI18" s="122">
        <v>0.22055738459461216</v>
      </c>
    </row>
    <row r="19" spans="2:35" x14ac:dyDescent="0.55000000000000004">
      <c r="B19" s="123"/>
      <c r="C19" s="124" t="s">
        <v>133</v>
      </c>
      <c r="D19" s="122">
        <v>465414.62126372947</v>
      </c>
      <c r="E19" s="122">
        <v>454049.35196338507</v>
      </c>
      <c r="F19" s="122">
        <v>381823.56024374702</v>
      </c>
      <c r="G19" s="122">
        <v>527894.25498239032</v>
      </c>
      <c r="H19" s="122">
        <v>413660.33572417463</v>
      </c>
      <c r="I19" s="122">
        <v>-2.4419666919788678</v>
      </c>
      <c r="J19" s="122">
        <v>-15.907035215445189</v>
      </c>
      <c r="K19" s="122">
        <v>-21.639544283727275</v>
      </c>
      <c r="L19" s="122">
        <v>453604.71576952108</v>
      </c>
      <c r="M19" s="122">
        <v>441570.71393070667</v>
      </c>
      <c r="N19" s="122">
        <v>368702.00585700275</v>
      </c>
      <c r="O19" s="122">
        <v>508973.61014181376</v>
      </c>
      <c r="P19" s="122">
        <v>399191.60305689072</v>
      </c>
      <c r="Q19" s="122">
        <v>-2.6529728350269264</v>
      </c>
      <c r="R19" s="122">
        <v>-16.50215885016468</v>
      </c>
      <c r="S19" s="122">
        <v>-21.569293150582013</v>
      </c>
      <c r="T19" s="122">
        <v>9932.1548420483887</v>
      </c>
      <c r="U19" s="122">
        <v>11059.422882958304</v>
      </c>
      <c r="V19" s="122">
        <v>11512.861827304319</v>
      </c>
      <c r="W19" s="122">
        <v>16949.613909234497</v>
      </c>
      <c r="X19" s="122">
        <v>12967.358492481906</v>
      </c>
      <c r="Y19" s="122">
        <v>11.34970776720046</v>
      </c>
      <c r="Z19" s="122">
        <v>4.1000341790075838</v>
      </c>
      <c r="AA19" s="122">
        <v>-23.494640879642656</v>
      </c>
      <c r="AB19" s="122">
        <v>1877.7506521599996</v>
      </c>
      <c r="AC19" s="122">
        <v>1419.2151497200982</v>
      </c>
      <c r="AD19" s="122">
        <v>1608.6925594400004</v>
      </c>
      <c r="AE19" s="122">
        <v>1971.0309313419966</v>
      </c>
      <c r="AF19" s="122">
        <v>1501.3741748020002</v>
      </c>
      <c r="AG19" s="122">
        <v>-24.419118626015177</v>
      </c>
      <c r="AH19" s="122">
        <v>13.350291004918196</v>
      </c>
      <c r="AI19" s="122">
        <v>-23.828150763813849</v>
      </c>
    </row>
    <row r="20" spans="2:35" x14ac:dyDescent="0.55000000000000004">
      <c r="B20" s="123"/>
      <c r="C20" s="124" t="s">
        <v>134</v>
      </c>
      <c r="D20" s="122">
        <v>1402181.5737415059</v>
      </c>
      <c r="E20" s="122">
        <v>1519064.4317869102</v>
      </c>
      <c r="F20" s="122">
        <v>1954388.9819398192</v>
      </c>
      <c r="G20" s="122">
        <v>2673443.312397982</v>
      </c>
      <c r="H20" s="122">
        <v>2705848.768130709</v>
      </c>
      <c r="I20" s="122">
        <v>8.3357863561136281</v>
      </c>
      <c r="J20" s="122">
        <v>28.657411851846213</v>
      </c>
      <c r="K20" s="122">
        <v>1.212124449349179</v>
      </c>
      <c r="L20" s="122">
        <v>1261714.8411597048</v>
      </c>
      <c r="M20" s="122">
        <v>1366476.1787443645</v>
      </c>
      <c r="N20" s="122">
        <v>1752142.7457662607</v>
      </c>
      <c r="O20" s="122">
        <v>2391429.5472405367</v>
      </c>
      <c r="P20" s="122">
        <v>2419285.4419307606</v>
      </c>
      <c r="Q20" s="122">
        <v>8.3030916875004692</v>
      </c>
      <c r="R20" s="122">
        <v>28.223438918635235</v>
      </c>
      <c r="S20" s="122">
        <v>1.164821685840594</v>
      </c>
      <c r="T20" s="122">
        <v>120612.81228981107</v>
      </c>
      <c r="U20" s="122">
        <v>132842.95349202564</v>
      </c>
      <c r="V20" s="122">
        <v>176769.5409911685</v>
      </c>
      <c r="W20" s="122">
        <v>250565.73118539035</v>
      </c>
      <c r="X20" s="122">
        <v>254972.00349259374</v>
      </c>
      <c r="Y20" s="122">
        <v>10.140000883819898</v>
      </c>
      <c r="Z20" s="122">
        <v>33.066557163929282</v>
      </c>
      <c r="AA20" s="122">
        <v>1.7585285904820223</v>
      </c>
      <c r="AB20" s="122">
        <v>19853.920291990013</v>
      </c>
      <c r="AC20" s="122">
        <v>19745.299550519961</v>
      </c>
      <c r="AD20" s="122">
        <v>25476.695182390067</v>
      </c>
      <c r="AE20" s="122">
        <v>31448.033972055266</v>
      </c>
      <c r="AF20" s="122">
        <v>31591.322707354626</v>
      </c>
      <c r="AG20" s="122">
        <v>-0.54709598910441359</v>
      </c>
      <c r="AH20" s="122">
        <v>29.026654444348789</v>
      </c>
      <c r="AI20" s="122">
        <v>0.45564062359391311</v>
      </c>
    </row>
    <row r="21" spans="2:35" x14ac:dyDescent="0.55000000000000004">
      <c r="B21" s="123"/>
      <c r="C21" s="124" t="s">
        <v>135</v>
      </c>
      <c r="D21" s="122">
        <v>2835816.750499967</v>
      </c>
      <c r="E21" s="122">
        <v>3359257.3954143687</v>
      </c>
      <c r="F21" s="122">
        <v>3642837.3013691935</v>
      </c>
      <c r="G21" s="122">
        <v>3506978.7614036552</v>
      </c>
      <c r="H21" s="122">
        <v>3485794.1279752217</v>
      </c>
      <c r="I21" s="122">
        <v>18.458197272443641</v>
      </c>
      <c r="J21" s="122">
        <v>8.4417437020455743</v>
      </c>
      <c r="K21" s="122">
        <v>-0.60407066736839576</v>
      </c>
      <c r="L21" s="122">
        <v>2436953.4395889267</v>
      </c>
      <c r="M21" s="122">
        <v>2898147.7284924984</v>
      </c>
      <c r="N21" s="122">
        <v>3177768.1856195731</v>
      </c>
      <c r="O21" s="122">
        <v>3112937.9892387255</v>
      </c>
      <c r="P21" s="122">
        <v>3099363.5413093618</v>
      </c>
      <c r="Q21" s="122">
        <v>18.925034940347487</v>
      </c>
      <c r="R21" s="122">
        <v>9.6482472962135706</v>
      </c>
      <c r="S21" s="122">
        <v>-0.43606554462718949</v>
      </c>
      <c r="T21" s="122">
        <v>327120.53096397012</v>
      </c>
      <c r="U21" s="122">
        <v>380584.37406561</v>
      </c>
      <c r="V21" s="122">
        <v>374776.22198860021</v>
      </c>
      <c r="W21" s="122">
        <v>308219.24444748991</v>
      </c>
      <c r="X21" s="122">
        <v>300419.56615587987</v>
      </c>
      <c r="Y21" s="122">
        <v>16.343773960014055</v>
      </c>
      <c r="Z21" s="122">
        <v>-1.5261136446565116</v>
      </c>
      <c r="AA21" s="122">
        <v>-2.5305590916387906</v>
      </c>
      <c r="AB21" s="122">
        <v>71742.779947069997</v>
      </c>
      <c r="AC21" s="122">
        <v>80525.292856259999</v>
      </c>
      <c r="AD21" s="122">
        <v>90292.893761020008</v>
      </c>
      <c r="AE21" s="122">
        <v>85821.52771744004</v>
      </c>
      <c r="AF21" s="122">
        <v>86011.020509979993</v>
      </c>
      <c r="AG21" s="122">
        <v>12.24166389983772</v>
      </c>
      <c r="AH21" s="122">
        <v>12.129853863301836</v>
      </c>
      <c r="AI21" s="122">
        <v>0.2207954111281927</v>
      </c>
    </row>
    <row r="22" spans="2:35" x14ac:dyDescent="0.55000000000000004">
      <c r="B22" s="123"/>
      <c r="C22" s="124" t="s">
        <v>136</v>
      </c>
      <c r="D22" s="122">
        <v>391067.69793962582</v>
      </c>
      <c r="E22" s="122">
        <v>390784.71049537905</v>
      </c>
      <c r="F22" s="122">
        <v>472514.25060837332</v>
      </c>
      <c r="G22" s="122">
        <v>547192.04870209796</v>
      </c>
      <c r="H22" s="122">
        <v>587837.06754564052</v>
      </c>
      <c r="I22" s="122">
        <v>-7.2363429656806394E-2</v>
      </c>
      <c r="J22" s="122">
        <v>20.914211305759629</v>
      </c>
      <c r="K22" s="122">
        <v>7.4279258991427044</v>
      </c>
      <c r="L22" s="122">
        <v>329895.46572299785</v>
      </c>
      <c r="M22" s="122">
        <v>333863.5509726411</v>
      </c>
      <c r="N22" s="122">
        <v>415610.34918753529</v>
      </c>
      <c r="O22" s="122">
        <v>481152.55140921002</v>
      </c>
      <c r="P22" s="122">
        <v>521402.09907305252</v>
      </c>
      <c r="Q22" s="122">
        <v>1.2028294902018559</v>
      </c>
      <c r="R22" s="122">
        <v>24.485092787158106</v>
      </c>
      <c r="S22" s="122">
        <v>8.3652367632676974</v>
      </c>
      <c r="T22" s="122">
        <v>51613.95923241799</v>
      </c>
      <c r="U22" s="122">
        <v>46811.171564547993</v>
      </c>
      <c r="V22" s="122">
        <v>46863.374199798011</v>
      </c>
      <c r="W22" s="122">
        <v>53904.001887157989</v>
      </c>
      <c r="X22" s="122">
        <v>53885.061712898001</v>
      </c>
      <c r="Y22" s="122">
        <v>-9.3052151007208153</v>
      </c>
      <c r="Z22" s="122">
        <v>0.11151184642469814</v>
      </c>
      <c r="AA22" s="122">
        <v>-3.5136539032358131E-2</v>
      </c>
      <c r="AB22" s="122">
        <v>9558.272984209998</v>
      </c>
      <c r="AC22" s="122">
        <v>10109.98795819</v>
      </c>
      <c r="AD22" s="122">
        <v>10040.527221039996</v>
      </c>
      <c r="AE22" s="122">
        <v>12135.495405730002</v>
      </c>
      <c r="AF22" s="122">
        <v>12549.90675969</v>
      </c>
      <c r="AG22" s="122">
        <v>5.7721742532905989</v>
      </c>
      <c r="AH22" s="122">
        <v>-0.68704321171434524</v>
      </c>
      <c r="AI22" s="122">
        <v>3.4148572370318475</v>
      </c>
    </row>
    <row r="23" spans="2:35" x14ac:dyDescent="0.55000000000000004">
      <c r="B23" s="123"/>
      <c r="C23" s="124" t="s">
        <v>137</v>
      </c>
      <c r="D23" s="122">
        <v>64694.347508309162</v>
      </c>
      <c r="E23" s="122">
        <v>48082.261253708224</v>
      </c>
      <c r="F23" s="122">
        <v>44018.751153405217</v>
      </c>
      <c r="G23" s="122">
        <v>48022.807976098302</v>
      </c>
      <c r="H23" s="122">
        <v>48090.177641641021</v>
      </c>
      <c r="I23" s="122">
        <v>-25.677806485419509</v>
      </c>
      <c r="J23" s="122">
        <v>-8.4511626533361834</v>
      </c>
      <c r="K23" s="122">
        <v>0.14028750087719277</v>
      </c>
      <c r="L23" s="122">
        <v>62988.317984259163</v>
      </c>
      <c r="M23" s="122">
        <v>46185.528097898226</v>
      </c>
      <c r="N23" s="122">
        <v>42585.658665705218</v>
      </c>
      <c r="O23" s="122">
        <v>47156.290597358297</v>
      </c>
      <c r="P23" s="122">
        <v>47193.409166701022</v>
      </c>
      <c r="Q23" s="122">
        <v>-26.676040891390659</v>
      </c>
      <c r="R23" s="122">
        <v>-7.7943676298615507</v>
      </c>
      <c r="S23" s="122">
        <v>7.8716964375277657E-2</v>
      </c>
      <c r="T23" s="122">
        <v>210.50711299999998</v>
      </c>
      <c r="U23" s="122">
        <v>274.60877681000005</v>
      </c>
      <c r="V23" s="122">
        <v>249.22699974000002</v>
      </c>
      <c r="W23" s="122">
        <v>798.35260201000017</v>
      </c>
      <c r="X23" s="122">
        <v>816.2347496600006</v>
      </c>
      <c r="Y23" s="122">
        <v>30.44985986413948</v>
      </c>
      <c r="Z23" s="122">
        <v>-9.24219802629184</v>
      </c>
      <c r="AA23" s="122">
        <v>2.2396192146301739</v>
      </c>
      <c r="AB23" s="122">
        <v>1495.5224110499998</v>
      </c>
      <c r="AC23" s="122">
        <v>1622.1243789999999</v>
      </c>
      <c r="AD23" s="122">
        <v>1183.8654879600001</v>
      </c>
      <c r="AE23" s="122">
        <v>68.164776730000014</v>
      </c>
      <c r="AF23" s="122">
        <v>80.533725279999999</v>
      </c>
      <c r="AG23" s="122">
        <v>8.4652829784957682</v>
      </c>
      <c r="AH23" s="122">
        <v>-27.017113407146205</v>
      </c>
      <c r="AI23" s="122">
        <v>18.148474178403763</v>
      </c>
    </row>
    <row r="24" spans="2:35" x14ac:dyDescent="0.55000000000000004">
      <c r="B24" s="120">
        <v>4</v>
      </c>
      <c r="C24" s="121" t="s">
        <v>138</v>
      </c>
      <c r="D24" s="122">
        <v>2782.1919595238528</v>
      </c>
      <c r="E24" s="122">
        <v>3188.6412962380423</v>
      </c>
      <c r="F24" s="122">
        <v>3116.8564159062635</v>
      </c>
      <c r="G24" s="122">
        <v>3242.3807001404321</v>
      </c>
      <c r="H24" s="122">
        <v>3590.6253151113633</v>
      </c>
      <c r="I24" s="122">
        <v>14.608995072227268</v>
      </c>
      <c r="J24" s="122">
        <v>-2.2511164634452228</v>
      </c>
      <c r="K24" s="122">
        <v>10.74056711428025</v>
      </c>
      <c r="L24" s="122">
        <v>2739.968376853853</v>
      </c>
      <c r="M24" s="122">
        <v>3163.3163709880423</v>
      </c>
      <c r="N24" s="122">
        <v>3095.2226050962636</v>
      </c>
      <c r="O24" s="122">
        <v>3229.5009356804321</v>
      </c>
      <c r="P24" s="122">
        <v>3575.1184211913633</v>
      </c>
      <c r="Q24" s="122">
        <v>15.450899097435387</v>
      </c>
      <c r="R24" s="122">
        <v>-2.1528014870452679</v>
      </c>
      <c r="S24" s="122">
        <v>10.701966248645297</v>
      </c>
      <c r="T24" s="122">
        <v>41.811879380000008</v>
      </c>
      <c r="U24" s="122">
        <v>23.346382989999999</v>
      </c>
      <c r="V24" s="122">
        <v>21.124879479999997</v>
      </c>
      <c r="W24" s="122">
        <v>12.612959910000001</v>
      </c>
      <c r="X24" s="122">
        <v>15.482168260000002</v>
      </c>
      <c r="Y24" s="122">
        <v>-44.152116718488401</v>
      </c>
      <c r="Z24" s="122">
        <v>-9.55032119914347</v>
      </c>
      <c r="AA24" s="122">
        <v>22.759714512291843</v>
      </c>
      <c r="AB24" s="122">
        <v>0.41170328999999994</v>
      </c>
      <c r="AC24" s="122">
        <v>1.9785422599999998</v>
      </c>
      <c r="AD24" s="122">
        <v>0.50893133000000002</v>
      </c>
      <c r="AE24" s="122">
        <v>0.26680454999999997</v>
      </c>
      <c r="AF24" s="122">
        <v>2.472566E-2</v>
      </c>
      <c r="AG24" s="122">
        <v>382.92682926829269</v>
      </c>
      <c r="AH24" s="122">
        <v>-74.242424242424249</v>
      </c>
      <c r="AI24" s="122">
        <v>-92.592592592592581</v>
      </c>
    </row>
    <row r="25" spans="2:35" x14ac:dyDescent="0.55000000000000004">
      <c r="B25" s="120">
        <v>5</v>
      </c>
      <c r="C25" s="121" t="s">
        <v>139</v>
      </c>
      <c r="D25" s="122">
        <v>424125.6011237721</v>
      </c>
      <c r="E25" s="122">
        <v>502666.24329198722</v>
      </c>
      <c r="F25" s="122">
        <v>598080.08451047423</v>
      </c>
      <c r="G25" s="122">
        <v>710106.8560150438</v>
      </c>
      <c r="H25" s="122">
        <v>728953.46110897802</v>
      </c>
      <c r="I25" s="122">
        <v>18.518250254169995</v>
      </c>
      <c r="J25" s="122">
        <v>18.981549268158524</v>
      </c>
      <c r="K25" s="122">
        <v>2.6540512508215985</v>
      </c>
      <c r="L25" s="122">
        <v>384228.32258525782</v>
      </c>
      <c r="M25" s="122">
        <v>453118.81700655608</v>
      </c>
      <c r="N25" s="122">
        <v>538951.66824037721</v>
      </c>
      <c r="O25" s="122">
        <v>636042.82601336564</v>
      </c>
      <c r="P25" s="122">
        <v>655594.09630668047</v>
      </c>
      <c r="Q25" s="122">
        <v>17.929573749274908</v>
      </c>
      <c r="R25" s="122">
        <v>18.942680420998631</v>
      </c>
      <c r="S25" s="122">
        <v>3.0738920522066131</v>
      </c>
      <c r="T25" s="122">
        <v>23290.618684594338</v>
      </c>
      <c r="U25" s="122">
        <v>30450.901391315187</v>
      </c>
      <c r="V25" s="122">
        <v>36085.761115857931</v>
      </c>
      <c r="W25" s="122">
        <v>48935.68678238822</v>
      </c>
      <c r="X25" s="122">
        <v>47276.906958603657</v>
      </c>
      <c r="Y25" s="122">
        <v>30.743191894419311</v>
      </c>
      <c r="Z25" s="122">
        <v>18.504740418181399</v>
      </c>
      <c r="AA25" s="122">
        <v>-3.3897141329773808</v>
      </c>
      <c r="AB25" s="122">
        <v>16606.659853919926</v>
      </c>
      <c r="AC25" s="122">
        <v>19096.524894115995</v>
      </c>
      <c r="AD25" s="122">
        <v>23042.655154239001</v>
      </c>
      <c r="AE25" s="122">
        <v>25128.34321928996</v>
      </c>
      <c r="AF25" s="122">
        <v>26082.457843693894</v>
      </c>
      <c r="AG25" s="122">
        <v>14.993141305957975</v>
      </c>
      <c r="AH25" s="122">
        <v>20.664183840825444</v>
      </c>
      <c r="AI25" s="122">
        <v>3.7969877835145458</v>
      </c>
    </row>
    <row r="26" spans="2:35" x14ac:dyDescent="0.55000000000000004">
      <c r="B26" s="120"/>
      <c r="C26" s="125" t="s">
        <v>140</v>
      </c>
      <c r="D26" s="122">
        <v>110299.6487103231</v>
      </c>
      <c r="E26" s="122">
        <v>168123.61934694159</v>
      </c>
      <c r="F26" s="122">
        <v>230011.88438551818</v>
      </c>
      <c r="G26" s="122">
        <v>285007.95674287097</v>
      </c>
      <c r="H26" s="122">
        <v>284028.82731662079</v>
      </c>
      <c r="I26" s="122">
        <v>52.424436523597315</v>
      </c>
      <c r="J26" s="122">
        <v>36.811163119138172</v>
      </c>
      <c r="K26" s="122">
        <v>-0.34354479081917733</v>
      </c>
      <c r="L26" s="122">
        <v>95408.523871954996</v>
      </c>
      <c r="M26" s="122">
        <v>147602.51871864594</v>
      </c>
      <c r="N26" s="122">
        <v>201267.26940481982</v>
      </c>
      <c r="O26" s="122">
        <v>246561.79380633374</v>
      </c>
      <c r="P26" s="122">
        <v>245236.25611144412</v>
      </c>
      <c r="Q26" s="122">
        <v>54.705806148130144</v>
      </c>
      <c r="R26" s="122">
        <v>36.357610967617632</v>
      </c>
      <c r="S26" s="122">
        <v>-0.53760560385289169</v>
      </c>
      <c r="T26" s="122">
        <v>9404.6635298251822</v>
      </c>
      <c r="U26" s="122">
        <v>13887.248336411163</v>
      </c>
      <c r="V26" s="122">
        <v>19371.823330134026</v>
      </c>
      <c r="W26" s="122">
        <v>27665.73917961647</v>
      </c>
      <c r="X26" s="122">
        <v>27979.206408508817</v>
      </c>
      <c r="Y26" s="122">
        <v>47.663498733606531</v>
      </c>
      <c r="Z26" s="122">
        <v>39.49356424058039</v>
      </c>
      <c r="AA26" s="122">
        <v>1.1330620471384374</v>
      </c>
      <c r="AB26" s="122">
        <v>5486.4613085429355</v>
      </c>
      <c r="AC26" s="122">
        <v>6633.8522918844965</v>
      </c>
      <c r="AD26" s="122">
        <v>9372.7916505643279</v>
      </c>
      <c r="AE26" s="122">
        <v>10780.4237569208</v>
      </c>
      <c r="AF26" s="122">
        <v>10813.3647966679</v>
      </c>
      <c r="AG26" s="122">
        <v>20.913120664326364</v>
      </c>
      <c r="AH26" s="122">
        <v>41.287336915968865</v>
      </c>
      <c r="AI26" s="122">
        <v>0.30555395800906188</v>
      </c>
    </row>
    <row r="27" spans="2:35" x14ac:dyDescent="0.55000000000000004">
      <c r="B27" s="120"/>
      <c r="C27" s="125" t="s">
        <v>141</v>
      </c>
      <c r="D27" s="122">
        <v>19628.117664182835</v>
      </c>
      <c r="E27" s="122">
        <v>28909.752858379288</v>
      </c>
      <c r="F27" s="122">
        <v>28408.844539529317</v>
      </c>
      <c r="G27" s="122">
        <v>56086.847534206609</v>
      </c>
      <c r="H27" s="122">
        <v>60743.51217274923</v>
      </c>
      <c r="I27" s="122">
        <v>47.287412141356391</v>
      </c>
      <c r="J27" s="122">
        <v>-1.7326680445178524</v>
      </c>
      <c r="K27" s="122">
        <v>8.3025878615040849</v>
      </c>
      <c r="L27" s="122">
        <v>10333.507412614535</v>
      </c>
      <c r="M27" s="122">
        <v>18049.428163163298</v>
      </c>
      <c r="N27" s="122">
        <v>15809.3824004751</v>
      </c>
      <c r="O27" s="122">
        <v>41965.714113505957</v>
      </c>
      <c r="P27" s="122">
        <v>46611.712384636834</v>
      </c>
      <c r="Q27" s="122">
        <v>74.668916950774715</v>
      </c>
      <c r="R27" s="122">
        <v>-12.410641222465204</v>
      </c>
      <c r="S27" s="122">
        <v>11.070943396406257</v>
      </c>
      <c r="T27" s="122">
        <v>1129.3615840582988</v>
      </c>
      <c r="U27" s="122">
        <v>1930.5933692459917</v>
      </c>
      <c r="V27" s="122">
        <v>2459.0328986143977</v>
      </c>
      <c r="W27" s="122">
        <v>3366.4427350693504</v>
      </c>
      <c r="X27" s="122">
        <v>3393.7338845623981</v>
      </c>
      <c r="Y27" s="122">
        <v>70.94549125168237</v>
      </c>
      <c r="Z27" s="122">
        <v>27.371943291947037</v>
      </c>
      <c r="AA27" s="122">
        <v>0.8106486377300639</v>
      </c>
      <c r="AB27" s="122">
        <v>8165.2486675099999</v>
      </c>
      <c r="AC27" s="122">
        <v>8929.7313259699986</v>
      </c>
      <c r="AD27" s="122">
        <v>10140.42924043982</v>
      </c>
      <c r="AE27" s="122">
        <v>10754.6906856313</v>
      </c>
      <c r="AF27" s="122">
        <v>10738.065903549999</v>
      </c>
      <c r="AG27" s="122">
        <v>9.3626037169713054</v>
      </c>
      <c r="AH27" s="122">
        <v>13.55808070344793</v>
      </c>
      <c r="AI27" s="122">
        <v>-0.15453722980393483</v>
      </c>
    </row>
    <row r="28" spans="2:35" x14ac:dyDescent="0.55000000000000004">
      <c r="B28" s="120"/>
      <c r="C28" s="125" t="s">
        <v>142</v>
      </c>
      <c r="D28" s="122">
        <v>294197.83474926616</v>
      </c>
      <c r="E28" s="122">
        <v>305632.87108666642</v>
      </c>
      <c r="F28" s="122">
        <v>339659.35558542679</v>
      </c>
      <c r="G28" s="122">
        <v>369012.05173796602</v>
      </c>
      <c r="H28" s="122">
        <v>384181.12161960785</v>
      </c>
      <c r="I28" s="122">
        <v>3.8868539581002275</v>
      </c>
      <c r="J28" s="122">
        <v>11.133125177275597</v>
      </c>
      <c r="K28" s="122">
        <v>4.1107248394734013</v>
      </c>
      <c r="L28" s="122">
        <v>278486.29130068829</v>
      </c>
      <c r="M28" s="122">
        <v>287466.87012474681</v>
      </c>
      <c r="N28" s="122">
        <v>321875.01643508242</v>
      </c>
      <c r="O28" s="122">
        <v>347515.31809352571</v>
      </c>
      <c r="P28" s="122">
        <v>363746.1278105994</v>
      </c>
      <c r="Q28" s="122">
        <v>3.2247835252500283</v>
      </c>
      <c r="R28" s="122">
        <v>11.969431468746302</v>
      </c>
      <c r="S28" s="122">
        <v>4.6705307840816905</v>
      </c>
      <c r="T28" s="122">
        <v>12756.593570710855</v>
      </c>
      <c r="U28" s="122">
        <v>14633.059685658036</v>
      </c>
      <c r="V28" s="122">
        <v>14254.904887109498</v>
      </c>
      <c r="W28" s="122">
        <v>17903.504867702402</v>
      </c>
      <c r="X28" s="122">
        <v>15903.966665532445</v>
      </c>
      <c r="Y28" s="122">
        <v>14.709808812543159</v>
      </c>
      <c r="Z28" s="122">
        <v>-2.5842851734360406</v>
      </c>
      <c r="AA28" s="122">
        <v>-11.168374898762815</v>
      </c>
      <c r="AB28" s="122">
        <v>2954.949877866994</v>
      </c>
      <c r="AC28" s="122">
        <v>3532.9412762614988</v>
      </c>
      <c r="AD28" s="122">
        <v>3529.4342632348507</v>
      </c>
      <c r="AE28" s="122">
        <v>3593.2287767378562</v>
      </c>
      <c r="AF28" s="122">
        <v>4531.0271434759916</v>
      </c>
      <c r="AG28" s="122">
        <v>19.560060237905894</v>
      </c>
      <c r="AH28" s="122">
        <v>-9.9350682434465862E-2</v>
      </c>
      <c r="AI28" s="122">
        <v>26.099080771339427</v>
      </c>
    </row>
    <row r="29" spans="2:35" x14ac:dyDescent="0.55000000000000004">
      <c r="B29" s="120">
        <v>6</v>
      </c>
      <c r="C29" s="121" t="s">
        <v>143</v>
      </c>
      <c r="D29" s="122">
        <v>512.09945540815534</v>
      </c>
      <c r="E29" s="122">
        <v>471.01823273763029</v>
      </c>
      <c r="F29" s="122">
        <v>3179.3444645900067</v>
      </c>
      <c r="G29" s="122">
        <v>4342.5026843371552</v>
      </c>
      <c r="H29" s="122">
        <v>1694.4253430081817</v>
      </c>
      <c r="I29" s="122">
        <v>-8.0218707283733721</v>
      </c>
      <c r="J29" s="122">
        <v>574.99044626555133</v>
      </c>
      <c r="K29" s="122">
        <v>-60.980310880829016</v>
      </c>
      <c r="L29" s="122">
        <v>516.09336441815049</v>
      </c>
      <c r="M29" s="122">
        <v>469.8493827176332</v>
      </c>
      <c r="N29" s="122">
        <v>3177.2472543800031</v>
      </c>
      <c r="O29" s="122">
        <v>4314.6191533971578</v>
      </c>
      <c r="P29" s="122">
        <v>1671.6955432681816</v>
      </c>
      <c r="Q29" s="122">
        <v>-8.9596775756166576</v>
      </c>
      <c r="R29" s="122">
        <v>576.22645525167604</v>
      </c>
      <c r="S29" s="122">
        <v>-61.254988851857178</v>
      </c>
      <c r="T29" s="122">
        <v>9.5099900048226122E-3</v>
      </c>
      <c r="U29" s="122">
        <v>0.1500000199971199</v>
      </c>
      <c r="V29" s="122">
        <v>5.5500037670135492E-6</v>
      </c>
      <c r="W29" s="122">
        <v>8.0433479999650281E-2</v>
      </c>
      <c r="X29" s="122">
        <v>4.3725530000101778E-2</v>
      </c>
      <c r="Y29" s="122">
        <v>1399.9999999999998</v>
      </c>
      <c r="Z29" s="122">
        <v>-100</v>
      </c>
      <c r="AA29" s="122">
        <v>-50</v>
      </c>
      <c r="AB29" s="122">
        <v>-4.0034190000000001</v>
      </c>
      <c r="AC29" s="122">
        <v>1.01885</v>
      </c>
      <c r="AD29" s="122">
        <v>2.0972046600000001</v>
      </c>
      <c r="AE29" s="122">
        <v>27.803097459997513</v>
      </c>
      <c r="AF29" s="122">
        <v>22.686074210000051</v>
      </c>
      <c r="AG29" s="122">
        <v>-125.49999999999999</v>
      </c>
      <c r="AH29" s="122">
        <v>105.88235294117646</v>
      </c>
      <c r="AI29" s="122">
        <v>-18.381294964028775</v>
      </c>
    </row>
    <row r="30" spans="2:35" x14ac:dyDescent="0.55000000000000004">
      <c r="B30" s="120">
        <v>7</v>
      </c>
      <c r="C30" s="121" t="s">
        <v>144</v>
      </c>
      <c r="D30" s="122">
        <v>79497.355631033744</v>
      </c>
      <c r="E30" s="122">
        <v>75002.028371357199</v>
      </c>
      <c r="F30" s="122">
        <v>61824.983715766466</v>
      </c>
      <c r="G30" s="122">
        <v>69865.766274401452</v>
      </c>
      <c r="H30" s="122">
        <v>9125.8497222365095</v>
      </c>
      <c r="I30" s="122">
        <v>-5.6546909230696487</v>
      </c>
      <c r="J30" s="122">
        <v>-17.568924467777734</v>
      </c>
      <c r="K30" s="122">
        <v>-86.938024156894002</v>
      </c>
      <c r="L30" s="122">
        <v>72201.048554339097</v>
      </c>
      <c r="M30" s="122">
        <v>68213.47571297118</v>
      </c>
      <c r="N30" s="122">
        <v>55900.816380819204</v>
      </c>
      <c r="O30" s="122">
        <v>62713.094560996309</v>
      </c>
      <c r="P30" s="122">
        <v>8382.9284017587943</v>
      </c>
      <c r="Q30" s="122">
        <v>-5.5228698197602482</v>
      </c>
      <c r="R30" s="122">
        <v>-18.050185974971509</v>
      </c>
      <c r="S30" s="122">
        <v>-86.632886371888233</v>
      </c>
      <c r="T30" s="122">
        <v>6339.6720771815208</v>
      </c>
      <c r="U30" s="122">
        <v>5715.3231215530886</v>
      </c>
      <c r="V30" s="122">
        <v>5291.2426227436399</v>
      </c>
      <c r="W30" s="122">
        <v>5886.5929503488287</v>
      </c>
      <c r="X30" s="122">
        <v>662.12497744440498</v>
      </c>
      <c r="Y30" s="122">
        <v>-9.8483044070117263</v>
      </c>
      <c r="Z30" s="122">
        <v>-7.4200569696884857</v>
      </c>
      <c r="AA30" s="122">
        <v>-88.752061889820766</v>
      </c>
      <c r="AB30" s="122">
        <v>956.6349995131277</v>
      </c>
      <c r="AC30" s="122">
        <v>1073.2295368329351</v>
      </c>
      <c r="AD30" s="122">
        <v>632.92471220362745</v>
      </c>
      <c r="AE30" s="122">
        <v>1266.0787630563077</v>
      </c>
      <c r="AF30" s="122">
        <v>80.79634303330964</v>
      </c>
      <c r="AG30" s="122">
        <v>12.188620469774104</v>
      </c>
      <c r="AH30" s="122">
        <v>-41.02662057527278</v>
      </c>
      <c r="AI30" s="122">
        <v>-93.618096802729696</v>
      </c>
    </row>
    <row r="31" spans="2:35" x14ac:dyDescent="0.55000000000000004">
      <c r="B31" s="126" t="s">
        <v>145</v>
      </c>
      <c r="C31" s="127"/>
      <c r="D31" s="122">
        <v>6785324.1287748786</v>
      </c>
      <c r="E31" s="122">
        <v>7290995.9730452774</v>
      </c>
      <c r="F31" s="122">
        <v>8131382.2383319372</v>
      </c>
      <c r="G31" s="122">
        <v>9101560.2348904889</v>
      </c>
      <c r="H31" s="122">
        <v>9074641.0639608335</v>
      </c>
      <c r="I31" s="122">
        <v>7.4524345530417548</v>
      </c>
      <c r="J31" s="122">
        <v>11.526357626007583</v>
      </c>
      <c r="K31" s="122">
        <v>-0.29576434501054688</v>
      </c>
      <c r="L31" s="122">
        <v>6020550.8246499803</v>
      </c>
      <c r="M31" s="122">
        <v>6465937.3612678628</v>
      </c>
      <c r="N31" s="122">
        <v>7242741.167671104</v>
      </c>
      <c r="O31" s="122">
        <v>8170933.5694668125</v>
      </c>
      <c r="P31" s="122">
        <v>8150403.6292443816</v>
      </c>
      <c r="Q31" s="122">
        <v>7.3977706245821535</v>
      </c>
      <c r="R31" s="122">
        <v>12.013784958782828</v>
      </c>
      <c r="S31" s="122">
        <v>-0.25125574481938184</v>
      </c>
      <c r="T31" s="122">
        <v>612732.93484883686</v>
      </c>
      <c r="U31" s="122">
        <v>669886.47291062505</v>
      </c>
      <c r="V31" s="122">
        <v>717329.63926333981</v>
      </c>
      <c r="W31" s="122">
        <v>754041.89853239269</v>
      </c>
      <c r="X31" s="122">
        <v>746588.52108290954</v>
      </c>
      <c r="Y31" s="122">
        <v>9.3276429585724934</v>
      </c>
      <c r="Z31" s="122">
        <v>7.0822702240873801</v>
      </c>
      <c r="AA31" s="122">
        <v>-0.98845700749520737</v>
      </c>
      <c r="AB31" s="122">
        <v>152040.36927606151</v>
      </c>
      <c r="AC31" s="122">
        <v>155172.13886678955</v>
      </c>
      <c r="AD31" s="122">
        <v>171311.43139749288</v>
      </c>
      <c r="AE31" s="122">
        <v>176584.76689128345</v>
      </c>
      <c r="AF31" s="122">
        <v>177648.91363354173</v>
      </c>
      <c r="AG31" s="122">
        <v>2.0598279259646755</v>
      </c>
      <c r="AH31" s="122">
        <v>10.400894129577628</v>
      </c>
      <c r="AI31" s="122">
        <v>0.6026227516676631</v>
      </c>
    </row>
    <row r="32" spans="2:35" x14ac:dyDescent="0.55000000000000004">
      <c r="B32" s="128" t="s">
        <v>146</v>
      </c>
      <c r="C32" s="127"/>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row>
    <row r="33" spans="2:35" x14ac:dyDescent="0.55000000000000004">
      <c r="B33" s="129">
        <v>1</v>
      </c>
      <c r="C33" s="130" t="s">
        <v>147</v>
      </c>
      <c r="D33" s="122">
        <v>509990.02693613322</v>
      </c>
      <c r="E33" s="122">
        <v>533957.97124110896</v>
      </c>
      <c r="F33" s="122">
        <v>553204.72096339951</v>
      </c>
      <c r="G33" s="122">
        <v>647262.09442876512</v>
      </c>
      <c r="H33" s="122">
        <v>621775.08470970951</v>
      </c>
      <c r="I33" s="122">
        <v>4.6996879527233002</v>
      </c>
      <c r="J33" s="122">
        <v>3.6045440055890543</v>
      </c>
      <c r="K33" s="122">
        <v>-3.9376645710858811</v>
      </c>
      <c r="L33" s="122">
        <v>420837.94015054323</v>
      </c>
      <c r="M33" s="122">
        <v>450799.25214382139</v>
      </c>
      <c r="N33" s="122">
        <v>477887.17541592952</v>
      </c>
      <c r="O33" s="122">
        <v>574754.14392346714</v>
      </c>
      <c r="P33" s="122">
        <v>557587.40768766147</v>
      </c>
      <c r="Q33" s="122">
        <v>7.119441274710165</v>
      </c>
      <c r="R33" s="122">
        <v>6.008867583519713</v>
      </c>
      <c r="S33" s="122">
        <v>-2.986795362622352</v>
      </c>
      <c r="T33" s="122">
        <v>69497.109994179977</v>
      </c>
      <c r="U33" s="122">
        <v>64562.361852617607</v>
      </c>
      <c r="V33" s="122">
        <v>56513.499837580006</v>
      </c>
      <c r="W33" s="122">
        <v>54761.714695929993</v>
      </c>
      <c r="X33" s="122">
        <v>47626.459215160008</v>
      </c>
      <c r="Y33" s="122">
        <v>-7.100654976876017</v>
      </c>
      <c r="Z33" s="122">
        <v>-12.466799540785065</v>
      </c>
      <c r="AA33" s="122">
        <v>-13.029633296695811</v>
      </c>
      <c r="AB33" s="122">
        <v>19654.976791409998</v>
      </c>
      <c r="AC33" s="122">
        <v>18596.357244669998</v>
      </c>
      <c r="AD33" s="122">
        <v>18804.045709890001</v>
      </c>
      <c r="AE33" s="122">
        <v>17746.235809367998</v>
      </c>
      <c r="AF33" s="122">
        <v>16561.217806887998</v>
      </c>
      <c r="AG33" s="122">
        <v>-5.3860141297523532</v>
      </c>
      <c r="AH33" s="122">
        <v>1.1168314659427903</v>
      </c>
      <c r="AI33" s="122">
        <v>-6.6775835331878772</v>
      </c>
    </row>
    <row r="34" spans="2:35" x14ac:dyDescent="0.55000000000000004">
      <c r="B34" s="123"/>
      <c r="C34" s="124" t="s">
        <v>148</v>
      </c>
      <c r="D34" s="122">
        <v>111630.7415028454</v>
      </c>
      <c r="E34" s="122">
        <v>102133.60142030151</v>
      </c>
      <c r="F34" s="122">
        <v>103855.10444570066</v>
      </c>
      <c r="G34" s="122">
        <v>101206.05182832436</v>
      </c>
      <c r="H34" s="122">
        <v>95051.493219023658</v>
      </c>
      <c r="I34" s="122">
        <v>-8.5076386665536745</v>
      </c>
      <c r="J34" s="122">
        <v>1.6855373745760454</v>
      </c>
      <c r="K34" s="122">
        <v>-6.0812174766231832</v>
      </c>
      <c r="L34" s="122">
        <v>102536.97160619539</v>
      </c>
      <c r="M34" s="122">
        <v>92853.206953431509</v>
      </c>
      <c r="N34" s="122">
        <v>95351.922453700667</v>
      </c>
      <c r="O34" s="122">
        <v>92516.681163296365</v>
      </c>
      <c r="P34" s="122">
        <v>87145.494621355654</v>
      </c>
      <c r="Q34" s="122">
        <v>-9.4441643828562469</v>
      </c>
      <c r="R34" s="122">
        <v>2.6910324371122889</v>
      </c>
      <c r="S34" s="122">
        <v>-5.8056449928812714</v>
      </c>
      <c r="T34" s="122">
        <v>7505.3872590300007</v>
      </c>
      <c r="U34" s="122">
        <v>7574.1256791599999</v>
      </c>
      <c r="V34" s="122">
        <v>7021.743014669999</v>
      </c>
      <c r="W34" s="122">
        <v>7372.4797373899992</v>
      </c>
      <c r="X34" s="122">
        <v>6708.5959208000013</v>
      </c>
      <c r="Y34" s="122">
        <v>0.91587512441058727</v>
      </c>
      <c r="Z34" s="122">
        <v>-7.2931148527949778</v>
      </c>
      <c r="AA34" s="122">
        <v>-9.0048396197751526</v>
      </c>
      <c r="AB34" s="122">
        <v>1588.3826376200002</v>
      </c>
      <c r="AC34" s="122">
        <v>1706.26878771</v>
      </c>
      <c r="AD34" s="122">
        <v>1481.4389773299999</v>
      </c>
      <c r="AE34" s="122">
        <v>1316.8909276380002</v>
      </c>
      <c r="AF34" s="122">
        <v>1197.4026768680003</v>
      </c>
      <c r="AG34" s="122">
        <v>7.4220274745337935</v>
      </c>
      <c r="AH34" s="122">
        <v>-13.176695364742974</v>
      </c>
      <c r="AI34" s="122">
        <v>-9.0736507984721566</v>
      </c>
    </row>
    <row r="35" spans="2:35" x14ac:dyDescent="0.55000000000000004">
      <c r="B35" s="123"/>
      <c r="C35" s="124" t="s">
        <v>149</v>
      </c>
      <c r="D35" s="122">
        <v>108250.19529185951</v>
      </c>
      <c r="E35" s="122">
        <v>99262.110812418818</v>
      </c>
      <c r="F35" s="122">
        <v>100578.55075710831</v>
      </c>
      <c r="G35" s="122">
        <v>97078.218166533305</v>
      </c>
      <c r="H35" s="122">
        <v>91048.910280223296</v>
      </c>
      <c r="I35" s="122">
        <v>-8.3030701098011797</v>
      </c>
      <c r="J35" s="122">
        <v>1.3262260896932399</v>
      </c>
      <c r="K35" s="122">
        <v>-6.2107751872665133</v>
      </c>
      <c r="L35" s="122">
        <v>99279.350243529509</v>
      </c>
      <c r="M35" s="122">
        <v>90214.978768648813</v>
      </c>
      <c r="N35" s="122">
        <v>92309.234396038315</v>
      </c>
      <c r="O35" s="122">
        <v>88821.877161405311</v>
      </c>
      <c r="P35" s="122">
        <v>83488.456083365294</v>
      </c>
      <c r="Q35" s="122">
        <v>-9.1301665452080503</v>
      </c>
      <c r="R35" s="122">
        <v>2.3213993950893745</v>
      </c>
      <c r="S35" s="122">
        <v>-6.0046240858671283</v>
      </c>
      <c r="T35" s="122">
        <v>7382.5224307099998</v>
      </c>
      <c r="U35" s="122">
        <v>7340.9925240600005</v>
      </c>
      <c r="V35" s="122">
        <v>6787.9121237399995</v>
      </c>
      <c r="W35" s="122">
        <v>6939.7131494899995</v>
      </c>
      <c r="X35" s="122">
        <v>6363.1945919900018</v>
      </c>
      <c r="Y35" s="122">
        <v>-0.56254503882144113</v>
      </c>
      <c r="Z35" s="122">
        <v>-7.5341336795173399</v>
      </c>
      <c r="AA35" s="122">
        <v>-8.3075517564855073</v>
      </c>
      <c r="AB35" s="122">
        <v>1588.3226176200001</v>
      </c>
      <c r="AC35" s="122">
        <v>1706.1395197100001</v>
      </c>
      <c r="AD35" s="122">
        <v>1481.4042373299999</v>
      </c>
      <c r="AE35" s="122">
        <v>1316.6278556380003</v>
      </c>
      <c r="AF35" s="122">
        <v>1197.259604868</v>
      </c>
      <c r="AG35" s="122">
        <v>7.4179006749269778</v>
      </c>
      <c r="AH35" s="122">
        <v>-13.172424302812194</v>
      </c>
      <c r="AI35" s="122">
        <v>-9.0663284293993076</v>
      </c>
    </row>
    <row r="36" spans="2:35" x14ac:dyDescent="0.55000000000000004">
      <c r="B36" s="123"/>
      <c r="C36" s="124" t="s">
        <v>150</v>
      </c>
      <c r="D36" s="122">
        <v>3380.5462109858704</v>
      </c>
      <c r="E36" s="122">
        <v>2871.4906078827225</v>
      </c>
      <c r="F36" s="122">
        <v>3276.5536885923912</v>
      </c>
      <c r="G36" s="122">
        <v>4127.8336617910891</v>
      </c>
      <c r="H36" s="122">
        <v>4002.5829388003276</v>
      </c>
      <c r="I36" s="122">
        <v>-15.058496398515047</v>
      </c>
      <c r="J36" s="122">
        <v>14.106265388352405</v>
      </c>
      <c r="K36" s="122">
        <v>-3.0342819350603101</v>
      </c>
      <c r="L36" s="122">
        <v>3257.6213626658705</v>
      </c>
      <c r="M36" s="122">
        <v>2638.2281847827226</v>
      </c>
      <c r="N36" s="122">
        <v>3042.6880576623912</v>
      </c>
      <c r="O36" s="122">
        <v>3694.8040018910897</v>
      </c>
      <c r="P36" s="122">
        <v>3657.0385379903278</v>
      </c>
      <c r="Q36" s="122">
        <v>-19.013574327269598</v>
      </c>
      <c r="R36" s="122">
        <v>15.330733105150044</v>
      </c>
      <c r="S36" s="122">
        <v>-1.0219768323048668</v>
      </c>
      <c r="T36" s="122">
        <v>122.86482832</v>
      </c>
      <c r="U36" s="122">
        <v>233.13315510000001</v>
      </c>
      <c r="V36" s="122">
        <v>233.83089093000004</v>
      </c>
      <c r="W36" s="122">
        <v>432.76658789999993</v>
      </c>
      <c r="X36" s="122">
        <v>345.40132881</v>
      </c>
      <c r="Y36" s="122">
        <v>89.752563893862927</v>
      </c>
      <c r="Z36" s="122">
        <v>0.30026165658646126</v>
      </c>
      <c r="AA36" s="122">
        <v>-20.188552810961944</v>
      </c>
      <c r="AB36" s="122">
        <v>6.0020000000000004E-2</v>
      </c>
      <c r="AC36" s="122">
        <v>0.12926799999999999</v>
      </c>
      <c r="AD36" s="122">
        <v>3.4739999999999993E-2</v>
      </c>
      <c r="AE36" s="122">
        <v>0.26307199999999997</v>
      </c>
      <c r="AF36" s="122">
        <v>0.143072</v>
      </c>
      <c r="AG36" s="122">
        <v>116.66666666666669</v>
      </c>
      <c r="AH36" s="122">
        <v>-76.92307692307692</v>
      </c>
      <c r="AI36" s="122">
        <v>-46.153846153846153</v>
      </c>
    </row>
    <row r="37" spans="2:35" x14ac:dyDescent="0.55000000000000004">
      <c r="B37" s="123"/>
      <c r="C37" s="124" t="s">
        <v>151</v>
      </c>
      <c r="D37" s="122">
        <v>302877.15039848967</v>
      </c>
      <c r="E37" s="122">
        <v>362360.90427159169</v>
      </c>
      <c r="F37" s="122">
        <v>378811.04712008277</v>
      </c>
      <c r="G37" s="122">
        <v>483069.94337377005</v>
      </c>
      <c r="H37" s="122">
        <v>469894.82363503019</v>
      </c>
      <c r="I37" s="122">
        <v>19.639563433557136</v>
      </c>
      <c r="J37" s="122">
        <v>4.5397144117922119</v>
      </c>
      <c r="K37" s="122">
        <v>-2.7273731832703141</v>
      </c>
      <c r="L37" s="122">
        <v>268140.52997903962</v>
      </c>
      <c r="M37" s="122">
        <v>324727.40394791169</v>
      </c>
      <c r="N37" s="122">
        <v>340980.86502178275</v>
      </c>
      <c r="O37" s="122">
        <v>437980.75277814001</v>
      </c>
      <c r="P37" s="122">
        <v>428984.95980962017</v>
      </c>
      <c r="Q37" s="122">
        <v>21.103437813000518</v>
      </c>
      <c r="R37" s="122">
        <v>5.0052659553828756</v>
      </c>
      <c r="S37" s="122">
        <v>-2.0539236028067394</v>
      </c>
      <c r="T37" s="122">
        <v>24830.181434639995</v>
      </c>
      <c r="U37" s="122">
        <v>28784.823296199997</v>
      </c>
      <c r="V37" s="122">
        <v>29705.652310769998</v>
      </c>
      <c r="W37" s="122">
        <v>36081.133886889998</v>
      </c>
      <c r="X37" s="122">
        <v>32851.121043450003</v>
      </c>
      <c r="Y37" s="122">
        <v>15.926747208437472</v>
      </c>
      <c r="Z37" s="122">
        <v>3.1990125350792598</v>
      </c>
      <c r="AA37" s="122">
        <v>-8.9520755031785182</v>
      </c>
      <c r="AB37" s="122">
        <v>9906.43898481</v>
      </c>
      <c r="AC37" s="122">
        <v>8848.6770274800001</v>
      </c>
      <c r="AD37" s="122">
        <v>8124.5297875300002</v>
      </c>
      <c r="AE37" s="122">
        <v>9008.0567087400013</v>
      </c>
      <c r="AF37" s="122">
        <v>8058.7427819600016</v>
      </c>
      <c r="AG37" s="122">
        <v>-10.67749867762789</v>
      </c>
      <c r="AH37" s="122">
        <v>-8.1837064963361836</v>
      </c>
      <c r="AI37" s="122">
        <v>-10.538562132134997</v>
      </c>
    </row>
    <row r="38" spans="2:35" x14ac:dyDescent="0.55000000000000004">
      <c r="B38" s="123"/>
      <c r="C38" s="124" t="s">
        <v>152</v>
      </c>
      <c r="D38" s="122">
        <v>220659.37459660717</v>
      </c>
      <c r="E38" s="122">
        <v>288686.54107551085</v>
      </c>
      <c r="F38" s="122">
        <v>330451.84360352193</v>
      </c>
      <c r="G38" s="122">
        <v>385907.80001809413</v>
      </c>
      <c r="H38" s="122">
        <v>381730.280885418</v>
      </c>
      <c r="I38" s="122">
        <v>30.829042066058641</v>
      </c>
      <c r="J38" s="122">
        <v>14.467352721051716</v>
      </c>
      <c r="K38" s="122">
        <v>-1.0825176376326056</v>
      </c>
      <c r="L38" s="122">
        <v>203810.0339639872</v>
      </c>
      <c r="M38" s="122">
        <v>263538.71115712082</v>
      </c>
      <c r="N38" s="122">
        <v>301462.88905933197</v>
      </c>
      <c r="O38" s="122">
        <v>353434.35683472414</v>
      </c>
      <c r="P38" s="122">
        <v>350877.53487595799</v>
      </c>
      <c r="Q38" s="122">
        <v>29.306055251549701</v>
      </c>
      <c r="R38" s="122">
        <v>14.390364132844084</v>
      </c>
      <c r="S38" s="122">
        <v>-0.72342428732734365</v>
      </c>
      <c r="T38" s="122">
        <v>13434.948519290001</v>
      </c>
      <c r="U38" s="122">
        <v>20033.323639239999</v>
      </c>
      <c r="V38" s="122">
        <v>23445.397362230004</v>
      </c>
      <c r="W38" s="122">
        <v>26114.754552399998</v>
      </c>
      <c r="X38" s="122">
        <v>24883.047618439999</v>
      </c>
      <c r="Y38" s="122">
        <v>49.113468974577486</v>
      </c>
      <c r="Z38" s="122">
        <v>17.032024646938211</v>
      </c>
      <c r="AA38" s="122">
        <v>-4.7164916378674917</v>
      </c>
      <c r="AB38" s="122">
        <v>3414.39211333</v>
      </c>
      <c r="AC38" s="122">
        <v>5114.5062791500004</v>
      </c>
      <c r="AD38" s="122">
        <v>5543.55718196</v>
      </c>
      <c r="AE38" s="122">
        <v>6358.6886309700003</v>
      </c>
      <c r="AF38" s="122">
        <v>5969.6983910200006</v>
      </c>
      <c r="AG38" s="122">
        <v>49.792788755824624</v>
      </c>
      <c r="AH38" s="122">
        <v>8.388877917923713</v>
      </c>
      <c r="AI38" s="122">
        <v>-6.1174550103873564</v>
      </c>
    </row>
    <row r="39" spans="2:35" x14ac:dyDescent="0.55000000000000004">
      <c r="B39" s="123"/>
      <c r="C39" s="124" t="s">
        <v>153</v>
      </c>
      <c r="D39" s="122">
        <v>28862.046906782998</v>
      </c>
      <c r="E39" s="122">
        <v>23869.686825640605</v>
      </c>
      <c r="F39" s="122">
        <v>17710.643311504347</v>
      </c>
      <c r="G39" s="122">
        <v>58265.44924779953</v>
      </c>
      <c r="H39" s="122">
        <v>49588.573200885905</v>
      </c>
      <c r="I39" s="122">
        <v>-17.297316025715432</v>
      </c>
      <c r="J39" s="122">
        <v>-25.802806823213871</v>
      </c>
      <c r="K39" s="122">
        <v>-14.891981440115881</v>
      </c>
      <c r="L39" s="122">
        <v>17786.083927812997</v>
      </c>
      <c r="M39" s="122">
        <v>14124.422457510607</v>
      </c>
      <c r="N39" s="122">
        <v>10338.44508907435</v>
      </c>
      <c r="O39" s="122">
        <v>47059.926447119527</v>
      </c>
      <c r="P39" s="122">
        <v>40428.1755156859</v>
      </c>
      <c r="Q39" s="122">
        <v>-20.587223266734444</v>
      </c>
      <c r="R39" s="122">
        <v>-26.80442807563071</v>
      </c>
      <c r="S39" s="122">
        <v>-14.09213740861918</v>
      </c>
      <c r="T39" s="122">
        <v>6641.7348412099982</v>
      </c>
      <c r="U39" s="122">
        <v>7521.4972234299994</v>
      </c>
      <c r="V39" s="122">
        <v>5775.4868135799989</v>
      </c>
      <c r="W39" s="122">
        <v>9145.8101959699998</v>
      </c>
      <c r="X39" s="122">
        <v>7430.6959558199997</v>
      </c>
      <c r="Y39" s="122">
        <v>13.246097025925481</v>
      </c>
      <c r="Z39" s="122">
        <v>-23.213587715216384</v>
      </c>
      <c r="AA39" s="122">
        <v>-18.752959005271265</v>
      </c>
      <c r="AB39" s="122">
        <v>4434.2281377599993</v>
      </c>
      <c r="AC39" s="122">
        <v>2223.7671446999998</v>
      </c>
      <c r="AD39" s="122">
        <v>1596.7114088500002</v>
      </c>
      <c r="AE39" s="122">
        <v>2059.712604710001</v>
      </c>
      <c r="AF39" s="122">
        <v>1729.7017293800004</v>
      </c>
      <c r="AG39" s="122">
        <v>-49.849917573062285</v>
      </c>
      <c r="AH39" s="122">
        <v>-28.198060051174355</v>
      </c>
      <c r="AI39" s="122">
        <v>-16.022158459200568</v>
      </c>
    </row>
    <row r="40" spans="2:35" x14ac:dyDescent="0.55000000000000004">
      <c r="B40" s="123"/>
      <c r="C40" s="124" t="s">
        <v>154</v>
      </c>
      <c r="D40" s="122">
        <v>6958.6251440899996</v>
      </c>
      <c r="E40" s="122">
        <v>2939.2848326800035</v>
      </c>
      <c r="F40" s="122">
        <v>1620.7493582000093</v>
      </c>
      <c r="G40" s="122">
        <v>1428.3833842899994</v>
      </c>
      <c r="H40" s="122">
        <v>914.87826315999337</v>
      </c>
      <c r="I40" s="122">
        <v>-57.76065116265702</v>
      </c>
      <c r="J40" s="122">
        <v>-44.858945047766809</v>
      </c>
      <c r="K40" s="122">
        <v>-35.949817275514924</v>
      </c>
      <c r="L40" s="122">
        <v>149.01360265999756</v>
      </c>
      <c r="M40" s="122">
        <v>200.58406195000362</v>
      </c>
      <c r="N40" s="122">
        <v>153.42529295000918</v>
      </c>
      <c r="O40" s="122">
        <v>23.576553090000289</v>
      </c>
      <c r="P40" s="122">
        <v>23.576553089994832</v>
      </c>
      <c r="Q40" s="122">
        <v>34.608415542581049</v>
      </c>
      <c r="R40" s="122">
        <v>-23.506830192441921</v>
      </c>
      <c r="S40" s="122">
        <v>0</v>
      </c>
      <c r="T40" s="122">
        <v>4751.7928077100014</v>
      </c>
      <c r="U40" s="122">
        <v>1228.2971670999998</v>
      </c>
      <c r="V40" s="122">
        <v>483.06286853</v>
      </c>
      <c r="W40" s="122">
        <v>815.15135813999882</v>
      </c>
      <c r="X40" s="122">
        <v>531.95904850999852</v>
      </c>
      <c r="Y40" s="122">
        <v>-74.150793700900081</v>
      </c>
      <c r="Z40" s="122">
        <v>-60.67247415126598</v>
      </c>
      <c r="AA40" s="122">
        <v>-34.740845243206763</v>
      </c>
      <c r="AB40" s="122">
        <v>2057.8187337200002</v>
      </c>
      <c r="AC40" s="122">
        <v>1510.4036036300001</v>
      </c>
      <c r="AD40" s="122">
        <v>984.26119672000016</v>
      </c>
      <c r="AE40" s="122">
        <v>589.65547306000019</v>
      </c>
      <c r="AF40" s="122">
        <v>359.34266156000001</v>
      </c>
      <c r="AG40" s="122">
        <v>-26.601937973194936</v>
      </c>
      <c r="AH40" s="122">
        <v>-34.834480932203391</v>
      </c>
      <c r="AI40" s="122">
        <v>-39.059797171251233</v>
      </c>
    </row>
    <row r="41" spans="2:35" x14ac:dyDescent="0.55000000000000004">
      <c r="B41" s="123"/>
      <c r="C41" s="124" t="s">
        <v>155</v>
      </c>
      <c r="D41" s="122">
        <v>46397.103751009534</v>
      </c>
      <c r="E41" s="122">
        <v>46865.391537760319</v>
      </c>
      <c r="F41" s="122">
        <v>29027.810846856446</v>
      </c>
      <c r="G41" s="122">
        <v>37468.31072358643</v>
      </c>
      <c r="H41" s="122">
        <v>37661.091285566479</v>
      </c>
      <c r="I41" s="122">
        <v>1.0093087714533902</v>
      </c>
      <c r="J41" s="122">
        <v>-38.061307075434556</v>
      </c>
      <c r="K41" s="122">
        <v>0.51451479930639743</v>
      </c>
      <c r="L41" s="122">
        <v>46395.398484579535</v>
      </c>
      <c r="M41" s="122">
        <v>46863.68627133032</v>
      </c>
      <c r="N41" s="122">
        <v>29026.105580426447</v>
      </c>
      <c r="O41" s="122">
        <v>37462.892943206432</v>
      </c>
      <c r="P41" s="122">
        <v>37655.672864886481</v>
      </c>
      <c r="Q41" s="122">
        <v>1.0093457541049347</v>
      </c>
      <c r="R41" s="122">
        <v>-38.062687765304013</v>
      </c>
      <c r="S41" s="122">
        <v>0.51458923750943619</v>
      </c>
      <c r="T41" s="122">
        <v>1.70526643</v>
      </c>
      <c r="U41" s="122">
        <v>1.70526643</v>
      </c>
      <c r="V41" s="122">
        <v>1.70526643</v>
      </c>
      <c r="W41" s="122">
        <v>5.41778038</v>
      </c>
      <c r="X41" s="122">
        <v>5.4184206800000005</v>
      </c>
      <c r="Y41" s="122">
        <v>0</v>
      </c>
      <c r="Z41" s="122">
        <v>0</v>
      </c>
      <c r="AA41" s="122">
        <v>0</v>
      </c>
      <c r="AB41" s="122">
        <v>0</v>
      </c>
      <c r="AC41" s="122">
        <v>0</v>
      </c>
      <c r="AD41" s="122">
        <v>0</v>
      </c>
      <c r="AE41" s="122">
        <v>0</v>
      </c>
      <c r="AF41" s="122">
        <v>0</v>
      </c>
      <c r="AG41" s="122">
        <v>0</v>
      </c>
      <c r="AH41" s="122">
        <v>0</v>
      </c>
      <c r="AI41" s="122">
        <v>0</v>
      </c>
    </row>
    <row r="42" spans="2:35" x14ac:dyDescent="0.55000000000000004">
      <c r="B42" s="123"/>
      <c r="C42" s="124" t="s">
        <v>156</v>
      </c>
      <c r="D42" s="122">
        <v>95482.135034798106</v>
      </c>
      <c r="E42" s="122">
        <v>69463.465549215631</v>
      </c>
      <c r="F42" s="122">
        <v>70538.56939761604</v>
      </c>
      <c r="G42" s="122">
        <v>62986.099226670776</v>
      </c>
      <c r="H42" s="122">
        <v>56828.767855655598</v>
      </c>
      <c r="I42" s="122">
        <v>-27.249776764534186</v>
      </c>
      <c r="J42" s="122">
        <v>1.5477199742541019</v>
      </c>
      <c r="K42" s="122">
        <v>-9.7756965425705076</v>
      </c>
      <c r="L42" s="122">
        <v>50160.438565308119</v>
      </c>
      <c r="M42" s="122">
        <v>33218.641242478036</v>
      </c>
      <c r="N42" s="122">
        <v>41554.387940446039</v>
      </c>
      <c r="O42" s="122">
        <v>44256.70998203077</v>
      </c>
      <c r="P42" s="122">
        <v>41456.9532566856</v>
      </c>
      <c r="Q42" s="122">
        <v>-33.775222067430036</v>
      </c>
      <c r="R42" s="122">
        <v>25.093592031461853</v>
      </c>
      <c r="S42" s="122">
        <v>-6.3261819507143713</v>
      </c>
      <c r="T42" s="122">
        <v>37161.541300509998</v>
      </c>
      <c r="U42" s="122">
        <v>28203.4128772576</v>
      </c>
      <c r="V42" s="122">
        <v>19786.104512139998</v>
      </c>
      <c r="W42" s="122">
        <v>11308.10107165</v>
      </c>
      <c r="X42" s="122">
        <v>8066.7422509100015</v>
      </c>
      <c r="Y42" s="122">
        <v>-24.105917031425502</v>
      </c>
      <c r="Z42" s="122">
        <v>-29.845008103630025</v>
      </c>
      <c r="AA42" s="122">
        <v>-28.664054969446685</v>
      </c>
      <c r="AB42" s="122">
        <v>8160.1551689799999</v>
      </c>
      <c r="AC42" s="122">
        <v>8041.4114294800002</v>
      </c>
      <c r="AD42" s="122">
        <v>9198.0769450300013</v>
      </c>
      <c r="AE42" s="122">
        <v>7421.28817299</v>
      </c>
      <c r="AF42" s="122">
        <v>7305.0723480600018</v>
      </c>
      <c r="AG42" s="122">
        <v>-1.4552410737044372</v>
      </c>
      <c r="AH42" s="122">
        <v>14.38392023289448</v>
      </c>
      <c r="AI42" s="122">
        <v>-1.5660350154757496</v>
      </c>
    </row>
    <row r="43" spans="2:35" x14ac:dyDescent="0.55000000000000004">
      <c r="B43" s="120">
        <v>2</v>
      </c>
      <c r="C43" s="121" t="s">
        <v>157</v>
      </c>
      <c r="D43" s="122">
        <v>911434.87260287046</v>
      </c>
      <c r="E43" s="122">
        <v>1049633.4972723594</v>
      </c>
      <c r="F43" s="122">
        <v>1471177.2898763388</v>
      </c>
      <c r="G43" s="122">
        <v>1743211.6729947794</v>
      </c>
      <c r="H43" s="122">
        <v>1686757.7793668502</v>
      </c>
      <c r="I43" s="122">
        <v>15.162754306295083</v>
      </c>
      <c r="J43" s="122">
        <v>40.161045736440386</v>
      </c>
      <c r="K43" s="122">
        <v>-3.2384988565387416</v>
      </c>
      <c r="L43" s="122">
        <v>820455.80720290041</v>
      </c>
      <c r="M43" s="122">
        <v>937730.12458020938</v>
      </c>
      <c r="N43" s="122">
        <v>1330656.5752768088</v>
      </c>
      <c r="O43" s="122">
        <v>1599984.5613698994</v>
      </c>
      <c r="P43" s="122">
        <v>1537067.9372920501</v>
      </c>
      <c r="Q43" s="122">
        <v>14.293799686786292</v>
      </c>
      <c r="R43" s="122">
        <v>41.901870444344915</v>
      </c>
      <c r="S43" s="122">
        <v>-3.9323266969526323</v>
      </c>
      <c r="T43" s="122">
        <v>68793.373871589996</v>
      </c>
      <c r="U43" s="122">
        <v>91762.878843459985</v>
      </c>
      <c r="V43" s="122">
        <v>114973.43595286</v>
      </c>
      <c r="W43" s="122">
        <v>118004.33649863</v>
      </c>
      <c r="X43" s="122">
        <v>121679.79006355</v>
      </c>
      <c r="Y43" s="122">
        <v>33.389133284210395</v>
      </c>
      <c r="Z43" s="122">
        <v>25.294062261341402</v>
      </c>
      <c r="AA43" s="122">
        <v>3.1146735789548057</v>
      </c>
      <c r="AB43" s="122">
        <v>22185.691528380001</v>
      </c>
      <c r="AC43" s="122">
        <v>20140.493848689999</v>
      </c>
      <c r="AD43" s="122">
        <v>25547.278646670002</v>
      </c>
      <c r="AE43" s="122">
        <v>25222.775126249995</v>
      </c>
      <c r="AF43" s="122">
        <v>28010.052011250002</v>
      </c>
      <c r="AG43" s="122">
        <v>-9.2185548432345232</v>
      </c>
      <c r="AH43" s="122">
        <v>26.845374665661051</v>
      </c>
      <c r="AI43" s="122">
        <v>11.050605841227656</v>
      </c>
    </row>
    <row r="44" spans="2:35" x14ac:dyDescent="0.55000000000000004">
      <c r="B44" s="120"/>
      <c r="C44" s="124" t="s">
        <v>158</v>
      </c>
      <c r="D44" s="122">
        <v>909783.42010287044</v>
      </c>
      <c r="E44" s="122">
        <v>1029806.7593723001</v>
      </c>
      <c r="F44" s="122">
        <v>1164294.8679049811</v>
      </c>
      <c r="G44" s="122">
        <v>1172419.0720735691</v>
      </c>
      <c r="H44" s="122">
        <v>1097042.5307368997</v>
      </c>
      <c r="I44" s="122">
        <v>13.192517841224229</v>
      </c>
      <c r="J44" s="122">
        <v>13.059548181641389</v>
      </c>
      <c r="K44" s="122">
        <v>-6.42914653375606</v>
      </c>
      <c r="L44" s="122">
        <v>818804.3547029004</v>
      </c>
      <c r="M44" s="122">
        <v>918941.70168015012</v>
      </c>
      <c r="N44" s="122">
        <v>1049312.5201547712</v>
      </c>
      <c r="O44" s="122">
        <v>1070575.696750049</v>
      </c>
      <c r="P44" s="122">
        <v>994621.46428093978</v>
      </c>
      <c r="Q44" s="122">
        <v>12.229704202230971</v>
      </c>
      <c r="R44" s="122">
        <v>14.187061050771783</v>
      </c>
      <c r="S44" s="122">
        <v>-7.0947098836635272</v>
      </c>
      <c r="T44" s="122">
        <v>68793.373871589996</v>
      </c>
      <c r="U44" s="122">
        <v>90724.563843459997</v>
      </c>
      <c r="V44" s="122">
        <v>92535.069103540009</v>
      </c>
      <c r="W44" s="122">
        <v>86899.025197270006</v>
      </c>
      <c r="X44" s="122">
        <v>87485.614444710009</v>
      </c>
      <c r="Y44" s="122">
        <v>31.879801789038684</v>
      </c>
      <c r="Z44" s="122">
        <v>1.9956117726005056</v>
      </c>
      <c r="AA44" s="122">
        <v>0.67501328841070118</v>
      </c>
      <c r="AB44" s="122">
        <v>22185.691528380001</v>
      </c>
      <c r="AC44" s="122">
        <v>20140.493848689999</v>
      </c>
      <c r="AD44" s="122">
        <v>22447.278646670002</v>
      </c>
      <c r="AE44" s="122">
        <v>14944.350126249999</v>
      </c>
      <c r="AF44" s="122">
        <v>14935.452011249999</v>
      </c>
      <c r="AG44" s="122">
        <v>-9.2185548432345232</v>
      </c>
      <c r="AH44" s="122">
        <v>11.453494924900024</v>
      </c>
      <c r="AI44" s="122">
        <v>-5.9554279711058936E-2</v>
      </c>
    </row>
    <row r="45" spans="2:35" x14ac:dyDescent="0.55000000000000004">
      <c r="B45" s="120"/>
      <c r="C45" s="124" t="s">
        <v>159</v>
      </c>
      <c r="D45" s="122">
        <v>1651.4524999999999</v>
      </c>
      <c r="E45" s="122">
        <v>19826.737900059499</v>
      </c>
      <c r="F45" s="122">
        <v>306882.42197135754</v>
      </c>
      <c r="G45" s="122">
        <v>570792.6009212099</v>
      </c>
      <c r="H45" s="122">
        <v>589715.24862994999</v>
      </c>
      <c r="I45" s="122">
        <v>1100.565563595628</v>
      </c>
      <c r="J45" s="122">
        <v>1447.820872216007</v>
      </c>
      <c r="K45" s="122">
        <v>3.3151533499207986</v>
      </c>
      <c r="L45" s="122">
        <v>1651.4524999999999</v>
      </c>
      <c r="M45" s="122">
        <v>18788.422900059497</v>
      </c>
      <c r="N45" s="122">
        <v>281344.05512203753</v>
      </c>
      <c r="O45" s="122">
        <v>529408.86461984983</v>
      </c>
      <c r="P45" s="122">
        <v>542446.47301110998</v>
      </c>
      <c r="Q45" s="122">
        <v>1037.6923309818642</v>
      </c>
      <c r="R45" s="122">
        <v>1397.4333126468325</v>
      </c>
      <c r="S45" s="122">
        <v>2.4626731785335036</v>
      </c>
      <c r="T45" s="122">
        <v>0</v>
      </c>
      <c r="U45" s="122">
        <v>1038.3150000000001</v>
      </c>
      <c r="V45" s="122">
        <v>22438.366849319998</v>
      </c>
      <c r="W45" s="122">
        <v>31105.311301359998</v>
      </c>
      <c r="X45" s="122">
        <v>34194.175618840003</v>
      </c>
      <c r="Y45" s="122">
        <v>0</v>
      </c>
      <c r="Z45" s="122">
        <v>2061.0264658294168</v>
      </c>
      <c r="AA45" s="122">
        <v>9.9303623722123291</v>
      </c>
      <c r="AB45" s="122">
        <v>0</v>
      </c>
      <c r="AC45" s="122">
        <v>0</v>
      </c>
      <c r="AD45" s="122">
        <v>3100</v>
      </c>
      <c r="AE45" s="122">
        <v>10278.424999999999</v>
      </c>
      <c r="AF45" s="122">
        <v>13074.6</v>
      </c>
      <c r="AG45" s="122">
        <v>0</v>
      </c>
      <c r="AH45" s="122">
        <v>0</v>
      </c>
      <c r="AI45" s="122">
        <v>27.204252011250745</v>
      </c>
    </row>
    <row r="46" spans="2:35" x14ac:dyDescent="0.55000000000000004">
      <c r="B46" s="120">
        <v>3</v>
      </c>
      <c r="C46" s="121" t="s">
        <v>160</v>
      </c>
      <c r="D46" s="122">
        <v>186550.42475524952</v>
      </c>
      <c r="E46" s="122">
        <v>251756.74543330842</v>
      </c>
      <c r="F46" s="122">
        <v>275675.86231274292</v>
      </c>
      <c r="G46" s="122">
        <v>365368.01462231483</v>
      </c>
      <c r="H46" s="122">
        <v>399769.29341437557</v>
      </c>
      <c r="I46" s="122">
        <v>34.953729935317213</v>
      </c>
      <c r="J46" s="122">
        <v>9.500881307055316</v>
      </c>
      <c r="K46" s="122">
        <v>9.4155150583653917</v>
      </c>
      <c r="L46" s="122">
        <v>175229.82803952688</v>
      </c>
      <c r="M46" s="122">
        <v>238877.69428379368</v>
      </c>
      <c r="N46" s="122">
        <v>262628.9493158618</v>
      </c>
      <c r="O46" s="122">
        <v>349567.07130169251</v>
      </c>
      <c r="P46" s="122">
        <v>381333.10569214699</v>
      </c>
      <c r="Q46" s="122">
        <v>36.322502852396774</v>
      </c>
      <c r="R46" s="122">
        <v>9.9428540187239793</v>
      </c>
      <c r="S46" s="122">
        <v>9.087251839825754</v>
      </c>
      <c r="T46" s="122">
        <v>8446.005928699662</v>
      </c>
      <c r="U46" s="122">
        <v>8503.8813500968008</v>
      </c>
      <c r="V46" s="122">
        <v>9158.8327438167598</v>
      </c>
      <c r="W46" s="122">
        <v>11052.932705010879</v>
      </c>
      <c r="X46" s="122">
        <v>12496.448944873388</v>
      </c>
      <c r="Y46" s="122">
        <v>0.68517560362820995</v>
      </c>
      <c r="Z46" s="122">
        <v>7.7017784822927977</v>
      </c>
      <c r="AA46" s="122">
        <v>13.060066425825555</v>
      </c>
      <c r="AB46" s="122">
        <v>2874.5907870229735</v>
      </c>
      <c r="AC46" s="122">
        <v>4375.1697994179349</v>
      </c>
      <c r="AD46" s="122">
        <v>3888.080253064325</v>
      </c>
      <c r="AE46" s="122">
        <v>4748.0106156114398</v>
      </c>
      <c r="AF46" s="122">
        <v>5939.7387773551509</v>
      </c>
      <c r="AG46" s="122">
        <v>52.201531348818435</v>
      </c>
      <c r="AH46" s="122">
        <v>-11.133053115650366</v>
      </c>
      <c r="AI46" s="122">
        <v>25.099568029553424</v>
      </c>
    </row>
    <row r="47" spans="2:35" ht="31.35" x14ac:dyDescent="0.55000000000000004">
      <c r="B47" s="120">
        <v>4</v>
      </c>
      <c r="C47" s="131" t="s">
        <v>161</v>
      </c>
      <c r="D47" s="122">
        <v>4713536.5536289858</v>
      </c>
      <c r="E47" s="122">
        <v>4877407.263571131</v>
      </c>
      <c r="F47" s="122">
        <v>5168664.376011054</v>
      </c>
      <c r="G47" s="122">
        <v>5591287.0365709886</v>
      </c>
      <c r="H47" s="122">
        <v>5573785.7674729927</v>
      </c>
      <c r="I47" s="122">
        <v>3.4765978424416795</v>
      </c>
      <c r="J47" s="122">
        <v>5.9715562895192829</v>
      </c>
      <c r="K47" s="122">
        <v>-0.31300968587011557</v>
      </c>
      <c r="L47" s="122">
        <v>4182298.6092667924</v>
      </c>
      <c r="M47" s="122">
        <v>4312590.5146818478</v>
      </c>
      <c r="N47" s="122">
        <v>4567541.384998708</v>
      </c>
      <c r="O47" s="122">
        <v>4960491.8372377604</v>
      </c>
      <c r="P47" s="122">
        <v>4950267.710897753</v>
      </c>
      <c r="Q47" s="122">
        <v>3.1153179662606614</v>
      </c>
      <c r="R47" s="122">
        <v>5.9117801564702726</v>
      </c>
      <c r="S47" s="122">
        <v>-0.20611121497177765</v>
      </c>
      <c r="T47" s="122">
        <v>444934.48772731348</v>
      </c>
      <c r="U47" s="122">
        <v>471886.16158634529</v>
      </c>
      <c r="V47" s="122">
        <v>501432.16691946611</v>
      </c>
      <c r="W47" s="122">
        <v>526613.4781162187</v>
      </c>
      <c r="X47" s="122">
        <v>520975.65131250495</v>
      </c>
      <c r="Y47" s="122">
        <v>6.057446794021291</v>
      </c>
      <c r="Z47" s="122">
        <v>6.2612580118899883</v>
      </c>
      <c r="AA47" s="122">
        <v>-1.0705821658799843</v>
      </c>
      <c r="AB47" s="122">
        <v>86303.456634880014</v>
      </c>
      <c r="AC47" s="122">
        <v>92930.587302938322</v>
      </c>
      <c r="AD47" s="122">
        <v>99690.824092879717</v>
      </c>
      <c r="AE47" s="122">
        <v>104181.7212170097</v>
      </c>
      <c r="AF47" s="122">
        <v>102542.4052627347</v>
      </c>
      <c r="AG47" s="122">
        <v>7.6788694219211955</v>
      </c>
      <c r="AH47" s="122">
        <v>7.2744937915491663</v>
      </c>
      <c r="AI47" s="122">
        <v>-1.5735102088926902</v>
      </c>
    </row>
    <row r="48" spans="2:35" x14ac:dyDescent="0.55000000000000004">
      <c r="B48" s="123"/>
      <c r="C48" s="121" t="s">
        <v>162</v>
      </c>
      <c r="D48" s="122">
        <v>4709049.9857973848</v>
      </c>
      <c r="E48" s="122">
        <v>4873807.1532605607</v>
      </c>
      <c r="F48" s="122">
        <v>5161710.5064102719</v>
      </c>
      <c r="G48" s="122">
        <v>5581201.5282670297</v>
      </c>
      <c r="H48" s="122">
        <v>5563530.1518899761</v>
      </c>
      <c r="I48" s="122">
        <v>3.4987345717262208</v>
      </c>
      <c r="J48" s="122">
        <v>5.9071553539002748</v>
      </c>
      <c r="K48" s="122">
        <v>-0.31662322001835846</v>
      </c>
      <c r="L48" s="122">
        <v>4177812.0414351914</v>
      </c>
      <c r="M48" s="122">
        <v>4308990.4043712774</v>
      </c>
      <c r="N48" s="122">
        <v>4560587.5153979259</v>
      </c>
      <c r="O48" s="122">
        <v>4950406.3289338015</v>
      </c>
      <c r="P48" s="122">
        <v>4940012.0953147365</v>
      </c>
      <c r="Q48" s="122">
        <v>3.1398818028204145</v>
      </c>
      <c r="R48" s="122">
        <v>5.8388879214026366</v>
      </c>
      <c r="S48" s="122">
        <v>-0.20996720889374845</v>
      </c>
      <c r="T48" s="122">
        <v>444934.48772731348</v>
      </c>
      <c r="U48" s="122">
        <v>471886.16158634529</v>
      </c>
      <c r="V48" s="122">
        <v>501432.16691946611</v>
      </c>
      <c r="W48" s="122">
        <v>526613.4781162187</v>
      </c>
      <c r="X48" s="122">
        <v>520975.65131250495</v>
      </c>
      <c r="Y48" s="122">
        <v>6.057446794021291</v>
      </c>
      <c r="Z48" s="122">
        <v>6.2612580118899883</v>
      </c>
      <c r="AA48" s="122">
        <v>-1.0705821658799843</v>
      </c>
      <c r="AB48" s="122">
        <v>86303.456634880014</v>
      </c>
      <c r="AC48" s="122">
        <v>92930.587302938322</v>
      </c>
      <c r="AD48" s="122">
        <v>99690.824092879717</v>
      </c>
      <c r="AE48" s="122">
        <v>104181.7212170097</v>
      </c>
      <c r="AF48" s="122">
        <v>102542.4052627347</v>
      </c>
      <c r="AG48" s="122">
        <v>7.6788694219211955</v>
      </c>
      <c r="AH48" s="122">
        <v>7.2744937915491663</v>
      </c>
      <c r="AI48" s="122">
        <v>-1.5735102088926902</v>
      </c>
    </row>
    <row r="49" spans="2:35" x14ac:dyDescent="0.55000000000000004">
      <c r="B49" s="123"/>
      <c r="C49" s="125" t="s">
        <v>163</v>
      </c>
      <c r="D49" s="122">
        <v>4493911.824770066</v>
      </c>
      <c r="E49" s="122">
        <v>4687782.1170081859</v>
      </c>
      <c r="F49" s="122">
        <v>4952706.6823178856</v>
      </c>
      <c r="G49" s="122">
        <v>5355345.7979937159</v>
      </c>
      <c r="H49" s="122">
        <v>5351437.3595516747</v>
      </c>
      <c r="I49" s="122">
        <v>4.314065512749643</v>
      </c>
      <c r="J49" s="122">
        <v>5.651383814740937</v>
      </c>
      <c r="K49" s="122">
        <v>-7.2982028536784288E-2</v>
      </c>
      <c r="L49" s="122">
        <v>4025451.8262732024</v>
      </c>
      <c r="M49" s="122">
        <v>4149538.7832152219</v>
      </c>
      <c r="N49" s="122">
        <v>4381897.17596344</v>
      </c>
      <c r="O49" s="122">
        <v>4749763.4225406721</v>
      </c>
      <c r="P49" s="122">
        <v>4749021.1767465957</v>
      </c>
      <c r="Q49" s="122">
        <v>3.0825595545630891</v>
      </c>
      <c r="R49" s="122">
        <v>5.5996199172766845</v>
      </c>
      <c r="S49" s="122">
        <v>-1.5626883580661024E-2</v>
      </c>
      <c r="T49" s="122">
        <v>386814.84805115324</v>
      </c>
      <c r="U49" s="122">
        <v>451918.39501076884</v>
      </c>
      <c r="V49" s="122">
        <v>476948.56911220599</v>
      </c>
      <c r="W49" s="122">
        <v>504466.41401849419</v>
      </c>
      <c r="X49" s="122">
        <v>501318.86832737486</v>
      </c>
      <c r="Y49" s="122">
        <v>16.830674934015601</v>
      </c>
      <c r="Z49" s="122">
        <v>5.5386481276265762</v>
      </c>
      <c r="AA49" s="122">
        <v>-0.62393450537172124</v>
      </c>
      <c r="AB49" s="122">
        <v>81645.150445709645</v>
      </c>
      <c r="AC49" s="122">
        <v>86324.938782195924</v>
      </c>
      <c r="AD49" s="122">
        <v>93860.937242239699</v>
      </c>
      <c r="AE49" s="122">
        <v>101115.96143454968</v>
      </c>
      <c r="AF49" s="122">
        <v>101097.3144777047</v>
      </c>
      <c r="AG49" s="122">
        <v>5.7318652730750186</v>
      </c>
      <c r="AH49" s="122">
        <v>8.7298062413944333</v>
      </c>
      <c r="AI49" s="122">
        <v>-1.8444170435615435E-2</v>
      </c>
    </row>
    <row r="50" spans="2:35" x14ac:dyDescent="0.55000000000000004">
      <c r="B50" s="123"/>
      <c r="C50" s="125" t="s">
        <v>164</v>
      </c>
      <c r="D50" s="122">
        <v>212906.71667286041</v>
      </c>
      <c r="E50" s="122">
        <v>183328.12668779574</v>
      </c>
      <c r="F50" s="122">
        <v>202802.14531753401</v>
      </c>
      <c r="G50" s="122">
        <v>222405.40985440451</v>
      </c>
      <c r="H50" s="122">
        <v>207646.71842092005</v>
      </c>
      <c r="I50" s="122">
        <v>-13.89274608147643</v>
      </c>
      <c r="J50" s="122">
        <v>10.622494212972112</v>
      </c>
      <c r="K50" s="122">
        <v>-6.635940195879229</v>
      </c>
      <c r="L50" s="122">
        <v>150128.77080752986</v>
      </c>
      <c r="M50" s="122">
        <v>156762.06409947685</v>
      </c>
      <c r="N50" s="122">
        <v>172496.01316763402</v>
      </c>
      <c r="O50" s="122">
        <v>197192.58597422001</v>
      </c>
      <c r="P50" s="122">
        <v>186544.84465076003</v>
      </c>
      <c r="Q50" s="122">
        <v>4.4184002839695609</v>
      </c>
      <c r="R50" s="122">
        <v>10.036835443474022</v>
      </c>
      <c r="S50" s="122">
        <v>-5.399670444006035</v>
      </c>
      <c r="T50" s="122">
        <v>58119.639676160215</v>
      </c>
      <c r="U50" s="122">
        <v>19964.429067576501</v>
      </c>
      <c r="V50" s="122">
        <v>24480.260299260004</v>
      </c>
      <c r="W50" s="122">
        <v>22147.064097724502</v>
      </c>
      <c r="X50" s="122">
        <v>19656.782985130001</v>
      </c>
      <c r="Y50" s="122">
        <v>-65.649425908350437</v>
      </c>
      <c r="Z50" s="122">
        <v>22.619378564777449</v>
      </c>
      <c r="AA50" s="122">
        <v>-11.24429156736832</v>
      </c>
      <c r="AB50" s="122">
        <v>4658.3061891703492</v>
      </c>
      <c r="AC50" s="122">
        <v>6601.6335207423908</v>
      </c>
      <c r="AD50" s="122">
        <v>5825.87185064</v>
      </c>
      <c r="AE50" s="122">
        <v>3065.7597824599998</v>
      </c>
      <c r="AF50" s="122">
        <v>1445.09078503</v>
      </c>
      <c r="AG50" s="122">
        <v>41.717275149142061</v>
      </c>
      <c r="AH50" s="122">
        <v>-11.75103724383221</v>
      </c>
      <c r="AI50" s="122">
        <v>-52.863564010229119</v>
      </c>
    </row>
    <row r="51" spans="2:35" x14ac:dyDescent="0.55000000000000004">
      <c r="B51" s="120"/>
      <c r="C51" s="125" t="s">
        <v>165</v>
      </c>
      <c r="D51" s="122">
        <v>2231.4443544599999</v>
      </c>
      <c r="E51" s="122">
        <v>2696.9095645799998</v>
      </c>
      <c r="F51" s="122">
        <v>6201.678774850001</v>
      </c>
      <c r="G51" s="122">
        <v>3450.3204189100002</v>
      </c>
      <c r="H51" s="122">
        <v>4446.0739173800002</v>
      </c>
      <c r="I51" s="122">
        <v>20.859624278492802</v>
      </c>
      <c r="J51" s="122">
        <v>129.95502259993847</v>
      </c>
      <c r="K51" s="122">
        <v>28.859642004219886</v>
      </c>
      <c r="L51" s="122">
        <v>2231.4443544599999</v>
      </c>
      <c r="M51" s="122">
        <v>2689.5570565799999</v>
      </c>
      <c r="N51" s="122">
        <v>6194.326266850001</v>
      </c>
      <c r="O51" s="122">
        <v>3450.3204189100002</v>
      </c>
      <c r="P51" s="122">
        <v>4446.0739173800002</v>
      </c>
      <c r="Q51" s="122">
        <v>20.530240562148201</v>
      </c>
      <c r="R51" s="122">
        <v>130.31016225702345</v>
      </c>
      <c r="S51" s="122">
        <v>28.859642004219886</v>
      </c>
      <c r="T51" s="122">
        <v>0</v>
      </c>
      <c r="U51" s="122">
        <v>3.3375079999999997</v>
      </c>
      <c r="V51" s="122">
        <v>3.3375079999999997</v>
      </c>
      <c r="W51" s="122">
        <v>0</v>
      </c>
      <c r="X51" s="122">
        <v>0</v>
      </c>
      <c r="Y51" s="122">
        <v>0</v>
      </c>
      <c r="Z51" s="122">
        <v>0</v>
      </c>
      <c r="AA51" s="122">
        <v>0</v>
      </c>
      <c r="AB51" s="122">
        <v>0</v>
      </c>
      <c r="AC51" s="122">
        <v>4.0149999999999997</v>
      </c>
      <c r="AD51" s="122">
        <v>4.0149999999999997</v>
      </c>
      <c r="AE51" s="122">
        <v>0</v>
      </c>
      <c r="AF51" s="122">
        <v>0</v>
      </c>
      <c r="AG51" s="122">
        <v>0</v>
      </c>
      <c r="AH51" s="122">
        <v>0</v>
      </c>
      <c r="AI51" s="122">
        <v>0</v>
      </c>
    </row>
    <row r="52" spans="2:35" x14ac:dyDescent="0.55000000000000004">
      <c r="B52" s="120"/>
      <c r="C52" s="121" t="s">
        <v>166</v>
      </c>
      <c r="D52" s="122">
        <v>4486.5678315999994</v>
      </c>
      <c r="E52" s="122">
        <v>3600.1103105696802</v>
      </c>
      <c r="F52" s="122">
        <v>6953.8696007836979</v>
      </c>
      <c r="G52" s="122">
        <v>10085.508303959698</v>
      </c>
      <c r="H52" s="122">
        <v>10255.615583017698</v>
      </c>
      <c r="I52" s="122">
        <v>-19.758077997222813</v>
      </c>
      <c r="J52" s="122">
        <v>93.157153531419866</v>
      </c>
      <c r="K52" s="122">
        <v>1.686677223065572</v>
      </c>
      <c r="L52" s="122">
        <v>4486.5678315999994</v>
      </c>
      <c r="M52" s="122">
        <v>3600.1103105696802</v>
      </c>
      <c r="N52" s="122">
        <v>6953.8696007836979</v>
      </c>
      <c r="O52" s="122">
        <v>10085.508303959698</v>
      </c>
      <c r="P52" s="122">
        <v>10255.615583017698</v>
      </c>
      <c r="Q52" s="122">
        <v>-19.758077997222813</v>
      </c>
      <c r="R52" s="122">
        <v>93.157153531419866</v>
      </c>
      <c r="S52" s="122">
        <v>1.686677223065572</v>
      </c>
      <c r="T52" s="122">
        <v>0</v>
      </c>
      <c r="U52" s="122">
        <v>0</v>
      </c>
      <c r="V52" s="122">
        <v>0</v>
      </c>
      <c r="W52" s="122">
        <v>0</v>
      </c>
      <c r="X52" s="122">
        <v>0</v>
      </c>
      <c r="Y52" s="122">
        <v>0</v>
      </c>
      <c r="Z52" s="122">
        <v>0</v>
      </c>
      <c r="AA52" s="122">
        <v>0</v>
      </c>
      <c r="AB52" s="122">
        <v>0</v>
      </c>
      <c r="AC52" s="122">
        <v>0</v>
      </c>
      <c r="AD52" s="122">
        <v>0</v>
      </c>
      <c r="AE52" s="122">
        <v>0</v>
      </c>
      <c r="AF52" s="122">
        <v>0</v>
      </c>
      <c r="AG52" s="122">
        <v>0</v>
      </c>
      <c r="AH52" s="122">
        <v>0</v>
      </c>
      <c r="AI52" s="122">
        <v>0</v>
      </c>
    </row>
    <row r="53" spans="2:35" x14ac:dyDescent="0.55000000000000004">
      <c r="B53" s="120">
        <v>5</v>
      </c>
      <c r="C53" s="121" t="s">
        <v>167</v>
      </c>
      <c r="D53" s="122">
        <v>951.38964264000003</v>
      </c>
      <c r="E53" s="122">
        <v>797.34857437999995</v>
      </c>
      <c r="F53" s="122">
        <v>1531.9578568099998</v>
      </c>
      <c r="G53" s="122">
        <v>2651.2661553499997</v>
      </c>
      <c r="H53" s="122">
        <v>2449.3329762800008</v>
      </c>
      <c r="I53" s="122">
        <v>-16.191046784178933</v>
      </c>
      <c r="J53" s="122">
        <v>92.131435379695233</v>
      </c>
      <c r="K53" s="122">
        <v>-7.6167270779664111</v>
      </c>
      <c r="L53" s="122">
        <v>951.38964264000003</v>
      </c>
      <c r="M53" s="122">
        <v>797.34857437999995</v>
      </c>
      <c r="N53" s="122">
        <v>1531.9578568099998</v>
      </c>
      <c r="O53" s="122">
        <v>2651.2661553499997</v>
      </c>
      <c r="P53" s="122">
        <v>2449.3329762800008</v>
      </c>
      <c r="Q53" s="122">
        <v>-16.191046784178933</v>
      </c>
      <c r="R53" s="122">
        <v>92.131435379695233</v>
      </c>
      <c r="S53" s="122">
        <v>-7.6167270779664111</v>
      </c>
      <c r="T53" s="122">
        <v>0</v>
      </c>
      <c r="U53" s="122">
        <v>0</v>
      </c>
      <c r="V53" s="122">
        <v>0</v>
      </c>
      <c r="W53" s="122">
        <v>0</v>
      </c>
      <c r="X53" s="122">
        <v>0</v>
      </c>
      <c r="Y53" s="122">
        <v>0</v>
      </c>
      <c r="Z53" s="122">
        <v>0</v>
      </c>
      <c r="AA53" s="122">
        <v>0</v>
      </c>
      <c r="AB53" s="122">
        <v>0</v>
      </c>
      <c r="AC53" s="122">
        <v>0</v>
      </c>
      <c r="AD53" s="122">
        <v>0</v>
      </c>
      <c r="AE53" s="122">
        <v>0</v>
      </c>
      <c r="AF53" s="122">
        <v>0</v>
      </c>
      <c r="AG53" s="122">
        <v>0</v>
      </c>
      <c r="AH53" s="122">
        <v>0</v>
      </c>
      <c r="AI53" s="122">
        <v>0</v>
      </c>
    </row>
    <row r="54" spans="2:35" x14ac:dyDescent="0.55000000000000004">
      <c r="B54" s="120">
        <v>6</v>
      </c>
      <c r="C54" s="121" t="s">
        <v>168</v>
      </c>
      <c r="D54" s="122">
        <v>95029.967137001324</v>
      </c>
      <c r="E54" s="122">
        <v>136783.24993864039</v>
      </c>
      <c r="F54" s="122">
        <v>145320.0725379372</v>
      </c>
      <c r="G54" s="122">
        <v>152823.61321730795</v>
      </c>
      <c r="H54" s="122">
        <v>153110.41526967706</v>
      </c>
      <c r="I54" s="122">
        <v>43.936960097956465</v>
      </c>
      <c r="J54" s="122">
        <v>6.2411296704823194</v>
      </c>
      <c r="K54" s="122">
        <v>0.18767388101879467</v>
      </c>
      <c r="L54" s="122">
        <v>85849.503580889839</v>
      </c>
      <c r="M54" s="122">
        <v>124601.67043771812</v>
      </c>
      <c r="N54" s="122">
        <v>132130.37198715727</v>
      </c>
      <c r="O54" s="122">
        <v>137526.73638885102</v>
      </c>
      <c r="P54" s="122">
        <v>137723.78426308846</v>
      </c>
      <c r="Q54" s="122">
        <v>45.139657190781541</v>
      </c>
      <c r="R54" s="122">
        <v>6.0422143619744402</v>
      </c>
      <c r="S54" s="122">
        <v>0.14327395530498879</v>
      </c>
      <c r="T54" s="122">
        <v>6409.8133129031794</v>
      </c>
      <c r="U54" s="122">
        <v>8845.4951648064962</v>
      </c>
      <c r="V54" s="122">
        <v>9710.1999043100423</v>
      </c>
      <c r="W54" s="122">
        <v>11173.415491101901</v>
      </c>
      <c r="X54" s="122">
        <v>11241.66736482241</v>
      </c>
      <c r="Y54" s="122">
        <v>37.999410278931819</v>
      </c>
      <c r="Z54" s="122">
        <v>9.7755921089819768</v>
      </c>
      <c r="AA54" s="122">
        <v>0.61082461770881247</v>
      </c>
      <c r="AB54" s="122">
        <v>2770.6502432083084</v>
      </c>
      <c r="AC54" s="122">
        <v>3336.0843361157895</v>
      </c>
      <c r="AD54" s="122">
        <v>3479.5006464698945</v>
      </c>
      <c r="AE54" s="122">
        <v>4123.4613373550374</v>
      </c>
      <c r="AF54" s="122">
        <v>4144.9636417661959</v>
      </c>
      <c r="AG54" s="122">
        <v>20.407846534206769</v>
      </c>
      <c r="AH54" s="122">
        <v>4.299057576556919</v>
      </c>
      <c r="AI54" s="122">
        <v>0.52140677974322536</v>
      </c>
    </row>
    <row r="55" spans="2:35" x14ac:dyDescent="0.55000000000000004">
      <c r="B55" s="120">
        <v>7</v>
      </c>
      <c r="C55" s="121" t="s">
        <v>169</v>
      </c>
      <c r="D55" s="122">
        <v>353787.736545138</v>
      </c>
      <c r="E55" s="122">
        <v>417471.87427147722</v>
      </c>
      <c r="F55" s="122">
        <v>476248.06997281825</v>
      </c>
      <c r="G55" s="122">
        <v>546868.91686413833</v>
      </c>
      <c r="H55" s="122">
        <v>585282.62501508801</v>
      </c>
      <c r="I55" s="122">
        <v>18.000660509038557</v>
      </c>
      <c r="J55" s="122">
        <v>14.079080346179973</v>
      </c>
      <c r="K55" s="122">
        <v>7.0242993512960945</v>
      </c>
      <c r="L55" s="122">
        <v>322804.21997657645</v>
      </c>
      <c r="M55" s="122">
        <v>381569.65779862151</v>
      </c>
      <c r="N55" s="122">
        <v>436639.51603132515</v>
      </c>
      <c r="O55" s="122">
        <v>503139.7798457332</v>
      </c>
      <c r="P55" s="122">
        <v>541065.85665396752</v>
      </c>
      <c r="Q55" s="122">
        <v>18.204669071550555</v>
      </c>
      <c r="R55" s="122">
        <v>14.432452517320179</v>
      </c>
      <c r="S55" s="122">
        <v>7.5378814213417904</v>
      </c>
      <c r="T55" s="122">
        <v>13337.997873411678</v>
      </c>
      <c r="U55" s="122">
        <v>21777.266514085717</v>
      </c>
      <c r="V55" s="122">
        <v>22172.423643209735</v>
      </c>
      <c r="W55" s="122">
        <v>26828.495533679376</v>
      </c>
      <c r="X55" s="122">
        <v>26902.587959858138</v>
      </c>
      <c r="Y55" s="122">
        <v>63.27237966711651</v>
      </c>
      <c r="Z55" s="122">
        <v>1.814506593342498</v>
      </c>
      <c r="AA55" s="122">
        <v>0.27616154462605119</v>
      </c>
      <c r="AB55" s="122">
        <v>17645.518695149854</v>
      </c>
      <c r="AC55" s="122">
        <v>14124.949958770003</v>
      </c>
      <c r="AD55" s="122">
        <v>17436.130298283351</v>
      </c>
      <c r="AE55" s="122">
        <v>16900.641484725798</v>
      </c>
      <c r="AF55" s="122">
        <v>17314.180401262391</v>
      </c>
      <c r="AG55" s="122">
        <v>-19.951636449365051</v>
      </c>
      <c r="AH55" s="122">
        <v>23.442065281647015</v>
      </c>
      <c r="AI55" s="122">
        <v>2.4468895852464811</v>
      </c>
    </row>
    <row r="56" spans="2:35" x14ac:dyDescent="0.55000000000000004">
      <c r="B56" s="123"/>
      <c r="C56" s="132" t="s">
        <v>170</v>
      </c>
      <c r="D56" s="122">
        <v>199589.39434813219</v>
      </c>
      <c r="E56" s="122">
        <v>244587.51850679339</v>
      </c>
      <c r="F56" s="122">
        <v>282704.16803693888</v>
      </c>
      <c r="G56" s="122">
        <v>315816.18780156854</v>
      </c>
      <c r="H56" s="122">
        <v>340618.1891725061</v>
      </c>
      <c r="I56" s="122">
        <v>22.545351734378251</v>
      </c>
      <c r="J56" s="122">
        <v>15.584053511806324</v>
      </c>
      <c r="K56" s="122">
        <v>7.8533022642062775</v>
      </c>
      <c r="L56" s="122">
        <v>177208.35715326833</v>
      </c>
      <c r="M56" s="122">
        <v>218341.36140895297</v>
      </c>
      <c r="N56" s="122">
        <v>255667.74647419929</v>
      </c>
      <c r="O56" s="122">
        <v>289037.49502969335</v>
      </c>
      <c r="P56" s="122">
        <v>311955.54483573785</v>
      </c>
      <c r="Q56" s="122">
        <v>23.211658863046868</v>
      </c>
      <c r="R56" s="122">
        <v>17.095428003196471</v>
      </c>
      <c r="S56" s="122">
        <v>7.9290887860571662</v>
      </c>
      <c r="T56" s="122">
        <v>7075.2862288649558</v>
      </c>
      <c r="U56" s="122">
        <v>14548.843966573815</v>
      </c>
      <c r="V56" s="122">
        <v>13385.611149459613</v>
      </c>
      <c r="W56" s="122">
        <v>13660.953835101087</v>
      </c>
      <c r="X56" s="122">
        <v>15429.611296851814</v>
      </c>
      <c r="Y56" s="122">
        <v>105.62888588312281</v>
      </c>
      <c r="Z56" s="122">
        <v>-7.9953453333736544</v>
      </c>
      <c r="AA56" s="122">
        <v>12.946830198485463</v>
      </c>
      <c r="AB56" s="122">
        <v>15305.750965998903</v>
      </c>
      <c r="AC56" s="122">
        <v>11697.313131266572</v>
      </c>
      <c r="AD56" s="122">
        <v>13650.81041328</v>
      </c>
      <c r="AE56" s="122">
        <v>13117.738936774118</v>
      </c>
      <c r="AF56" s="122">
        <v>13233.033039916452</v>
      </c>
      <c r="AG56" s="122">
        <v>-23.575715009065224</v>
      </c>
      <c r="AH56" s="122">
        <v>16.700420865993976</v>
      </c>
      <c r="AI56" s="122">
        <v>0.87888614959589739</v>
      </c>
    </row>
    <row r="57" spans="2:35" x14ac:dyDescent="0.55000000000000004">
      <c r="B57" s="120"/>
      <c r="C57" s="132" t="s">
        <v>171</v>
      </c>
      <c r="D57" s="122">
        <v>154198.34219700578</v>
      </c>
      <c r="E57" s="122">
        <v>172884.35576468383</v>
      </c>
      <c r="F57" s="122">
        <v>193543.90193587943</v>
      </c>
      <c r="G57" s="122">
        <v>231052.72906256985</v>
      </c>
      <c r="H57" s="122">
        <v>244664.43584258194</v>
      </c>
      <c r="I57" s="122">
        <v>12.11817195956843</v>
      </c>
      <c r="J57" s="122">
        <v>11.94991843102523</v>
      </c>
      <c r="K57" s="122">
        <v>5.8911703834877827</v>
      </c>
      <c r="L57" s="122">
        <v>145595.86282330813</v>
      </c>
      <c r="M57" s="122">
        <v>163228.29638966851</v>
      </c>
      <c r="N57" s="122">
        <v>180971.76955712595</v>
      </c>
      <c r="O57" s="122">
        <v>214102.2848160399</v>
      </c>
      <c r="P57" s="122">
        <v>229110.31181822967</v>
      </c>
      <c r="Q57" s="122">
        <v>12.110536659490183</v>
      </c>
      <c r="R57" s="122">
        <v>10.87033927327553</v>
      </c>
      <c r="S57" s="122">
        <v>7.0097478644318967</v>
      </c>
      <c r="T57" s="122">
        <v>6262.71164454672</v>
      </c>
      <c r="U57" s="122">
        <v>7228.422547511901</v>
      </c>
      <c r="V57" s="122">
        <v>8786.8124937501216</v>
      </c>
      <c r="W57" s="122">
        <v>13167.541698578287</v>
      </c>
      <c r="X57" s="122">
        <v>11472.976663006326</v>
      </c>
      <c r="Y57" s="122">
        <v>15.420001884168355</v>
      </c>
      <c r="Z57" s="122">
        <v>21.559206576264238</v>
      </c>
      <c r="AA57" s="122">
        <v>-12.869222345252044</v>
      </c>
      <c r="AB57" s="122">
        <v>2339.7677291509563</v>
      </c>
      <c r="AC57" s="122">
        <v>2427.6368275034292</v>
      </c>
      <c r="AD57" s="122">
        <v>3785.3198850033527</v>
      </c>
      <c r="AE57" s="122">
        <v>3782.9025479516813</v>
      </c>
      <c r="AF57" s="122">
        <v>4081.1473613459389</v>
      </c>
      <c r="AG57" s="122">
        <v>3.7554973352081569</v>
      </c>
      <c r="AH57" s="122">
        <v>55.925919823367565</v>
      </c>
      <c r="AI57" s="122">
        <v>7.8841629437732959</v>
      </c>
    </row>
    <row r="58" spans="2:35" x14ac:dyDescent="0.55000000000000004">
      <c r="B58" s="120">
        <v>8</v>
      </c>
      <c r="C58" s="121" t="s">
        <v>172</v>
      </c>
      <c r="D58" s="122">
        <v>218.54815462000002</v>
      </c>
      <c r="E58" s="122">
        <v>364.12874162000003</v>
      </c>
      <c r="F58" s="122">
        <v>1003.8089286200001</v>
      </c>
      <c r="G58" s="122">
        <v>45.657506689999998</v>
      </c>
      <c r="H58" s="122">
        <v>45.657506689999998</v>
      </c>
      <c r="I58" s="122">
        <v>66.611759322809419</v>
      </c>
      <c r="J58" s="122">
        <v>175.67352319226649</v>
      </c>
      <c r="K58" s="122">
        <v>0</v>
      </c>
      <c r="L58" s="122">
        <v>218.54815462000002</v>
      </c>
      <c r="M58" s="122">
        <v>363.02270162000002</v>
      </c>
      <c r="N58" s="122">
        <v>1002.58078862</v>
      </c>
      <c r="O58" s="122">
        <v>45.386506689999997</v>
      </c>
      <c r="P58" s="122">
        <v>45.386506689999997</v>
      </c>
      <c r="Q58" s="122">
        <v>66.10386639212993</v>
      </c>
      <c r="R58" s="122">
        <v>176.17762106770979</v>
      </c>
      <c r="S58" s="122">
        <v>0</v>
      </c>
      <c r="T58" s="122">
        <v>0</v>
      </c>
      <c r="U58" s="122">
        <v>0</v>
      </c>
      <c r="V58" s="122">
        <v>0</v>
      </c>
      <c r="W58" s="122">
        <v>0</v>
      </c>
      <c r="X58" s="122">
        <v>0</v>
      </c>
      <c r="Y58" s="122">
        <v>0</v>
      </c>
      <c r="Z58" s="122">
        <v>0</v>
      </c>
      <c r="AA58" s="122">
        <v>0</v>
      </c>
      <c r="AB58" s="122">
        <v>0</v>
      </c>
      <c r="AC58" s="122">
        <v>1.1060399999999999</v>
      </c>
      <c r="AD58" s="122">
        <v>1.22814</v>
      </c>
      <c r="AE58" s="122">
        <v>0.27100000000000002</v>
      </c>
      <c r="AF58" s="122">
        <v>0.27100000000000002</v>
      </c>
      <c r="AG58" s="122">
        <v>0</v>
      </c>
      <c r="AH58" s="122">
        <v>10.8108108108108</v>
      </c>
      <c r="AI58" s="122">
        <v>0</v>
      </c>
    </row>
    <row r="59" spans="2:35" x14ac:dyDescent="0.55000000000000004">
      <c r="B59" s="120">
        <v>9</v>
      </c>
      <c r="C59" s="133" t="s">
        <v>173</v>
      </c>
      <c r="D59" s="122">
        <v>10521.347459907001</v>
      </c>
      <c r="E59" s="122">
        <v>18688.527416469999</v>
      </c>
      <c r="F59" s="122">
        <v>35509.288850465062</v>
      </c>
      <c r="G59" s="122">
        <v>50550.662184650006</v>
      </c>
      <c r="H59" s="122">
        <v>50563.440765200008</v>
      </c>
      <c r="I59" s="122">
        <v>77.624829513322894</v>
      </c>
      <c r="J59" s="122">
        <v>90.005794998322514</v>
      </c>
      <c r="K59" s="122">
        <v>2.5281569024022309E-2</v>
      </c>
      <c r="L59" s="122">
        <v>8664.5153711000021</v>
      </c>
      <c r="M59" s="122">
        <v>15306.011067009998</v>
      </c>
      <c r="N59" s="122">
        <v>30175.767985945062</v>
      </c>
      <c r="O59" s="122">
        <v>42772.790755440008</v>
      </c>
      <c r="P59" s="122">
        <v>42807.329027110005</v>
      </c>
      <c r="Q59" s="122">
        <v>76.651562925586177</v>
      </c>
      <c r="R59" s="122">
        <v>97.14981239395506</v>
      </c>
      <c r="S59" s="122">
        <v>8.0752272648103793E-2</v>
      </c>
      <c r="T59" s="122">
        <v>1257.5601360969999</v>
      </c>
      <c r="U59" s="122">
        <v>2268.6334853600001</v>
      </c>
      <c r="V59" s="122">
        <v>3369.08025761</v>
      </c>
      <c r="W59" s="122">
        <v>4686.8847339000004</v>
      </c>
      <c r="X59" s="122">
        <v>4685.7742761800009</v>
      </c>
      <c r="Y59" s="122">
        <v>80.399344762874151</v>
      </c>
      <c r="Z59" s="122">
        <v>48.507248868259687</v>
      </c>
      <c r="AA59" s="122">
        <v>-2.3683132488983558E-2</v>
      </c>
      <c r="AB59" s="122">
        <v>599.27195270999982</v>
      </c>
      <c r="AC59" s="122">
        <v>1113.8828641000002</v>
      </c>
      <c r="AD59" s="122">
        <v>1964.4406069100003</v>
      </c>
      <c r="AE59" s="122">
        <v>3090.98669531</v>
      </c>
      <c r="AF59" s="122">
        <v>3070.33746191</v>
      </c>
      <c r="AG59" s="122">
        <v>85.872811921170779</v>
      </c>
      <c r="AH59" s="122">
        <v>76.360110604373887</v>
      </c>
      <c r="AI59" s="122">
        <v>-0.66807074755983153</v>
      </c>
    </row>
    <row r="60" spans="2:35" x14ac:dyDescent="0.55000000000000004">
      <c r="B60" s="120">
        <v>10</v>
      </c>
      <c r="C60" s="133" t="s">
        <v>174</v>
      </c>
      <c r="D60" s="122">
        <v>3240.7040450181844</v>
      </c>
      <c r="E60" s="122">
        <v>2304.1546827322154</v>
      </c>
      <c r="F60" s="122">
        <v>2549.8676387795799</v>
      </c>
      <c r="G60" s="122">
        <v>10.201700789999995</v>
      </c>
      <c r="H60" s="122">
        <v>65.845691456044577</v>
      </c>
      <c r="I60" s="122">
        <v>-28.899620452371394</v>
      </c>
      <c r="J60" s="122">
        <v>10.664236269340094</v>
      </c>
      <c r="K60" s="122">
        <v>545.58823529411757</v>
      </c>
      <c r="L60" s="122">
        <v>3240.4642214581845</v>
      </c>
      <c r="M60" s="122">
        <v>2300.7456345822152</v>
      </c>
      <c r="N60" s="122">
        <v>2546.8844084995799</v>
      </c>
      <c r="O60" s="122">
        <v>0</v>
      </c>
      <c r="P60" s="122">
        <v>55.775149999999996</v>
      </c>
      <c r="Q60" s="122">
        <v>-28.999277880300944</v>
      </c>
      <c r="R60" s="122">
        <v>10.697815929588183</v>
      </c>
      <c r="S60" s="122">
        <v>0</v>
      </c>
      <c r="T60" s="122">
        <v>0.45800000000000002</v>
      </c>
      <c r="U60" s="122">
        <v>0.45800000000000002</v>
      </c>
      <c r="V60" s="122">
        <v>0</v>
      </c>
      <c r="W60" s="122">
        <v>10.050541409999996</v>
      </c>
      <c r="X60" s="122">
        <v>10.070541456044584</v>
      </c>
      <c r="Y60" s="122">
        <v>0</v>
      </c>
      <c r="Z60" s="122">
        <v>-100</v>
      </c>
      <c r="AA60" s="122">
        <v>0.19900497512437385</v>
      </c>
      <c r="AB60" s="122">
        <v>-0.21817644000000003</v>
      </c>
      <c r="AC60" s="122">
        <v>2.9510481500000001</v>
      </c>
      <c r="AD60" s="122">
        <v>2.9832302799999999</v>
      </c>
      <c r="AE60" s="122">
        <v>0.15115938000000001</v>
      </c>
      <c r="AF60" s="122">
        <v>0</v>
      </c>
      <c r="AG60" s="122">
        <v>-1440.9090909090912</v>
      </c>
      <c r="AH60" s="122">
        <v>1.0169491525423662</v>
      </c>
      <c r="AI60" s="122">
        <v>-100</v>
      </c>
    </row>
    <row r="61" spans="2:35" x14ac:dyDescent="0.55000000000000004">
      <c r="B61" s="120">
        <v>11</v>
      </c>
      <c r="C61" s="121" t="s">
        <v>144</v>
      </c>
      <c r="D61" s="122">
        <v>62.558810000000001</v>
      </c>
      <c r="E61" s="122">
        <v>1831.2114775800405</v>
      </c>
      <c r="F61" s="122">
        <v>496.91979121592004</v>
      </c>
      <c r="G61" s="122">
        <v>1481.1026639078759</v>
      </c>
      <c r="H61" s="122">
        <v>1035.8186586054799</v>
      </c>
      <c r="I61" s="122">
        <v>2827.1259590792838</v>
      </c>
      <c r="J61" s="122">
        <v>-72.863844124922863</v>
      </c>
      <c r="K61" s="122">
        <v>-30.064141516440486</v>
      </c>
      <c r="L61" s="122">
        <v>0</v>
      </c>
      <c r="M61" s="122">
        <v>1001.3189103296199</v>
      </c>
      <c r="N61" s="122">
        <v>0</v>
      </c>
      <c r="O61" s="122">
        <v>0</v>
      </c>
      <c r="P61" s="122">
        <v>0</v>
      </c>
      <c r="Q61" s="122">
        <v>0</v>
      </c>
      <c r="R61" s="122">
        <v>-100</v>
      </c>
      <c r="S61" s="122">
        <v>0</v>
      </c>
      <c r="T61" s="122">
        <v>56.128</v>
      </c>
      <c r="U61" s="122">
        <v>279.3361333257003</v>
      </c>
      <c r="V61" s="122">
        <v>0</v>
      </c>
      <c r="W61" s="122">
        <v>910.59020053059999</v>
      </c>
      <c r="X61" s="122">
        <v>970.07138871760242</v>
      </c>
      <c r="Y61" s="122">
        <v>397.66613219312302</v>
      </c>
      <c r="Z61" s="122">
        <v>-100</v>
      </c>
      <c r="AA61" s="122">
        <v>6.5320286846989335</v>
      </c>
      <c r="AB61" s="122">
        <v>6.4308100000000001</v>
      </c>
      <c r="AC61" s="122">
        <v>550.5564339247203</v>
      </c>
      <c r="AD61" s="122">
        <v>496.91979121592004</v>
      </c>
      <c r="AE61" s="122">
        <v>570.51246337727582</v>
      </c>
      <c r="AF61" s="122">
        <v>65.747269887877479</v>
      </c>
      <c r="AG61" s="122">
        <v>8462.3639191290822</v>
      </c>
      <c r="AH61" s="122">
        <v>-9.7428073234524728</v>
      </c>
      <c r="AI61" s="122">
        <v>-88.475223922455342</v>
      </c>
    </row>
    <row r="62" spans="2:35" x14ac:dyDescent="0.55000000000000004">
      <c r="B62" s="126" t="s">
        <v>145</v>
      </c>
      <c r="C62" s="127"/>
      <c r="D62" s="122">
        <v>6785324.1297175614</v>
      </c>
      <c r="E62" s="122">
        <v>7290995.9726208076</v>
      </c>
      <c r="F62" s="122">
        <v>8131382.2347401809</v>
      </c>
      <c r="G62" s="122">
        <v>9101560.2389096841</v>
      </c>
      <c r="H62" s="122">
        <v>9074641.0608469248</v>
      </c>
      <c r="I62" s="122">
        <v>7.4524345530417548</v>
      </c>
      <c r="J62" s="122">
        <v>11.526357488852113</v>
      </c>
      <c r="K62" s="122">
        <v>-0.29576445455685629</v>
      </c>
      <c r="L62" s="122">
        <v>6020550.8256070456</v>
      </c>
      <c r="M62" s="122">
        <v>6465937.3608139334</v>
      </c>
      <c r="N62" s="122">
        <v>7242741.1640656656</v>
      </c>
      <c r="O62" s="122">
        <v>8170933.5734848855</v>
      </c>
      <c r="P62" s="122">
        <v>8150403.6261467477</v>
      </c>
      <c r="Q62" s="122">
        <v>7.3977704461968692</v>
      </c>
      <c r="R62" s="122">
        <v>12.013784804126216</v>
      </c>
      <c r="S62" s="122">
        <v>-0.25125574481938184</v>
      </c>
      <c r="T62" s="122">
        <v>612732.93484419503</v>
      </c>
      <c r="U62" s="122">
        <v>669886.47293009749</v>
      </c>
      <c r="V62" s="122">
        <v>717329.63925885258</v>
      </c>
      <c r="W62" s="122">
        <v>754041.89851641154</v>
      </c>
      <c r="X62" s="122">
        <v>746588.52106712246</v>
      </c>
      <c r="Y62" s="122">
        <v>9.3276429585724934</v>
      </c>
      <c r="Z62" s="122">
        <v>7.0822702240873801</v>
      </c>
      <c r="AA62" s="122">
        <v>-0.98845700749520737</v>
      </c>
      <c r="AB62" s="122">
        <v>152040.36926632116</v>
      </c>
      <c r="AC62" s="122">
        <v>155172.13887677676</v>
      </c>
      <c r="AD62" s="122">
        <v>171311.43141566316</v>
      </c>
      <c r="AE62" s="122">
        <v>176584.76690838722</v>
      </c>
      <c r="AF62" s="122">
        <v>177648.91363305433</v>
      </c>
      <c r="AG62" s="122">
        <v>2.0598279259646755</v>
      </c>
      <c r="AH62" s="122">
        <v>10.400894129577628</v>
      </c>
      <c r="AI62" s="122">
        <v>0.6026227516676631</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72EA-DF4F-48B6-8A89-8C26A49F454E}">
  <sheetPr codeName="Sheet79"/>
  <dimension ref="B2:AH66"/>
  <sheetViews>
    <sheetView workbookViewId="0">
      <pane xSplit="2" ySplit="6" topLeftCell="C16"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6" style="34" bestFit="1" customWidth="1"/>
    <col min="3" max="3" width="12.703125" style="34" customWidth="1"/>
    <col min="4" max="7" width="12.703125" style="34" bestFit="1" customWidth="1"/>
    <col min="8" max="8" width="9.41015625" style="34" bestFit="1" customWidth="1"/>
    <col min="9" max="9" width="11.5859375" style="34" bestFit="1" customWidth="1"/>
    <col min="10" max="10" width="9.41015625" style="34" bestFit="1" customWidth="1"/>
    <col min="11" max="15" width="12.703125" style="34" bestFit="1" customWidth="1"/>
    <col min="16" max="16" width="9.41015625" style="34" bestFit="1" customWidth="1"/>
    <col min="17" max="17" width="12.703125" style="34" bestFit="1" customWidth="1"/>
    <col min="18" max="18" width="9.41015625" style="34" bestFit="1" customWidth="1"/>
    <col min="19" max="23" width="11.5859375" style="34" bestFit="1" customWidth="1"/>
    <col min="24" max="25" width="10.41015625" style="34" bestFit="1" customWidth="1"/>
    <col min="26" max="26" width="8.703125" style="34" bestFit="1" customWidth="1"/>
    <col min="27" max="31" width="11.5859375" style="34" bestFit="1" customWidth="1"/>
    <col min="32" max="32" width="9.41015625" style="34" bestFit="1" customWidth="1"/>
    <col min="33" max="33" width="11.5859375" style="34" bestFit="1" customWidth="1"/>
    <col min="34" max="34" width="10.41015625" style="34" bestFit="1" customWidth="1"/>
    <col min="35" max="16384" width="9.1171875" style="34"/>
  </cols>
  <sheetData>
    <row r="2" spans="2:34" x14ac:dyDescent="0.55000000000000004">
      <c r="B2" s="99"/>
      <c r="C2" s="100" t="s">
        <v>175</v>
      </c>
      <c r="D2" s="101"/>
      <c r="E2" s="101"/>
      <c r="F2" s="101"/>
      <c r="G2" s="101"/>
      <c r="H2" s="101"/>
      <c r="I2" s="101"/>
      <c r="J2" s="102"/>
      <c r="K2" s="100" t="s">
        <v>176</v>
      </c>
      <c r="L2" s="101"/>
      <c r="M2" s="101"/>
      <c r="N2" s="101"/>
      <c r="O2" s="101"/>
      <c r="P2" s="101"/>
      <c r="Q2" s="101"/>
      <c r="R2" s="102"/>
      <c r="S2" s="100" t="s">
        <v>177</v>
      </c>
      <c r="T2" s="101"/>
      <c r="U2" s="101"/>
      <c r="V2" s="101"/>
      <c r="W2" s="101"/>
      <c r="X2" s="101"/>
      <c r="Y2" s="101"/>
      <c r="Z2" s="102"/>
      <c r="AA2" s="100" t="s">
        <v>178</v>
      </c>
      <c r="AB2" s="101"/>
      <c r="AC2" s="101"/>
      <c r="AD2" s="101"/>
      <c r="AE2" s="101"/>
      <c r="AF2" s="101"/>
      <c r="AG2" s="101"/>
      <c r="AH2" s="102"/>
    </row>
    <row r="3" spans="2:34" x14ac:dyDescent="0.55000000000000004">
      <c r="B3" s="99"/>
      <c r="C3" s="105"/>
      <c r="D3" s="106"/>
      <c r="E3" s="106"/>
      <c r="F3" s="106"/>
      <c r="G3" s="106"/>
      <c r="H3" s="106"/>
      <c r="I3" s="134" t="s">
        <v>118</v>
      </c>
      <c r="J3" s="135"/>
      <c r="K3" s="105"/>
      <c r="L3" s="106"/>
      <c r="M3" s="106"/>
      <c r="N3" s="106"/>
      <c r="O3" s="106"/>
      <c r="P3" s="106"/>
      <c r="Q3" s="134" t="s">
        <v>118</v>
      </c>
      <c r="R3" s="135"/>
      <c r="S3" s="105"/>
      <c r="T3" s="106"/>
      <c r="U3" s="106"/>
      <c r="V3" s="106"/>
      <c r="W3" s="106"/>
      <c r="X3" s="106"/>
      <c r="Y3" s="134" t="s">
        <v>118</v>
      </c>
      <c r="Z3" s="135"/>
      <c r="AA3" s="105"/>
      <c r="AB3" s="106"/>
      <c r="AC3" s="106"/>
      <c r="AD3" s="106"/>
      <c r="AE3" s="106"/>
      <c r="AF3" s="106"/>
      <c r="AG3" s="134" t="s">
        <v>118</v>
      </c>
      <c r="AH3" s="135"/>
    </row>
    <row r="4" spans="2:34" x14ac:dyDescent="0.55000000000000004">
      <c r="B4" s="136"/>
      <c r="C4" s="104" t="s">
        <v>179</v>
      </c>
      <c r="D4" s="104"/>
      <c r="E4" s="104"/>
      <c r="F4" s="113" t="s">
        <v>69</v>
      </c>
      <c r="G4" s="115" t="str">
        <f>'C5'!H4</f>
        <v>Mid-Aug</v>
      </c>
      <c r="H4" s="114" t="s">
        <v>120</v>
      </c>
      <c r="I4" s="114"/>
      <c r="J4" s="114"/>
      <c r="K4" s="104" t="str">
        <f>C4</f>
        <v xml:space="preserve">Mid-July </v>
      </c>
      <c r="L4" s="104"/>
      <c r="M4" s="104"/>
      <c r="N4" s="113" t="str">
        <f>F4</f>
        <v>Mid-July</v>
      </c>
      <c r="O4" s="113" t="str">
        <f>G4</f>
        <v>Mid-Aug</v>
      </c>
      <c r="P4" s="114" t="s">
        <v>120</v>
      </c>
      <c r="Q4" s="114"/>
      <c r="R4" s="114"/>
      <c r="S4" s="104" t="str">
        <f>K4</f>
        <v xml:space="preserve">Mid-July </v>
      </c>
      <c r="T4" s="104"/>
      <c r="U4" s="104"/>
      <c r="V4" s="113" t="str">
        <f>N4</f>
        <v>Mid-July</v>
      </c>
      <c r="W4" s="115" t="str">
        <f>O4</f>
        <v>Mid-Aug</v>
      </c>
      <c r="X4" s="114" t="s">
        <v>120</v>
      </c>
      <c r="Y4" s="114"/>
      <c r="Z4" s="114"/>
      <c r="AA4" s="104" t="str">
        <f>S4</f>
        <v xml:space="preserve">Mid-July </v>
      </c>
      <c r="AB4" s="104"/>
      <c r="AC4" s="104"/>
      <c r="AD4" s="113" t="str">
        <f>V4</f>
        <v>Mid-July</v>
      </c>
      <c r="AE4" s="115" t="str">
        <f>W4</f>
        <v>Mid-Aug</v>
      </c>
      <c r="AF4" s="114" t="s">
        <v>120</v>
      </c>
      <c r="AG4" s="114"/>
      <c r="AH4" s="114"/>
    </row>
    <row r="5" spans="2:34" x14ac:dyDescent="0.55000000000000004">
      <c r="B5" s="136"/>
      <c r="C5" s="113">
        <v>2022</v>
      </c>
      <c r="D5" s="113">
        <v>2023</v>
      </c>
      <c r="E5" s="113">
        <v>2024</v>
      </c>
      <c r="F5" s="113">
        <v>2025</v>
      </c>
      <c r="G5" s="113">
        <v>2025</v>
      </c>
      <c r="H5" s="114"/>
      <c r="I5" s="114"/>
      <c r="J5" s="114"/>
      <c r="K5" s="113">
        <f>C5</f>
        <v>2022</v>
      </c>
      <c r="L5" s="113">
        <f>D5</f>
        <v>2023</v>
      </c>
      <c r="M5" s="113">
        <f>E5</f>
        <v>2024</v>
      </c>
      <c r="N5" s="113">
        <f>F5</f>
        <v>2025</v>
      </c>
      <c r="O5" s="113">
        <f>G5</f>
        <v>2025</v>
      </c>
      <c r="P5" s="114"/>
      <c r="Q5" s="114"/>
      <c r="R5" s="114"/>
      <c r="S5" s="113">
        <f>K5</f>
        <v>2022</v>
      </c>
      <c r="T5" s="113">
        <f>L5</f>
        <v>2023</v>
      </c>
      <c r="U5" s="113">
        <f>M5</f>
        <v>2024</v>
      </c>
      <c r="V5" s="113">
        <f>N5</f>
        <v>2025</v>
      </c>
      <c r="W5" s="113">
        <f>O5</f>
        <v>2025</v>
      </c>
      <c r="X5" s="114"/>
      <c r="Y5" s="114"/>
      <c r="Z5" s="114"/>
      <c r="AA5" s="113">
        <f>S5</f>
        <v>2022</v>
      </c>
      <c r="AB5" s="113">
        <f>T5</f>
        <v>2023</v>
      </c>
      <c r="AC5" s="113">
        <f>U5</f>
        <v>2024</v>
      </c>
      <c r="AD5" s="113">
        <f>V5</f>
        <v>2025</v>
      </c>
      <c r="AE5" s="113">
        <f>W5</f>
        <v>2025</v>
      </c>
      <c r="AF5" s="114"/>
      <c r="AG5" s="114"/>
      <c r="AH5" s="114"/>
    </row>
    <row r="6" spans="2:34" x14ac:dyDescent="0.55000000000000004">
      <c r="C6" s="113">
        <v>1</v>
      </c>
      <c r="D6" s="113">
        <v>2</v>
      </c>
      <c r="E6" s="113">
        <v>3</v>
      </c>
      <c r="F6" s="113">
        <v>4</v>
      </c>
      <c r="G6" s="113">
        <v>5</v>
      </c>
      <c r="H6" s="137" t="s">
        <v>980</v>
      </c>
      <c r="I6" s="137" t="s">
        <v>981</v>
      </c>
      <c r="J6" s="137" t="s">
        <v>982</v>
      </c>
      <c r="K6" s="113">
        <v>1</v>
      </c>
      <c r="L6" s="113">
        <v>2</v>
      </c>
      <c r="M6" s="113">
        <v>3</v>
      </c>
      <c r="N6" s="113">
        <v>4</v>
      </c>
      <c r="O6" s="113">
        <v>5</v>
      </c>
      <c r="P6" s="137" t="s">
        <v>980</v>
      </c>
      <c r="Q6" s="137" t="s">
        <v>981</v>
      </c>
      <c r="R6" s="137" t="s">
        <v>982</v>
      </c>
      <c r="S6" s="113">
        <v>1</v>
      </c>
      <c r="T6" s="113">
        <v>2</v>
      </c>
      <c r="U6" s="113">
        <v>3</v>
      </c>
      <c r="V6" s="113">
        <v>4</v>
      </c>
      <c r="W6" s="113">
        <v>5</v>
      </c>
      <c r="X6" s="137" t="s">
        <v>980</v>
      </c>
      <c r="Y6" s="137" t="s">
        <v>981</v>
      </c>
      <c r="Z6" s="137" t="s">
        <v>982</v>
      </c>
      <c r="AA6" s="113">
        <v>1</v>
      </c>
      <c r="AB6" s="113">
        <v>2</v>
      </c>
      <c r="AC6" s="113">
        <v>3</v>
      </c>
      <c r="AD6" s="113">
        <v>4</v>
      </c>
      <c r="AE6" s="113">
        <v>5</v>
      </c>
      <c r="AF6" s="137" t="s">
        <v>980</v>
      </c>
      <c r="AG6" s="137" t="s">
        <v>981</v>
      </c>
      <c r="AH6" s="137" t="s">
        <v>982</v>
      </c>
    </row>
    <row r="7" spans="2:34" x14ac:dyDescent="0.55000000000000004">
      <c r="B7" s="138" t="s">
        <v>180</v>
      </c>
      <c r="C7" s="139">
        <v>330008.1580969558</v>
      </c>
      <c r="D7" s="139">
        <v>429253.49204511777</v>
      </c>
      <c r="E7" s="139">
        <v>455986.96061418543</v>
      </c>
      <c r="F7" s="139">
        <v>350266.3385668117</v>
      </c>
      <c r="G7" s="139">
        <v>26777.113123397256</v>
      </c>
      <c r="H7" s="139">
        <v>30.073598786163355</v>
      </c>
      <c r="I7" s="139">
        <v>6.2278981121388268</v>
      </c>
      <c r="J7" s="139">
        <v>-92.355214606119446</v>
      </c>
      <c r="K7" s="139">
        <v>284750.45143113495</v>
      </c>
      <c r="L7" s="139">
        <v>364418.63287368335</v>
      </c>
      <c r="M7" s="139">
        <v>396011.59546899068</v>
      </c>
      <c r="N7" s="139">
        <v>306737.53260366211</v>
      </c>
      <c r="O7" s="139">
        <v>23561.755621846172</v>
      </c>
      <c r="P7" s="139">
        <v>27.978245512869247</v>
      </c>
      <c r="Q7" s="139">
        <v>8.6694168187833789</v>
      </c>
      <c r="R7" s="139">
        <v>-92.31859238091927</v>
      </c>
      <c r="S7" s="139">
        <v>37190.818307960879</v>
      </c>
      <c r="T7" s="139">
        <v>53216.646718196775</v>
      </c>
      <c r="U7" s="139">
        <v>48792.929566304723</v>
      </c>
      <c r="V7" s="139">
        <v>34592.644193958513</v>
      </c>
      <c r="W7" s="139">
        <v>2552.9082279073514</v>
      </c>
      <c r="X7" s="139">
        <v>43.090821874860524</v>
      </c>
      <c r="Y7" s="139">
        <v>-8.3126615448360628</v>
      </c>
      <c r="Z7" s="139">
        <v>-92.620077565632457</v>
      </c>
      <c r="AA7" s="139">
        <v>8066.8883578599998</v>
      </c>
      <c r="AB7" s="139">
        <v>11618.212453237618</v>
      </c>
      <c r="AC7" s="139">
        <v>11182.435578890003</v>
      </c>
      <c r="AD7" s="139">
        <v>8936.1617691911088</v>
      </c>
      <c r="AE7" s="139">
        <v>662.44927364373052</v>
      </c>
      <c r="AF7" s="139">
        <v>44.023409269247487</v>
      </c>
      <c r="AG7" s="139">
        <v>-3.7507499003719045</v>
      </c>
      <c r="AH7" s="139">
        <v>-92.586860575459696</v>
      </c>
    </row>
    <row r="8" spans="2:34" x14ac:dyDescent="0.55000000000000004">
      <c r="B8" s="140" t="s">
        <v>181</v>
      </c>
      <c r="C8" s="139">
        <v>305975.66548770375</v>
      </c>
      <c r="D8" s="139">
        <v>402421.26538492099</v>
      </c>
      <c r="E8" s="139">
        <v>431907.97582592204</v>
      </c>
      <c r="F8" s="139">
        <v>328103.6530576467</v>
      </c>
      <c r="G8" s="139">
        <v>25014.960523726175</v>
      </c>
      <c r="H8" s="139">
        <v>31.520676137419699</v>
      </c>
      <c r="I8" s="139">
        <v>7.3273239259942597</v>
      </c>
      <c r="J8" s="139">
        <v>-92.375897067893021</v>
      </c>
      <c r="K8" s="139">
        <v>262357.00210456172</v>
      </c>
      <c r="L8" s="139">
        <v>339228.98768163042</v>
      </c>
      <c r="M8" s="139">
        <v>372863.45092824206</v>
      </c>
      <c r="N8" s="139">
        <v>285480.17772418569</v>
      </c>
      <c r="O8" s="139">
        <v>21893.516379281176</v>
      </c>
      <c r="P8" s="139">
        <v>29.300529431271126</v>
      </c>
      <c r="Q8" s="139">
        <v>9.9149721844232772</v>
      </c>
      <c r="R8" s="139">
        <v>-92.33098423855553</v>
      </c>
      <c r="S8" s="139">
        <v>35908.409834652011</v>
      </c>
      <c r="T8" s="139">
        <v>52033.669442708902</v>
      </c>
      <c r="U8" s="139">
        <v>47946.805404840001</v>
      </c>
      <c r="V8" s="139">
        <v>33777.107622110001</v>
      </c>
      <c r="W8" s="139">
        <v>2468.2710224399993</v>
      </c>
      <c r="X8" s="139">
        <v>44.906638862595123</v>
      </c>
      <c r="Y8" s="139">
        <v>-7.8542605201593521</v>
      </c>
      <c r="Z8" s="139">
        <v>-92.692477242724436</v>
      </c>
      <c r="AA8" s="139">
        <v>7710.25354849</v>
      </c>
      <c r="AB8" s="139">
        <v>11158.608260581705</v>
      </c>
      <c r="AC8" s="139">
        <v>11097.719492840002</v>
      </c>
      <c r="AD8" s="139">
        <v>8846.3677113509984</v>
      </c>
      <c r="AE8" s="139">
        <v>653.17312200499998</v>
      </c>
      <c r="AF8" s="139">
        <v>44.72436042929867</v>
      </c>
      <c r="AG8" s="139">
        <v>-0.54567728417787909</v>
      </c>
      <c r="AH8" s="139">
        <v>-92.616519544174622</v>
      </c>
    </row>
    <row r="9" spans="2:34" x14ac:dyDescent="0.55000000000000004">
      <c r="B9" s="140" t="s">
        <v>182</v>
      </c>
      <c r="C9" s="139">
        <v>76031.748521138696</v>
      </c>
      <c r="D9" s="139">
        <v>88064.594302693338</v>
      </c>
      <c r="E9" s="139">
        <v>79278.430735559785</v>
      </c>
      <c r="F9" s="139">
        <v>77164.091083871928</v>
      </c>
      <c r="G9" s="139">
        <v>7053.9901059811755</v>
      </c>
      <c r="H9" s="139">
        <v>15.826072660434615</v>
      </c>
      <c r="I9" s="139">
        <v>-9.9769498728149468</v>
      </c>
      <c r="J9" s="139">
        <v>-90.858455014502198</v>
      </c>
      <c r="K9" s="139">
        <v>67416.500902498694</v>
      </c>
      <c r="L9" s="139">
        <v>77696.372969153337</v>
      </c>
      <c r="M9" s="139">
        <v>70893.889600079783</v>
      </c>
      <c r="N9" s="139">
        <v>68371.666089291932</v>
      </c>
      <c r="O9" s="139">
        <v>6228.4032834111758</v>
      </c>
      <c r="P9" s="139">
        <v>15.248299748577864</v>
      </c>
      <c r="Q9" s="139">
        <v>-8.7552095419644385</v>
      </c>
      <c r="R9" s="139">
        <v>-90.890379012242946</v>
      </c>
      <c r="S9" s="139">
        <v>7116.98165384</v>
      </c>
      <c r="T9" s="139">
        <v>8737.3291936399983</v>
      </c>
      <c r="U9" s="139">
        <v>6896.3942005000008</v>
      </c>
      <c r="V9" s="139">
        <v>7412.8806293999987</v>
      </c>
      <c r="W9" s="139">
        <v>704.67576028999997</v>
      </c>
      <c r="X9" s="139">
        <v>22.767381670315224</v>
      </c>
      <c r="Y9" s="139">
        <v>-21.069823389982979</v>
      </c>
      <c r="Z9" s="139">
        <v>-90.493843148681748</v>
      </c>
      <c r="AA9" s="139">
        <v>1498.2659647999999</v>
      </c>
      <c r="AB9" s="139">
        <v>1630.8921399000001</v>
      </c>
      <c r="AC9" s="139">
        <v>1488.1469349800002</v>
      </c>
      <c r="AD9" s="139">
        <v>1379.5443651799999</v>
      </c>
      <c r="AE9" s="139">
        <v>120.91106227999998</v>
      </c>
      <c r="AF9" s="139">
        <v>8.8515421119024023</v>
      </c>
      <c r="AG9" s="139">
        <v>-8.752276364439048</v>
      </c>
      <c r="AH9" s="139">
        <v>-91.23548429186539</v>
      </c>
    </row>
    <row r="10" spans="2:34" x14ac:dyDescent="0.55000000000000004">
      <c r="B10" s="140" t="s">
        <v>183</v>
      </c>
      <c r="C10" s="139">
        <v>223747.99514047848</v>
      </c>
      <c r="D10" s="139">
        <v>305844.9097654837</v>
      </c>
      <c r="E10" s="139">
        <v>344565.68043245294</v>
      </c>
      <c r="F10" s="139">
        <v>244251.61901123475</v>
      </c>
      <c r="G10" s="139">
        <v>17417.714597004997</v>
      </c>
      <c r="H10" s="139">
        <v>36.691684394944296</v>
      </c>
      <c r="I10" s="139">
        <v>12.66026300715615</v>
      </c>
      <c r="J10" s="139">
        <v>-92.868948013528012</v>
      </c>
      <c r="K10" s="139">
        <v>189890.04222745646</v>
      </c>
      <c r="L10" s="139">
        <v>254526.64587265198</v>
      </c>
      <c r="M10" s="139">
        <v>294988.83439255296</v>
      </c>
      <c r="N10" s="139">
        <v>211212.62589527376</v>
      </c>
      <c r="O10" s="139">
        <v>15188.422865049997</v>
      </c>
      <c r="P10" s="139">
        <v>34.038968025916461</v>
      </c>
      <c r="Q10" s="139">
        <v>15.897030821723392</v>
      </c>
      <c r="R10" s="139">
        <v>-92.808943290938615</v>
      </c>
      <c r="S10" s="139">
        <v>27824.800193221996</v>
      </c>
      <c r="T10" s="139">
        <v>42073.228783900006</v>
      </c>
      <c r="U10" s="139">
        <v>40214.039857000003</v>
      </c>
      <c r="V10" s="139">
        <v>25736.22287405001</v>
      </c>
      <c r="W10" s="139">
        <v>1711.5811734700001</v>
      </c>
      <c r="X10" s="139">
        <v>51.207663666944612</v>
      </c>
      <c r="Y10" s="139">
        <v>-4.4189381228871714</v>
      </c>
      <c r="Z10" s="139">
        <v>-93.349528407823684</v>
      </c>
      <c r="AA10" s="139">
        <v>6033.1527198000003</v>
      </c>
      <c r="AB10" s="139">
        <v>9245.0351089317046</v>
      </c>
      <c r="AC10" s="139">
        <v>9362.8061828999998</v>
      </c>
      <c r="AD10" s="139">
        <v>7302.7702419109992</v>
      </c>
      <c r="AE10" s="139">
        <v>517.71055848500009</v>
      </c>
      <c r="AF10" s="139">
        <v>53.237363566296239</v>
      </c>
      <c r="AG10" s="139">
        <v>1.2738722601524559</v>
      </c>
      <c r="AH10" s="139">
        <v>-92.91077221383118</v>
      </c>
    </row>
    <row r="11" spans="2:34" x14ac:dyDescent="0.55000000000000004">
      <c r="B11" s="140" t="s">
        <v>184</v>
      </c>
      <c r="C11" s="139">
        <v>11091.89286542915</v>
      </c>
      <c r="D11" s="139">
        <v>21336.35993498172</v>
      </c>
      <c r="E11" s="139">
        <v>18747.526864990268</v>
      </c>
      <c r="F11" s="139">
        <v>9061.7282189698362</v>
      </c>
      <c r="G11" s="139">
        <v>621.10683075979625</v>
      </c>
      <c r="H11" s="139">
        <v>92.360003570176062</v>
      </c>
      <c r="I11" s="139">
        <v>-12.133419196151554</v>
      </c>
      <c r="J11" s="139">
        <v>-93.145790042298756</v>
      </c>
      <c r="K11" s="139">
        <v>6099.8239727571518</v>
      </c>
      <c r="L11" s="139">
        <v>12252.450271646518</v>
      </c>
      <c r="M11" s="139">
        <v>12560.616474953065</v>
      </c>
      <c r="N11" s="139">
        <v>7301.3936397878369</v>
      </c>
      <c r="O11" s="139">
        <v>541.30883488339623</v>
      </c>
      <c r="P11" s="139">
        <v>100.8657632520304</v>
      </c>
      <c r="Q11" s="139">
        <v>2.5151704353006954</v>
      </c>
      <c r="R11" s="139">
        <v>-92.586206188136771</v>
      </c>
      <c r="S11" s="139">
        <v>4324.0199082719982</v>
      </c>
      <c r="T11" s="139">
        <v>8213.522371555202</v>
      </c>
      <c r="U11" s="139">
        <v>5675.6362774272011</v>
      </c>
      <c r="V11" s="139">
        <v>1472.4879932920001</v>
      </c>
      <c r="W11" s="139">
        <v>67.520187926399998</v>
      </c>
      <c r="X11" s="139">
        <v>89.951017802877871</v>
      </c>
      <c r="Y11" s="139">
        <v>-30.898810741314318</v>
      </c>
      <c r="Z11" s="139">
        <v>-95.414569878233465</v>
      </c>
      <c r="AA11" s="139">
        <v>668.04898440000011</v>
      </c>
      <c r="AB11" s="139">
        <v>870.38729177999994</v>
      </c>
      <c r="AC11" s="139">
        <v>511.27411261000003</v>
      </c>
      <c r="AD11" s="139">
        <v>287.84658588999997</v>
      </c>
      <c r="AE11" s="139">
        <v>12.27780795</v>
      </c>
      <c r="AF11" s="139">
        <v>30.288152084424826</v>
      </c>
      <c r="AG11" s="139">
        <v>-41.25966520755064</v>
      </c>
      <c r="AH11" s="139">
        <v>-95.733889178391522</v>
      </c>
    </row>
    <row r="12" spans="2:34" x14ac:dyDescent="0.55000000000000004">
      <c r="B12" s="140" t="s">
        <v>185</v>
      </c>
      <c r="C12" s="139">
        <v>31918.925032176518</v>
      </c>
      <c r="D12" s="139">
        <v>38568.977844826601</v>
      </c>
      <c r="E12" s="139">
        <v>35922.747828228574</v>
      </c>
      <c r="F12" s="139">
        <v>23654.789861793237</v>
      </c>
      <c r="G12" s="139">
        <v>1692.8939050164727</v>
      </c>
      <c r="H12" s="139">
        <v>20.834188364083641</v>
      </c>
      <c r="I12" s="139">
        <v>-6.8610318447623015</v>
      </c>
      <c r="J12" s="139">
        <v>-92.843352234367757</v>
      </c>
      <c r="K12" s="139">
        <v>25965.915826246652</v>
      </c>
      <c r="L12" s="139">
        <v>30141.829005057803</v>
      </c>
      <c r="M12" s="139">
        <v>29024.946250127072</v>
      </c>
      <c r="N12" s="139">
        <v>19660.35249558424</v>
      </c>
      <c r="O12" s="139">
        <v>1459.9290661009727</v>
      </c>
      <c r="P12" s="139">
        <v>16.082272455587955</v>
      </c>
      <c r="Q12" s="139">
        <v>-3.7054153646278309</v>
      </c>
      <c r="R12" s="139">
        <v>-92.574242065883865</v>
      </c>
      <c r="S12" s="139">
        <v>5238.5597819850009</v>
      </c>
      <c r="T12" s="139">
        <v>7493.8867472664997</v>
      </c>
      <c r="U12" s="139">
        <v>5916.6370191915012</v>
      </c>
      <c r="V12" s="139">
        <v>3228.5502855599989</v>
      </c>
      <c r="W12" s="139">
        <v>183.11290495550003</v>
      </c>
      <c r="X12" s="139">
        <v>43.052480070859161</v>
      </c>
      <c r="Y12" s="139">
        <v>-21.047146408607546</v>
      </c>
      <c r="Z12" s="139">
        <v>-94.328413684161617</v>
      </c>
      <c r="AA12" s="139">
        <v>714.4494239448635</v>
      </c>
      <c r="AB12" s="139">
        <v>933.26209250230318</v>
      </c>
      <c r="AC12" s="139">
        <v>981.1645589100001</v>
      </c>
      <c r="AD12" s="139">
        <v>765.88708064899822</v>
      </c>
      <c r="AE12" s="139">
        <v>49.851933959999997</v>
      </c>
      <c r="AF12" s="139">
        <v>30.626355938134218</v>
      </c>
      <c r="AG12" s="139">
        <v>5.1325461286243899</v>
      </c>
      <c r="AH12" s="139">
        <v>-93.491232422410533</v>
      </c>
    </row>
    <row r="13" spans="2:34" x14ac:dyDescent="0.55000000000000004">
      <c r="B13" s="140" t="s">
        <v>186</v>
      </c>
      <c r="C13" s="139">
        <v>99439.698373529929</v>
      </c>
      <c r="D13" s="139">
        <v>107125.10374411142</v>
      </c>
      <c r="E13" s="139">
        <v>123518.6990700967</v>
      </c>
      <c r="F13" s="139">
        <v>84611.714527920762</v>
      </c>
      <c r="G13" s="139">
        <v>5973.6743137897547</v>
      </c>
      <c r="H13" s="139">
        <v>7.7287039281092058</v>
      </c>
      <c r="I13" s="139">
        <v>15.303229588583806</v>
      </c>
      <c r="J13" s="139">
        <v>-92.939901580998665</v>
      </c>
      <c r="K13" s="139">
        <v>82294.621058497156</v>
      </c>
      <c r="L13" s="139">
        <v>86321.885214088921</v>
      </c>
      <c r="M13" s="139">
        <v>103192.9243258162</v>
      </c>
      <c r="N13" s="139">
        <v>70335.155531758748</v>
      </c>
      <c r="O13" s="139">
        <v>5038.7372889216449</v>
      </c>
      <c r="P13" s="139">
        <v>4.8937220926471312</v>
      </c>
      <c r="Q13" s="139">
        <v>19.544324156943272</v>
      </c>
      <c r="R13" s="139">
        <v>-92.836100749610878</v>
      </c>
      <c r="S13" s="139">
        <v>14317.873849284999</v>
      </c>
      <c r="T13" s="139">
        <v>17140.161502565497</v>
      </c>
      <c r="U13" s="139">
        <v>16510.265873350498</v>
      </c>
      <c r="V13" s="139">
        <v>11301.381305140008</v>
      </c>
      <c r="W13" s="139">
        <v>727.28283570849987</v>
      </c>
      <c r="X13" s="139">
        <v>19.71166102220511</v>
      </c>
      <c r="Y13" s="139">
        <v>-3.6749365233463362</v>
      </c>
      <c r="Z13" s="139">
        <v>-93.564679711681208</v>
      </c>
      <c r="AA13" s="139">
        <v>2827.2034657477843</v>
      </c>
      <c r="AB13" s="139">
        <v>3663.0570274570027</v>
      </c>
      <c r="AC13" s="139">
        <v>3815.5088709300007</v>
      </c>
      <c r="AD13" s="139">
        <v>2975.1776910220001</v>
      </c>
      <c r="AE13" s="139">
        <v>207.65418915961004</v>
      </c>
      <c r="AF13" s="139">
        <v>29.564940577249583</v>
      </c>
      <c r="AG13" s="139">
        <v>4.1618209911931627</v>
      </c>
      <c r="AH13" s="139">
        <v>-93.020590350835917</v>
      </c>
    </row>
    <row r="14" spans="2:34" x14ac:dyDescent="0.55000000000000004">
      <c r="B14" s="140" t="s">
        <v>187</v>
      </c>
      <c r="C14" s="139">
        <v>81297.478869342871</v>
      </c>
      <c r="D14" s="139">
        <v>138814.46824156397</v>
      </c>
      <c r="E14" s="139">
        <v>166376.70666913743</v>
      </c>
      <c r="F14" s="139">
        <v>126923.38640255094</v>
      </c>
      <c r="G14" s="139">
        <v>9130.039547438977</v>
      </c>
      <c r="H14" s="139">
        <v>70.748798117727645</v>
      </c>
      <c r="I14" s="139">
        <v>19.855451668691305</v>
      </c>
      <c r="J14" s="139">
        <v>-92.806652895104676</v>
      </c>
      <c r="K14" s="139">
        <v>75529.68136995552</v>
      </c>
      <c r="L14" s="139">
        <v>125810.48138185877</v>
      </c>
      <c r="M14" s="139">
        <v>150210.34734165663</v>
      </c>
      <c r="N14" s="139">
        <v>113915.72422814294</v>
      </c>
      <c r="O14" s="139">
        <v>8148.4476751439861</v>
      </c>
      <c r="P14" s="139">
        <v>66.570916227898763</v>
      </c>
      <c r="Q14" s="139">
        <v>19.394147450991372</v>
      </c>
      <c r="R14" s="139">
        <v>-92.846948603757227</v>
      </c>
      <c r="S14" s="139">
        <v>3944.3466536799997</v>
      </c>
      <c r="T14" s="139">
        <v>9225.6581625128019</v>
      </c>
      <c r="U14" s="139">
        <v>12111.500687030801</v>
      </c>
      <c r="V14" s="139">
        <v>9733.8032900579983</v>
      </c>
      <c r="W14" s="139">
        <v>733.66524487959998</v>
      </c>
      <c r="X14" s="139">
        <v>133.89557214750212</v>
      </c>
      <c r="Y14" s="139">
        <v>31.28058046795568</v>
      </c>
      <c r="Z14" s="139">
        <v>-92.462655900059588</v>
      </c>
      <c r="AA14" s="139">
        <v>1823.4508457073521</v>
      </c>
      <c r="AB14" s="139">
        <v>3778.3286971923981</v>
      </c>
      <c r="AC14" s="139">
        <v>4054.8586404500002</v>
      </c>
      <c r="AD14" s="139">
        <v>3273.8588843500002</v>
      </c>
      <c r="AE14" s="139">
        <v>247.92662741538999</v>
      </c>
      <c r="AF14" s="139">
        <v>107.2077654994653</v>
      </c>
      <c r="AG14" s="139">
        <v>7.3188419222249044</v>
      </c>
      <c r="AH14" s="139">
        <v>-92.426982216710542</v>
      </c>
    </row>
    <row r="15" spans="2:34" x14ac:dyDescent="0.55000000000000004">
      <c r="B15" s="140" t="s">
        <v>188</v>
      </c>
      <c r="C15" s="139">
        <v>6111.0209355665365</v>
      </c>
      <c r="D15" s="139">
        <v>8460.6062600550922</v>
      </c>
      <c r="E15" s="139">
        <v>8033.884621519268</v>
      </c>
      <c r="F15" s="139">
        <v>6655.4860340099995</v>
      </c>
      <c r="G15" s="139">
        <v>539.92655549000006</v>
      </c>
      <c r="H15" s="139">
        <v>38.448409594470313</v>
      </c>
      <c r="I15" s="139">
        <v>-5.0437261615888263</v>
      </c>
      <c r="J15" s="139">
        <v>-91.887449308766151</v>
      </c>
      <c r="K15" s="139">
        <v>4965.5580840865368</v>
      </c>
      <c r="L15" s="139">
        <v>6963.2085217050917</v>
      </c>
      <c r="M15" s="139">
        <v>6950.746899219268</v>
      </c>
      <c r="N15" s="139">
        <v>5863.4288110899997</v>
      </c>
      <c r="O15" s="139">
        <v>473.36096557000002</v>
      </c>
      <c r="P15" s="139">
        <v>40.230104962985031</v>
      </c>
      <c r="Q15" s="139">
        <v>-0.17894045993155508</v>
      </c>
      <c r="R15" s="139">
        <v>-91.926909675735885</v>
      </c>
      <c r="S15" s="139">
        <v>966.62798758999998</v>
      </c>
      <c r="T15" s="139">
        <v>1214.7167266000001</v>
      </c>
      <c r="U15" s="139">
        <v>836.37134733999994</v>
      </c>
      <c r="V15" s="139">
        <v>628.00411866000013</v>
      </c>
      <c r="W15" s="139">
        <v>52.014088680000008</v>
      </c>
      <c r="X15" s="139">
        <v>25.66545627592771</v>
      </c>
      <c r="Y15" s="139">
        <v>-31.147095626975762</v>
      </c>
      <c r="Z15" s="139">
        <v>-91.718152866242036</v>
      </c>
      <c r="AA15" s="139">
        <v>178.83486389000001</v>
      </c>
      <c r="AB15" s="139">
        <v>282.68101175000004</v>
      </c>
      <c r="AC15" s="139">
        <v>246.76637496000006</v>
      </c>
      <c r="AD15" s="139">
        <v>164.05310426</v>
      </c>
      <c r="AE15" s="139">
        <v>14.55150124</v>
      </c>
      <c r="AF15" s="139">
        <v>58.071911871609906</v>
      </c>
      <c r="AG15" s="139">
        <v>-12.70341021649922</v>
      </c>
      <c r="AH15" s="139">
        <v>-91.130752819262412</v>
      </c>
    </row>
    <row r="16" spans="2:34" x14ac:dyDescent="0.55000000000000004">
      <c r="B16" s="140" t="s">
        <v>189</v>
      </c>
      <c r="C16" s="139">
        <v>84.90089051999999</v>
      </c>
      <c r="D16" s="139">
        <v>51.155056688905184</v>
      </c>
      <c r="E16" s="139">
        <v>29.980036390000002</v>
      </c>
      <c r="F16" s="139">
        <v>32.456928529999999</v>
      </c>
      <c r="G16" s="139">
        <v>3.3292652500000002</v>
      </c>
      <c r="H16" s="139">
        <v>-39.740871613663138</v>
      </c>
      <c r="I16" s="139">
        <v>-41.399530883502727</v>
      </c>
      <c r="J16" s="139">
        <v>-89.74121996303144</v>
      </c>
      <c r="K16" s="139">
        <v>84.90089051999999</v>
      </c>
      <c r="L16" s="139">
        <v>42.760318119999994</v>
      </c>
      <c r="M16" s="139">
        <v>29.980036390000002</v>
      </c>
      <c r="N16" s="139">
        <v>32.456928529999999</v>
      </c>
      <c r="O16" s="139">
        <v>3.3292652500000002</v>
      </c>
      <c r="P16" s="139">
        <v>-49.634864546525328</v>
      </c>
      <c r="Q16" s="139">
        <v>-29.887745556594943</v>
      </c>
      <c r="R16" s="139">
        <v>-89.74121996303144</v>
      </c>
      <c r="S16" s="139">
        <v>0</v>
      </c>
      <c r="T16" s="139">
        <v>8.3947385689051899</v>
      </c>
      <c r="U16" s="139">
        <v>0</v>
      </c>
      <c r="V16" s="139">
        <v>0</v>
      </c>
      <c r="W16" s="139">
        <v>0</v>
      </c>
      <c r="X16" s="139">
        <v>0</v>
      </c>
      <c r="Y16" s="139">
        <v>-100</v>
      </c>
      <c r="Z16" s="139">
        <v>0</v>
      </c>
      <c r="AA16" s="139">
        <v>0</v>
      </c>
      <c r="AB16" s="139">
        <v>0</v>
      </c>
      <c r="AC16" s="139">
        <v>0</v>
      </c>
      <c r="AD16" s="139">
        <v>0</v>
      </c>
      <c r="AE16" s="139">
        <v>0</v>
      </c>
      <c r="AF16" s="139">
        <v>0</v>
      </c>
      <c r="AG16" s="139">
        <v>0</v>
      </c>
      <c r="AH16" s="139">
        <v>0</v>
      </c>
    </row>
    <row r="17" spans="2:34" x14ac:dyDescent="0.55000000000000004">
      <c r="B17" s="140" t="s">
        <v>190</v>
      </c>
      <c r="C17" s="139">
        <v>24032.492609252015</v>
      </c>
      <c r="D17" s="139">
        <v>26832.226660196742</v>
      </c>
      <c r="E17" s="139">
        <v>24078.984788263286</v>
      </c>
      <c r="F17" s="139">
        <v>22162.685509165029</v>
      </c>
      <c r="G17" s="139">
        <v>1762.1525996710798</v>
      </c>
      <c r="H17" s="139">
        <v>11.649812399797097</v>
      </c>
      <c r="I17" s="139">
        <v>-10.260980917352006</v>
      </c>
      <c r="J17" s="139">
        <v>-92.049024734813329</v>
      </c>
      <c r="K17" s="139">
        <v>22393.449326573143</v>
      </c>
      <c r="L17" s="139">
        <v>25189.645192052962</v>
      </c>
      <c r="M17" s="139">
        <v>23148.144540748566</v>
      </c>
      <c r="N17" s="139">
        <v>21257.354879476406</v>
      </c>
      <c r="O17" s="139">
        <v>1668.2392425649975</v>
      </c>
      <c r="P17" s="139">
        <v>12.486686955337388</v>
      </c>
      <c r="Q17" s="139">
        <v>-8.1045588168156435</v>
      </c>
      <c r="R17" s="139">
        <v>-92.152173248311755</v>
      </c>
      <c r="S17" s="139">
        <v>1282.4084733088714</v>
      </c>
      <c r="T17" s="139">
        <v>1182.9772754878661</v>
      </c>
      <c r="U17" s="139">
        <v>846.12416146472026</v>
      </c>
      <c r="V17" s="139">
        <v>815.53657184851045</v>
      </c>
      <c r="W17" s="139">
        <v>84.637205467351592</v>
      </c>
      <c r="X17" s="139">
        <v>-7.753370606904193</v>
      </c>
      <c r="Y17" s="139">
        <v>-28.475544810563154</v>
      </c>
      <c r="Z17" s="139">
        <v>-89.621600411996965</v>
      </c>
      <c r="AA17" s="139">
        <v>356.63480936999997</v>
      </c>
      <c r="AB17" s="139">
        <v>459.60419265591685</v>
      </c>
      <c r="AC17" s="139">
        <v>84.716086050000001</v>
      </c>
      <c r="AD17" s="139">
        <v>89.794057840109389</v>
      </c>
      <c r="AE17" s="139">
        <v>9.2761516387305765</v>
      </c>
      <c r="AF17" s="139">
        <v>28.873061716625084</v>
      </c>
      <c r="AG17" s="139">
        <v>-81.566579634464745</v>
      </c>
      <c r="AH17" s="139">
        <v>-89.66477336006237</v>
      </c>
    </row>
    <row r="18" spans="2:34" x14ac:dyDescent="0.55000000000000004">
      <c r="B18" s="138" t="s">
        <v>191</v>
      </c>
      <c r="C18" s="139">
        <v>3120.8918862409</v>
      </c>
      <c r="D18" s="139">
        <v>4228.3850146476998</v>
      </c>
      <c r="E18" s="139">
        <v>4634.5581396694761</v>
      </c>
      <c r="F18" s="139">
        <v>5626.662525567519</v>
      </c>
      <c r="G18" s="139">
        <v>352.68107380828383</v>
      </c>
      <c r="H18" s="139">
        <v>35.48667207110794</v>
      </c>
      <c r="I18" s="139">
        <v>9.6057837616681532</v>
      </c>
      <c r="J18" s="139">
        <v>-93.731983094766704</v>
      </c>
      <c r="K18" s="139">
        <v>3057.0604343809</v>
      </c>
      <c r="L18" s="139">
        <v>4098.9778636777</v>
      </c>
      <c r="M18" s="139">
        <v>4523.8556763594761</v>
      </c>
      <c r="N18" s="139">
        <v>5521.2585250275188</v>
      </c>
      <c r="O18" s="139">
        <v>349.90247146828381</v>
      </c>
      <c r="P18" s="139">
        <v>34.082419056217397</v>
      </c>
      <c r="Q18" s="139">
        <v>10.365505564799053</v>
      </c>
      <c r="R18" s="139">
        <v>-93.662678446586469</v>
      </c>
      <c r="S18" s="139">
        <v>63.041159610000001</v>
      </c>
      <c r="T18" s="139">
        <v>119.9763174</v>
      </c>
      <c r="U18" s="139">
        <v>102.54153895</v>
      </c>
      <c r="V18" s="139">
        <v>95.678354029999994</v>
      </c>
      <c r="W18" s="139">
        <v>2.4403225500000003</v>
      </c>
      <c r="X18" s="139">
        <v>90.323604060913723</v>
      </c>
      <c r="Y18" s="139">
        <v>-14.535755959326552</v>
      </c>
      <c r="Z18" s="139">
        <v>-97.449832775919731</v>
      </c>
      <c r="AA18" s="139">
        <v>0.79029225000000003</v>
      </c>
      <c r="AB18" s="139">
        <v>9.4308335700000008</v>
      </c>
      <c r="AC18" s="139">
        <v>8.160924360000001</v>
      </c>
      <c r="AD18" s="139">
        <v>9.7256465099999989</v>
      </c>
      <c r="AE18" s="139">
        <v>0.33827979000000002</v>
      </c>
      <c r="AF18" s="139">
        <v>1093.6708860759493</v>
      </c>
      <c r="AG18" s="139">
        <v>-13.467656415694588</v>
      </c>
      <c r="AH18" s="139">
        <v>-96.505652620760529</v>
      </c>
    </row>
    <row r="19" spans="2:34" x14ac:dyDescent="0.55000000000000004">
      <c r="B19" s="138" t="s">
        <v>192</v>
      </c>
      <c r="C19" s="139">
        <v>53727.081254765217</v>
      </c>
      <c r="D19" s="139">
        <v>55126.322920304861</v>
      </c>
      <c r="E19" s="139">
        <v>63661.144133214082</v>
      </c>
      <c r="F19" s="139">
        <v>68118.073004642982</v>
      </c>
      <c r="G19" s="139">
        <v>5352.3547346033192</v>
      </c>
      <c r="H19" s="139">
        <v>2.6043477516366011</v>
      </c>
      <c r="I19" s="139">
        <v>15.482295934138175</v>
      </c>
      <c r="J19" s="139">
        <v>-92.14254015124034</v>
      </c>
      <c r="K19" s="139">
        <v>47172.235293476151</v>
      </c>
      <c r="L19" s="139">
        <v>47816.260034163723</v>
      </c>
      <c r="M19" s="139">
        <v>55897.596899939999</v>
      </c>
      <c r="N19" s="139">
        <v>60030.577073584893</v>
      </c>
      <c r="O19" s="139">
        <v>4673.4661851241708</v>
      </c>
      <c r="P19" s="139">
        <v>1.3652521058995801</v>
      </c>
      <c r="Q19" s="139">
        <v>16.900819930291487</v>
      </c>
      <c r="R19" s="139">
        <v>-92.21485116418998</v>
      </c>
      <c r="S19" s="139">
        <v>5225.3488688660727</v>
      </c>
      <c r="T19" s="139">
        <v>5837.9104848551897</v>
      </c>
      <c r="U19" s="139">
        <v>6201.7243101318936</v>
      </c>
      <c r="V19" s="139">
        <v>6432.1061000138752</v>
      </c>
      <c r="W19" s="139">
        <v>523.04235728814808</v>
      </c>
      <c r="X19" s="139">
        <v>11.722851100883183</v>
      </c>
      <c r="Y19" s="139">
        <v>6.231853522921738</v>
      </c>
      <c r="Z19" s="139">
        <v>-91.868298272262138</v>
      </c>
      <c r="AA19" s="139">
        <v>1329.4970924229958</v>
      </c>
      <c r="AB19" s="139">
        <v>1472.1524012859545</v>
      </c>
      <c r="AC19" s="139">
        <v>1561.8229231421828</v>
      </c>
      <c r="AD19" s="139">
        <v>1655.3898310442148</v>
      </c>
      <c r="AE19" s="139">
        <v>155.846192191</v>
      </c>
      <c r="AF19" s="139">
        <v>10.729597593080111</v>
      </c>
      <c r="AG19" s="139">
        <v>6.091091261080722</v>
      </c>
      <c r="AH19" s="139">
        <v>-90.585300140752338</v>
      </c>
    </row>
    <row r="20" spans="2:34" x14ac:dyDescent="0.55000000000000004">
      <c r="B20" s="138" t="s">
        <v>193</v>
      </c>
      <c r="C20" s="139">
        <v>38325.721051327411</v>
      </c>
      <c r="D20" s="139">
        <v>38127.017035249526</v>
      </c>
      <c r="E20" s="139">
        <v>43010.47176336572</v>
      </c>
      <c r="F20" s="139">
        <v>43468.434376322599</v>
      </c>
      <c r="G20" s="139">
        <v>3107.4498007183265</v>
      </c>
      <c r="H20" s="139">
        <v>-0.51845079492310742</v>
      </c>
      <c r="I20" s="139">
        <v>12.808370546662196</v>
      </c>
      <c r="J20" s="139">
        <v>-92.85124859582001</v>
      </c>
      <c r="K20" s="139">
        <v>33086.453166652558</v>
      </c>
      <c r="L20" s="139">
        <v>32261.284032537002</v>
      </c>
      <c r="M20" s="139">
        <v>37061.943485526295</v>
      </c>
      <c r="N20" s="139">
        <v>37155.252630093608</v>
      </c>
      <c r="O20" s="139">
        <v>2631.9143531251543</v>
      </c>
      <c r="P20" s="139">
        <v>-2.4939816752779409</v>
      </c>
      <c r="Q20" s="139">
        <v>14.880562705509526</v>
      </c>
      <c r="R20" s="139">
        <v>-92.916451914601552</v>
      </c>
      <c r="S20" s="139">
        <v>4096.0779937155858</v>
      </c>
      <c r="T20" s="139">
        <v>4617.10758457886</v>
      </c>
      <c r="U20" s="139">
        <v>4704.4286789594271</v>
      </c>
      <c r="V20" s="139">
        <v>4966.0997272355462</v>
      </c>
      <c r="W20" s="139">
        <v>360.45302335999992</v>
      </c>
      <c r="X20" s="139">
        <v>12.72021054276283</v>
      </c>
      <c r="Y20" s="139">
        <v>1.8912263298903562</v>
      </c>
      <c r="Z20" s="139">
        <v>-92.741789331668713</v>
      </c>
      <c r="AA20" s="139">
        <v>1143.1898909592612</v>
      </c>
      <c r="AB20" s="139">
        <v>1248.6254181336592</v>
      </c>
      <c r="AC20" s="139">
        <v>1244.09959888</v>
      </c>
      <c r="AD20" s="139">
        <v>1347.0820189934427</v>
      </c>
      <c r="AE20" s="139">
        <v>115.08242423317235</v>
      </c>
      <c r="AF20" s="139">
        <v>9.2233137098820013</v>
      </c>
      <c r="AG20" s="139">
        <v>-0.36279762619832934</v>
      </c>
      <c r="AH20" s="139">
        <v>-91.457077530658907</v>
      </c>
    </row>
    <row r="21" spans="2:34" x14ac:dyDescent="0.55000000000000004">
      <c r="B21" s="138" t="s">
        <v>194</v>
      </c>
      <c r="C21" s="139">
        <v>105.12984288000001</v>
      </c>
      <c r="D21" s="139">
        <v>0</v>
      </c>
      <c r="E21" s="139">
        <v>0</v>
      </c>
      <c r="F21" s="139">
        <v>0</v>
      </c>
      <c r="G21" s="139">
        <v>0</v>
      </c>
      <c r="H21" s="139">
        <v>-100</v>
      </c>
      <c r="I21" s="139">
        <v>0</v>
      </c>
      <c r="J21" s="139">
        <v>0</v>
      </c>
      <c r="K21" s="139">
        <v>104.46204761000001</v>
      </c>
      <c r="L21" s="139">
        <v>0</v>
      </c>
      <c r="M21" s="139">
        <v>0</v>
      </c>
      <c r="N21" s="139">
        <v>0</v>
      </c>
      <c r="O21" s="139">
        <v>0</v>
      </c>
      <c r="P21" s="139">
        <v>-100</v>
      </c>
      <c r="Q21" s="139">
        <v>0</v>
      </c>
      <c r="R21" s="139">
        <v>0</v>
      </c>
      <c r="S21" s="139">
        <v>0.66779527000000005</v>
      </c>
      <c r="T21" s="139">
        <v>0</v>
      </c>
      <c r="U21" s="139">
        <v>0</v>
      </c>
      <c r="V21" s="139">
        <v>0</v>
      </c>
      <c r="W21" s="139">
        <v>0</v>
      </c>
      <c r="X21" s="139">
        <v>-100</v>
      </c>
      <c r="Y21" s="139">
        <v>0</v>
      </c>
      <c r="Z21" s="139">
        <v>0</v>
      </c>
      <c r="AA21" s="139">
        <v>0</v>
      </c>
      <c r="AB21" s="139">
        <v>0</v>
      </c>
      <c r="AC21" s="139">
        <v>0</v>
      </c>
      <c r="AD21" s="139">
        <v>0</v>
      </c>
      <c r="AE21" s="139">
        <v>0</v>
      </c>
      <c r="AF21" s="139">
        <v>0</v>
      </c>
      <c r="AG21" s="139">
        <v>0</v>
      </c>
      <c r="AH21" s="139">
        <v>0</v>
      </c>
    </row>
    <row r="22" spans="2:34" x14ac:dyDescent="0.55000000000000004">
      <c r="B22" s="140" t="s">
        <v>195</v>
      </c>
      <c r="C22" s="139">
        <v>33.712648050000006</v>
      </c>
      <c r="D22" s="139">
        <v>0</v>
      </c>
      <c r="E22" s="139">
        <v>0</v>
      </c>
      <c r="F22" s="139">
        <v>0</v>
      </c>
      <c r="G22" s="139">
        <v>0</v>
      </c>
      <c r="H22" s="139">
        <v>-100</v>
      </c>
      <c r="I22" s="139">
        <v>0</v>
      </c>
      <c r="J22" s="139">
        <v>0</v>
      </c>
      <c r="K22" s="139">
        <v>33.044852780000006</v>
      </c>
      <c r="L22" s="139">
        <v>0</v>
      </c>
      <c r="M22" s="139">
        <v>0</v>
      </c>
      <c r="N22" s="139">
        <v>0</v>
      </c>
      <c r="O22" s="139">
        <v>0</v>
      </c>
      <c r="P22" s="139">
        <v>-100</v>
      </c>
      <c r="Q22" s="139">
        <v>0</v>
      </c>
      <c r="R22" s="139">
        <v>0</v>
      </c>
      <c r="S22" s="139">
        <v>0.66779527000000005</v>
      </c>
      <c r="T22" s="139">
        <v>0</v>
      </c>
      <c r="U22" s="139">
        <v>0</v>
      </c>
      <c r="V22" s="139">
        <v>0</v>
      </c>
      <c r="W22" s="139">
        <v>0</v>
      </c>
      <c r="X22" s="139">
        <v>-100</v>
      </c>
      <c r="Y22" s="139">
        <v>0</v>
      </c>
      <c r="Z22" s="139">
        <v>0</v>
      </c>
      <c r="AA22" s="139">
        <v>0</v>
      </c>
      <c r="AB22" s="139">
        <v>0</v>
      </c>
      <c r="AC22" s="139">
        <v>0</v>
      </c>
      <c r="AD22" s="139">
        <v>0</v>
      </c>
      <c r="AE22" s="139">
        <v>0</v>
      </c>
      <c r="AF22" s="139">
        <v>0</v>
      </c>
      <c r="AG22" s="139">
        <v>0</v>
      </c>
      <c r="AH22" s="139">
        <v>0</v>
      </c>
    </row>
    <row r="23" spans="2:34" x14ac:dyDescent="0.55000000000000004">
      <c r="B23" s="140" t="s">
        <v>196</v>
      </c>
      <c r="C23" s="139">
        <v>71.41719483</v>
      </c>
      <c r="D23" s="139">
        <v>0</v>
      </c>
      <c r="E23" s="139">
        <v>0</v>
      </c>
      <c r="F23" s="139">
        <v>0</v>
      </c>
      <c r="G23" s="139">
        <v>0</v>
      </c>
      <c r="H23" s="139">
        <v>-100</v>
      </c>
      <c r="I23" s="139">
        <v>0</v>
      </c>
      <c r="J23" s="139">
        <v>0</v>
      </c>
      <c r="K23" s="139">
        <v>71.41719483</v>
      </c>
      <c r="L23" s="139">
        <v>0</v>
      </c>
      <c r="M23" s="139">
        <v>0</v>
      </c>
      <c r="N23" s="139">
        <v>0</v>
      </c>
      <c r="O23" s="139">
        <v>0</v>
      </c>
      <c r="P23" s="139">
        <v>-100</v>
      </c>
      <c r="Q23" s="139">
        <v>0</v>
      </c>
      <c r="R23" s="139">
        <v>0</v>
      </c>
      <c r="S23" s="139">
        <v>0</v>
      </c>
      <c r="T23" s="139">
        <v>0</v>
      </c>
      <c r="U23" s="139">
        <v>0</v>
      </c>
      <c r="V23" s="139">
        <v>0</v>
      </c>
      <c r="W23" s="139">
        <v>0</v>
      </c>
      <c r="X23" s="139">
        <v>0</v>
      </c>
      <c r="Y23" s="139">
        <v>0</v>
      </c>
      <c r="Z23" s="139">
        <v>0</v>
      </c>
      <c r="AA23" s="139">
        <v>0</v>
      </c>
      <c r="AB23" s="139">
        <v>0</v>
      </c>
      <c r="AC23" s="139">
        <v>0</v>
      </c>
      <c r="AD23" s="139">
        <v>0</v>
      </c>
      <c r="AE23" s="139">
        <v>0</v>
      </c>
      <c r="AF23" s="139">
        <v>0</v>
      </c>
      <c r="AG23" s="139">
        <v>0</v>
      </c>
      <c r="AH23" s="139">
        <v>0</v>
      </c>
    </row>
    <row r="24" spans="2:34" x14ac:dyDescent="0.55000000000000004">
      <c r="B24" s="138" t="s">
        <v>197</v>
      </c>
      <c r="C24" s="139">
        <v>369.25182457999995</v>
      </c>
      <c r="D24" s="139">
        <v>498.75059217999996</v>
      </c>
      <c r="E24" s="139">
        <v>926.37519723939306</v>
      </c>
      <c r="F24" s="139">
        <v>551.64809663999995</v>
      </c>
      <c r="G24" s="139">
        <v>60.006517240000001</v>
      </c>
      <c r="H24" s="139">
        <v>35.071090047393362</v>
      </c>
      <c r="I24" s="139">
        <v>85.740350877192981</v>
      </c>
      <c r="J24" s="139">
        <v>-89.121725731895225</v>
      </c>
      <c r="K24" s="139">
        <v>312.01161819999999</v>
      </c>
      <c r="L24" s="139">
        <v>462.08254756999997</v>
      </c>
      <c r="M24" s="139">
        <v>889.77288975939314</v>
      </c>
      <c r="N24" s="139">
        <v>480.38620216999993</v>
      </c>
      <c r="O24" s="139">
        <v>58.877948239999995</v>
      </c>
      <c r="P24" s="139">
        <v>48.097817377648155</v>
      </c>
      <c r="Q24" s="139">
        <v>92.557565789473685</v>
      </c>
      <c r="R24" s="139">
        <v>-87.743291908657554</v>
      </c>
      <c r="S24" s="139">
        <v>30.143538510000003</v>
      </c>
      <c r="T24" s="139">
        <v>31.418871880000001</v>
      </c>
      <c r="U24" s="139">
        <v>25.45797189</v>
      </c>
      <c r="V24" s="139">
        <v>17.979830570000004</v>
      </c>
      <c r="W24" s="139">
        <v>1.2999999999999999E-5</v>
      </c>
      <c r="X24" s="139">
        <v>4.2468480424684838</v>
      </c>
      <c r="Y24" s="139">
        <v>-18.96880967536601</v>
      </c>
      <c r="Z24" s="139">
        <v>-100</v>
      </c>
      <c r="AA24" s="139">
        <v>27.096667870000001</v>
      </c>
      <c r="AB24" s="139">
        <v>5.2491727300000006</v>
      </c>
      <c r="AC24" s="139">
        <v>11.144335590000001</v>
      </c>
      <c r="AD24" s="139">
        <v>53.282063899999997</v>
      </c>
      <c r="AE24" s="139">
        <v>1.1285560000000001</v>
      </c>
      <c r="AF24" s="139">
        <v>-80.627306273062729</v>
      </c>
      <c r="AG24" s="139">
        <v>112.19047619047619</v>
      </c>
      <c r="AH24" s="139">
        <v>-97.879129129129126</v>
      </c>
    </row>
    <row r="25" spans="2:34" x14ac:dyDescent="0.55000000000000004">
      <c r="B25" s="141" t="s">
        <v>198</v>
      </c>
      <c r="C25" s="139">
        <v>25496.871756866287</v>
      </c>
      <c r="D25" s="139">
        <v>65951.956333892711</v>
      </c>
      <c r="E25" s="139">
        <v>85515.118837054892</v>
      </c>
      <c r="F25" s="139">
        <v>89979.481270363482</v>
      </c>
      <c r="G25" s="139">
        <v>344.93115074188216</v>
      </c>
      <c r="H25" s="139">
        <v>158.66688734734896</v>
      </c>
      <c r="I25" s="139">
        <v>29.662742396131954</v>
      </c>
      <c r="J25" s="139">
        <v>-99.616657042250083</v>
      </c>
      <c r="K25" s="139">
        <v>21636.512971166485</v>
      </c>
      <c r="L25" s="139">
        <v>57437.216515772307</v>
      </c>
      <c r="M25" s="139">
        <v>74106.66410685383</v>
      </c>
      <c r="N25" s="139">
        <v>74262.844582377598</v>
      </c>
      <c r="O25" s="139">
        <v>107.18507849023167</v>
      </c>
      <c r="P25" s="139">
        <v>165.46434706891273</v>
      </c>
      <c r="Q25" s="139">
        <v>29.022017430509351</v>
      </c>
      <c r="R25" s="139">
        <v>-99.85566132402154</v>
      </c>
      <c r="S25" s="139">
        <v>3328.5014116415323</v>
      </c>
      <c r="T25" s="139">
        <v>7125.3922020793761</v>
      </c>
      <c r="U25" s="139">
        <v>9414.9673584599714</v>
      </c>
      <c r="V25" s="139">
        <v>14054.138403696397</v>
      </c>
      <c r="W25" s="139">
        <v>156.52591322824946</v>
      </c>
      <c r="X25" s="139">
        <v>114.07210455159984</v>
      </c>
      <c r="Y25" s="139">
        <v>32.132697297972449</v>
      </c>
      <c r="Z25" s="139">
        <v>-98.886235657251163</v>
      </c>
      <c r="AA25" s="139">
        <v>531.85737405826717</v>
      </c>
      <c r="AB25" s="139">
        <v>1389.3476160410337</v>
      </c>
      <c r="AC25" s="139">
        <v>1993.4873717410978</v>
      </c>
      <c r="AD25" s="139">
        <v>1662.4982842894774</v>
      </c>
      <c r="AE25" s="139">
        <v>81.220159023401038</v>
      </c>
      <c r="AF25" s="139">
        <v>161.22475839506635</v>
      </c>
      <c r="AG25" s="139">
        <v>43.483643430381122</v>
      </c>
      <c r="AH25" s="139">
        <v>-95.11458646616542</v>
      </c>
    </row>
    <row r="26" spans="2:34" x14ac:dyDescent="0.55000000000000004">
      <c r="B26" s="142" t="s">
        <v>199</v>
      </c>
      <c r="C26" s="139">
        <v>25367.138937046282</v>
      </c>
      <c r="D26" s="139">
        <v>65818.030096372226</v>
      </c>
      <c r="E26" s="139">
        <v>85204.900556277382</v>
      </c>
      <c r="F26" s="139">
        <v>89474.155423270684</v>
      </c>
      <c r="G26" s="139">
        <v>336.98366136188218</v>
      </c>
      <c r="H26" s="139">
        <v>159.46176825609825</v>
      </c>
      <c r="I26" s="139">
        <v>29.455257168894292</v>
      </c>
      <c r="J26" s="139">
        <v>-99.623377296864248</v>
      </c>
      <c r="K26" s="139">
        <v>21538.003293306483</v>
      </c>
      <c r="L26" s="139">
        <v>57423.80069501431</v>
      </c>
      <c r="M26" s="139">
        <v>74018.210721136318</v>
      </c>
      <c r="N26" s="139">
        <v>73999.51828710761</v>
      </c>
      <c r="O26" s="139">
        <v>99.237589110231667</v>
      </c>
      <c r="P26" s="139">
        <v>166.61621320456868</v>
      </c>
      <c r="Q26" s="139">
        <v>28.898139795694476</v>
      </c>
      <c r="R26" s="139">
        <v>-99.865891021995807</v>
      </c>
      <c r="S26" s="139">
        <v>3300.7793121515319</v>
      </c>
      <c r="T26" s="139">
        <v>7063.9268433893776</v>
      </c>
      <c r="U26" s="139">
        <v>9268.0152832699714</v>
      </c>
      <c r="V26" s="139">
        <v>13812.162817011998</v>
      </c>
      <c r="W26" s="139">
        <v>156.52591322824946</v>
      </c>
      <c r="X26" s="139">
        <v>114.00790116275546</v>
      </c>
      <c r="Y26" s="139">
        <v>31.202036260268716</v>
      </c>
      <c r="Z26" s="139">
        <v>-98.866723235178284</v>
      </c>
      <c r="AA26" s="139">
        <v>528.35633158826704</v>
      </c>
      <c r="AB26" s="139">
        <v>1330.3025579685341</v>
      </c>
      <c r="AC26" s="139">
        <v>1918.6745518710979</v>
      </c>
      <c r="AD26" s="139">
        <v>1662.4743191510725</v>
      </c>
      <c r="AE26" s="139">
        <v>81.220159023401038</v>
      </c>
      <c r="AF26" s="139">
        <v>151.77909001438414</v>
      </c>
      <c r="AG26" s="139">
        <v>44.228369540705117</v>
      </c>
      <c r="AH26" s="139">
        <v>-95.114498306736365</v>
      </c>
    </row>
    <row r="27" spans="2:34" x14ac:dyDescent="0.55000000000000004">
      <c r="B27" s="143" t="s">
        <v>200</v>
      </c>
      <c r="C27" s="139">
        <v>12849.167029909908</v>
      </c>
      <c r="D27" s="139">
        <v>17472.515366543001</v>
      </c>
      <c r="E27" s="139">
        <v>26227.138305753324</v>
      </c>
      <c r="F27" s="139">
        <v>23367.092360202685</v>
      </c>
      <c r="G27" s="139">
        <v>96.442056455633761</v>
      </c>
      <c r="H27" s="139">
        <v>35.981701541811653</v>
      </c>
      <c r="I27" s="139">
        <v>50.105079290222584</v>
      </c>
      <c r="J27" s="139">
        <v>-99.587282798157574</v>
      </c>
      <c r="K27" s="139">
        <v>11092.646230080174</v>
      </c>
      <c r="L27" s="139">
        <v>15606.122023888687</v>
      </c>
      <c r="M27" s="139">
        <v>23762.816956737595</v>
      </c>
      <c r="N27" s="139">
        <v>21130.955827703994</v>
      </c>
      <c r="O27" s="139">
        <v>43.78674404648315</v>
      </c>
      <c r="P27" s="139">
        <v>40.688834498519299</v>
      </c>
      <c r="Q27" s="139">
        <v>52.266034094316836</v>
      </c>
      <c r="R27" s="139">
        <v>-99.792768525424307</v>
      </c>
      <c r="S27" s="139">
        <v>1458.5820868894659</v>
      </c>
      <c r="T27" s="139">
        <v>1605.6276787544302</v>
      </c>
      <c r="U27" s="139">
        <v>2076.6404628700084</v>
      </c>
      <c r="V27" s="139">
        <v>2143.3461554034434</v>
      </c>
      <c r="W27" s="139">
        <v>30.727905160750012</v>
      </c>
      <c r="X27" s="139">
        <v>10.081723319941325</v>
      </c>
      <c r="Y27" s="139">
        <v>29.334902810734711</v>
      </c>
      <c r="Z27" s="139">
        <v>-98.566263092821984</v>
      </c>
      <c r="AA27" s="139">
        <v>297.93871294026718</v>
      </c>
      <c r="AB27" s="139">
        <v>260.76566389988449</v>
      </c>
      <c r="AC27" s="139">
        <v>387.68088614572275</v>
      </c>
      <c r="AD27" s="139">
        <v>92.790377095245745</v>
      </c>
      <c r="AE27" s="139">
        <v>21.927407248400602</v>
      </c>
      <c r="AF27" s="139">
        <v>-12.475666241525145</v>
      </c>
      <c r="AG27" s="139">
        <v>48.667408060743192</v>
      </c>
      <c r="AH27" s="139">
        <v>-76.365987714193352</v>
      </c>
    </row>
    <row r="28" spans="2:34" x14ac:dyDescent="0.55000000000000004">
      <c r="B28" s="144" t="s">
        <v>201</v>
      </c>
      <c r="C28" s="139">
        <v>8873.1161572313067</v>
      </c>
      <c r="D28" s="139">
        <v>10503.457537043581</v>
      </c>
      <c r="E28" s="139">
        <v>13832.779535591259</v>
      </c>
      <c r="F28" s="139">
        <v>14566.878496739839</v>
      </c>
      <c r="G28" s="139">
        <v>64.863393566810103</v>
      </c>
      <c r="H28" s="139">
        <v>18.373920334673691</v>
      </c>
      <c r="I28" s="139">
        <v>31.697364487511752</v>
      </c>
      <c r="J28" s="139">
        <v>-99.554743363026247</v>
      </c>
      <c r="K28" s="139">
        <v>7624.7038697422358</v>
      </c>
      <c r="L28" s="139">
        <v>9747.624441009526</v>
      </c>
      <c r="M28" s="139">
        <v>13246.134921933557</v>
      </c>
      <c r="N28" s="139">
        <v>13315.538393988021</v>
      </c>
      <c r="O28" s="139">
        <v>32.608383576409423</v>
      </c>
      <c r="P28" s="139">
        <v>27.842669219772592</v>
      </c>
      <c r="Q28" s="139">
        <v>35.890914910511469</v>
      </c>
      <c r="R28" s="139">
        <v>-99.755098178519233</v>
      </c>
      <c r="S28" s="139">
        <v>1027.7380497943038</v>
      </c>
      <c r="T28" s="139">
        <v>596.09943236217134</v>
      </c>
      <c r="U28" s="139">
        <v>387.31190953657824</v>
      </c>
      <c r="V28" s="139">
        <v>1248.3066582709728</v>
      </c>
      <c r="W28" s="139">
        <v>-0.69209500999999973</v>
      </c>
      <c r="X28" s="139">
        <v>-41.998949150563369</v>
      </c>
      <c r="Y28" s="139">
        <v>-35.026002348599235</v>
      </c>
      <c r="Z28" s="139">
        <v>-100.05527473143691</v>
      </c>
      <c r="AA28" s="139">
        <v>220.67423769476727</v>
      </c>
      <c r="AB28" s="139">
        <v>159.73366367188427</v>
      </c>
      <c r="AC28" s="139">
        <v>199.33270412112293</v>
      </c>
      <c r="AD28" s="139">
        <v>3.033444480845696</v>
      </c>
      <c r="AE28" s="139">
        <v>32.947105000400676</v>
      </c>
      <c r="AF28" s="139">
        <v>-27.615897040830202</v>
      </c>
      <c r="AG28" s="139">
        <v>24.791836223627389</v>
      </c>
      <c r="AH28" s="139">
        <v>987.45874587458752</v>
      </c>
    </row>
    <row r="29" spans="2:34" x14ac:dyDescent="0.55000000000000004">
      <c r="B29" s="144" t="s">
        <v>202</v>
      </c>
      <c r="C29" s="139">
        <v>3976.0508726786011</v>
      </c>
      <c r="D29" s="139">
        <v>6969.0578294994202</v>
      </c>
      <c r="E29" s="139">
        <v>12394.358770162065</v>
      </c>
      <c r="F29" s="139">
        <v>8800.2138634628427</v>
      </c>
      <c r="G29" s="139">
        <v>31.578662888823658</v>
      </c>
      <c r="H29" s="139">
        <v>75.275964839476359</v>
      </c>
      <c r="I29" s="139">
        <v>77.848375534146641</v>
      </c>
      <c r="J29" s="139">
        <v>-99.641144927223323</v>
      </c>
      <c r="K29" s="139">
        <v>3467.9423603379391</v>
      </c>
      <c r="L29" s="139">
        <v>5858.4975828791603</v>
      </c>
      <c r="M29" s="139">
        <v>10516.682034804036</v>
      </c>
      <c r="N29" s="139">
        <v>7815.4174337159729</v>
      </c>
      <c r="O29" s="139">
        <v>11.178360470073722</v>
      </c>
      <c r="P29" s="139">
        <v>68.933141865199516</v>
      </c>
      <c r="Q29" s="139">
        <v>79.511479047537762</v>
      </c>
      <c r="R29" s="139">
        <v>-99.856949466567372</v>
      </c>
      <c r="S29" s="139">
        <v>430.84403709516226</v>
      </c>
      <c r="T29" s="139">
        <v>1009.5282463922591</v>
      </c>
      <c r="U29" s="139">
        <v>1689.3285533334299</v>
      </c>
      <c r="V29" s="139">
        <v>895.03949713246993</v>
      </c>
      <c r="W29" s="139">
        <v>31.420000170750008</v>
      </c>
      <c r="X29" s="139">
        <v>134.3166836876799</v>
      </c>
      <c r="Y29" s="139">
        <v>67.338266321951807</v>
      </c>
      <c r="Z29" s="139">
        <v>-96.489542366821595</v>
      </c>
      <c r="AA29" s="139">
        <v>77.264475245499895</v>
      </c>
      <c r="AB29" s="139">
        <v>101.03200022800013</v>
      </c>
      <c r="AC29" s="139">
        <v>188.34818202459988</v>
      </c>
      <c r="AD29" s="139">
        <v>89.756932614400057</v>
      </c>
      <c r="AE29" s="139">
        <v>-11.019697752000072</v>
      </c>
      <c r="AF29" s="139">
        <v>30.766243851928547</v>
      </c>
      <c r="AG29" s="139">
        <v>86.429773334653078</v>
      </c>
      <c r="AH29" s="139">
        <v>-112.277183600713</v>
      </c>
    </row>
    <row r="30" spans="2:34" x14ac:dyDescent="0.55000000000000004">
      <c r="B30" s="143" t="s">
        <v>203</v>
      </c>
      <c r="C30" s="139">
        <v>12087.508807250297</v>
      </c>
      <c r="D30" s="139">
        <v>45634.183968650104</v>
      </c>
      <c r="E30" s="139">
        <v>56155.096660783485</v>
      </c>
      <c r="F30" s="139">
        <v>65705.848661741562</v>
      </c>
      <c r="G30" s="139">
        <v>240.54160490624841</v>
      </c>
      <c r="H30" s="139">
        <v>277.53168353118218</v>
      </c>
      <c r="I30" s="139">
        <v>23.054911910326858</v>
      </c>
      <c r="J30" s="139">
        <v>-99.633913875248552</v>
      </c>
      <c r="K30" s="139">
        <v>10018.67665422631</v>
      </c>
      <c r="L30" s="139">
        <v>39248.803119375603</v>
      </c>
      <c r="M30" s="139">
        <v>47484.886757398745</v>
      </c>
      <c r="N30" s="139">
        <v>52532.192703927998</v>
      </c>
      <c r="O30" s="139">
        <v>55.450845063748531</v>
      </c>
      <c r="P30" s="139">
        <v>291.75619941948446</v>
      </c>
      <c r="Q30" s="139">
        <v>20.98431034834185</v>
      </c>
      <c r="R30" s="139">
        <v>-99.89444567226306</v>
      </c>
      <c r="S30" s="139">
        <v>1840.3851743759863</v>
      </c>
      <c r="T30" s="139">
        <v>5352.0543519683752</v>
      </c>
      <c r="U30" s="139">
        <v>7139.2162376593633</v>
      </c>
      <c r="V30" s="139">
        <v>11643.498412778556</v>
      </c>
      <c r="W30" s="139">
        <v>125.79800806749944</v>
      </c>
      <c r="X30" s="139">
        <v>190.81064339623666</v>
      </c>
      <c r="Y30" s="139">
        <v>33.392251567156507</v>
      </c>
      <c r="Z30" s="139">
        <v>-98.919568858161199</v>
      </c>
      <c r="AA30" s="139">
        <v>228.44697864799991</v>
      </c>
      <c r="AB30" s="139">
        <v>1033.3264973061196</v>
      </c>
      <c r="AC30" s="139">
        <v>1530.993665725375</v>
      </c>
      <c r="AD30" s="139">
        <v>1530.1575450349992</v>
      </c>
      <c r="AE30" s="139">
        <v>59.292751775000426</v>
      </c>
      <c r="AF30" s="139">
        <v>352.32217115342519</v>
      </c>
      <c r="AG30" s="139">
        <v>48.160800518711362</v>
      </c>
      <c r="AH30" s="139">
        <v>-96.125241804778582</v>
      </c>
    </row>
    <row r="31" spans="2:34" x14ac:dyDescent="0.55000000000000004">
      <c r="B31" s="143" t="s">
        <v>204</v>
      </c>
      <c r="C31" s="139">
        <v>430.46309988607999</v>
      </c>
      <c r="D31" s="139">
        <v>2711.3307611791006</v>
      </c>
      <c r="E31" s="139">
        <v>2822.6655897406004</v>
      </c>
      <c r="F31" s="139">
        <v>401.21440132642806</v>
      </c>
      <c r="G31" s="139">
        <v>0</v>
      </c>
      <c r="H31" s="139">
        <v>529.86804813455376</v>
      </c>
      <c r="I31" s="139">
        <v>4.1064717315856107</v>
      </c>
      <c r="J31" s="139">
        <v>-100</v>
      </c>
      <c r="K31" s="139">
        <v>426.680409</v>
      </c>
      <c r="L31" s="139">
        <v>2568.8755517499999</v>
      </c>
      <c r="M31" s="139">
        <v>2770.5070070000002</v>
      </c>
      <c r="N31" s="139">
        <v>336.36975547560087</v>
      </c>
      <c r="O31" s="139">
        <v>0</v>
      </c>
      <c r="P31" s="139">
        <v>502.06243554888914</v>
      </c>
      <c r="Q31" s="139">
        <v>7.8489458441032705</v>
      </c>
      <c r="R31" s="139">
        <v>-100</v>
      </c>
      <c r="S31" s="139">
        <v>1.8120508860799989</v>
      </c>
      <c r="T31" s="139">
        <v>106.24481266657091</v>
      </c>
      <c r="U31" s="139">
        <v>52.158582740599996</v>
      </c>
      <c r="V31" s="139">
        <v>25.318248830000002</v>
      </c>
      <c r="W31" s="139">
        <v>0</v>
      </c>
      <c r="X31" s="139">
        <v>5769.6132596685084</v>
      </c>
      <c r="Y31" s="139">
        <v>-50.903614457831331</v>
      </c>
      <c r="Z31" s="139">
        <v>-100</v>
      </c>
      <c r="AA31" s="139">
        <v>1.9706400000000002</v>
      </c>
      <c r="AB31" s="139">
        <v>36.210396762529847</v>
      </c>
      <c r="AC31" s="139">
        <v>0</v>
      </c>
      <c r="AD31" s="139">
        <v>39.526397020827169</v>
      </c>
      <c r="AE31" s="139">
        <v>0</v>
      </c>
      <c r="AF31" s="139">
        <v>1738.0710659898477</v>
      </c>
      <c r="AG31" s="139">
        <v>-100</v>
      </c>
      <c r="AH31" s="139">
        <v>-100</v>
      </c>
    </row>
    <row r="32" spans="2:34" x14ac:dyDescent="0.55000000000000004">
      <c r="B32" s="142" t="s">
        <v>205</v>
      </c>
      <c r="C32" s="139">
        <v>13.345526489999999</v>
      </c>
      <c r="D32" s="139">
        <v>88.539086742500004</v>
      </c>
      <c r="E32" s="139">
        <v>152.77515110999997</v>
      </c>
      <c r="F32" s="139">
        <v>2.9333297399999765</v>
      </c>
      <c r="G32" s="139">
        <v>7.9474893799999995</v>
      </c>
      <c r="H32" s="139">
        <v>563.22097378277158</v>
      </c>
      <c r="I32" s="139">
        <v>72.554777501694133</v>
      </c>
      <c r="J32" s="139">
        <v>171.3310580204778</v>
      </c>
      <c r="K32" s="139">
        <v>0</v>
      </c>
      <c r="L32" s="139">
        <v>4.2188474935755949E-15</v>
      </c>
      <c r="M32" s="139">
        <v>54.742748939999956</v>
      </c>
      <c r="N32" s="139">
        <v>2.9333297399999765</v>
      </c>
      <c r="O32" s="139">
        <v>7.9474893799999995</v>
      </c>
      <c r="P32" s="139">
        <v>0</v>
      </c>
      <c r="Q32" s="139">
        <v>0</v>
      </c>
      <c r="R32" s="139">
        <v>171.3310580204778</v>
      </c>
      <c r="S32" s="139">
        <v>9.9730594899999989</v>
      </c>
      <c r="T32" s="139">
        <v>30.604409239999999</v>
      </c>
      <c r="U32" s="139">
        <v>23.219582299999999</v>
      </c>
      <c r="V32" s="139">
        <v>0</v>
      </c>
      <c r="W32" s="139">
        <v>0</v>
      </c>
      <c r="X32" s="139">
        <v>206.92076228686062</v>
      </c>
      <c r="Y32" s="139">
        <v>-24.117647058823536</v>
      </c>
      <c r="Z32" s="139">
        <v>0</v>
      </c>
      <c r="AA32" s="139">
        <v>3.3724669999999999</v>
      </c>
      <c r="AB32" s="139">
        <v>57.934677502500001</v>
      </c>
      <c r="AC32" s="139">
        <v>74.812819869999998</v>
      </c>
      <c r="AD32" s="139">
        <v>0</v>
      </c>
      <c r="AE32" s="139">
        <v>0</v>
      </c>
      <c r="AF32" s="139">
        <v>1618.9910979228487</v>
      </c>
      <c r="AG32" s="139">
        <v>29.138615570516144</v>
      </c>
      <c r="AH32" s="139">
        <v>0</v>
      </c>
    </row>
    <row r="33" spans="2:34" x14ac:dyDescent="0.55000000000000004">
      <c r="B33" s="142" t="s">
        <v>206</v>
      </c>
      <c r="C33" s="139">
        <v>97.624668370000009</v>
      </c>
      <c r="D33" s="139">
        <v>16.359979958</v>
      </c>
      <c r="E33" s="139">
        <v>30.854127757499967</v>
      </c>
      <c r="F33" s="139">
        <v>0</v>
      </c>
      <c r="G33" s="139">
        <v>0</v>
      </c>
      <c r="H33" s="139">
        <v>-83.241139110837949</v>
      </c>
      <c r="I33" s="139">
        <v>88.569682151589262</v>
      </c>
      <c r="J33" s="139">
        <v>0</v>
      </c>
      <c r="K33" s="139">
        <v>95.076092900000006</v>
      </c>
      <c r="L33" s="139">
        <v>13.393139948</v>
      </c>
      <c r="M33" s="139">
        <v>30.854127757499967</v>
      </c>
      <c r="N33" s="139">
        <v>0</v>
      </c>
      <c r="O33" s="139">
        <v>0</v>
      </c>
      <c r="P33" s="139">
        <v>-85.917122423222551</v>
      </c>
      <c r="Q33" s="139">
        <v>130.39581777445855</v>
      </c>
      <c r="R33" s="139">
        <v>0</v>
      </c>
      <c r="S33" s="139">
        <v>2.42</v>
      </c>
      <c r="T33" s="139">
        <v>2.9668400099999999</v>
      </c>
      <c r="U33" s="139">
        <v>0</v>
      </c>
      <c r="V33" s="139">
        <v>0</v>
      </c>
      <c r="W33" s="139">
        <v>0</v>
      </c>
      <c r="X33" s="139">
        <v>22.727272727272741</v>
      </c>
      <c r="Y33" s="139">
        <v>-100</v>
      </c>
      <c r="Z33" s="139">
        <v>0</v>
      </c>
      <c r="AA33" s="139">
        <v>0.12857547</v>
      </c>
      <c r="AB33" s="139">
        <v>0</v>
      </c>
      <c r="AC33" s="139">
        <v>0</v>
      </c>
      <c r="AD33" s="139">
        <v>0</v>
      </c>
      <c r="AE33" s="139">
        <v>0</v>
      </c>
      <c r="AF33" s="139">
        <v>-100</v>
      </c>
      <c r="AG33" s="139">
        <v>0</v>
      </c>
      <c r="AH33" s="139">
        <v>0</v>
      </c>
    </row>
    <row r="34" spans="2:34" x14ac:dyDescent="0.55000000000000004">
      <c r="B34" s="142" t="s">
        <v>207</v>
      </c>
      <c r="C34" s="139">
        <v>18.762624960000004</v>
      </c>
      <c r="D34" s="139">
        <v>29.027170819999998</v>
      </c>
      <c r="E34" s="139">
        <v>126.58900191000001</v>
      </c>
      <c r="F34" s="139">
        <v>502.39251735280504</v>
      </c>
      <c r="G34" s="139">
        <v>0</v>
      </c>
      <c r="H34" s="139">
        <v>54.744136460554365</v>
      </c>
      <c r="I34" s="139">
        <v>336.06613847743711</v>
      </c>
      <c r="J34" s="139">
        <v>-100</v>
      </c>
      <c r="K34" s="139">
        <v>3.4335849600000024</v>
      </c>
      <c r="L34" s="139">
        <v>2.2680810000000003E-2</v>
      </c>
      <c r="M34" s="139">
        <v>2.8565090199999998</v>
      </c>
      <c r="N34" s="139">
        <v>260.39296552999997</v>
      </c>
      <c r="O34" s="139">
        <v>0</v>
      </c>
      <c r="P34" s="139">
        <v>-99.416909620991248</v>
      </c>
      <c r="Q34" s="139">
        <v>14200</v>
      </c>
      <c r="R34" s="139">
        <v>-100</v>
      </c>
      <c r="S34" s="139">
        <v>15.329040000000001</v>
      </c>
      <c r="T34" s="139">
        <v>27.894109439999998</v>
      </c>
      <c r="U34" s="139">
        <v>123.73249289</v>
      </c>
      <c r="V34" s="139">
        <v>241.97558668439999</v>
      </c>
      <c r="W34" s="139">
        <v>0</v>
      </c>
      <c r="X34" s="139">
        <v>81.930854533594257</v>
      </c>
      <c r="Y34" s="139">
        <v>343.63571172463247</v>
      </c>
      <c r="Z34" s="139">
        <v>-100</v>
      </c>
      <c r="AA34" s="139">
        <v>0</v>
      </c>
      <c r="AB34" s="139">
        <v>1.11038057</v>
      </c>
      <c r="AC34" s="139">
        <v>0</v>
      </c>
      <c r="AD34" s="139">
        <v>2.3965138405088054E-2</v>
      </c>
      <c r="AE34" s="139">
        <v>0</v>
      </c>
      <c r="AF34" s="139">
        <v>0</v>
      </c>
      <c r="AG34" s="139">
        <v>-100</v>
      </c>
      <c r="AH34" s="139">
        <v>-100</v>
      </c>
    </row>
    <row r="35" spans="2:34" x14ac:dyDescent="0.55000000000000004">
      <c r="B35" s="138" t="s">
        <v>208</v>
      </c>
      <c r="C35" s="139">
        <v>1607.2055562648673</v>
      </c>
      <c r="D35" s="139">
        <v>2822.9898236627273</v>
      </c>
      <c r="E35" s="139">
        <v>4025.625278468844</v>
      </c>
      <c r="F35" s="139">
        <v>8708.57104962019</v>
      </c>
      <c r="G35" s="139">
        <v>32.428757060000002</v>
      </c>
      <c r="H35" s="139">
        <v>75.645373037748627</v>
      </c>
      <c r="I35" s="139">
        <v>42.601638688057712</v>
      </c>
      <c r="J35" s="139">
        <v>-99.627608206628651</v>
      </c>
      <c r="K35" s="139">
        <v>1489.4708448148672</v>
      </c>
      <c r="L35" s="139">
        <v>2602.0568492505631</v>
      </c>
      <c r="M35" s="139">
        <v>3785.9799724499994</v>
      </c>
      <c r="N35" s="139">
        <v>8240.9569702700028</v>
      </c>
      <c r="O35" s="139">
        <v>32.428757060000002</v>
      </c>
      <c r="P35" s="139">
        <v>74.697039886671092</v>
      </c>
      <c r="Q35" s="139">
        <v>45.499335142156603</v>
      </c>
      <c r="R35" s="139">
        <v>-99.606477886071517</v>
      </c>
      <c r="S35" s="139">
        <v>36.281285489999995</v>
      </c>
      <c r="T35" s="139">
        <v>150.08126620216399</v>
      </c>
      <c r="U35" s="139">
        <v>148.07059292884449</v>
      </c>
      <c r="V35" s="139">
        <v>255.24710887018816</v>
      </c>
      <c r="W35" s="139">
        <v>0</v>
      </c>
      <c r="X35" s="139">
        <v>313.6714443219405</v>
      </c>
      <c r="Y35" s="139">
        <v>-1.3392857142857271</v>
      </c>
      <c r="Z35" s="139">
        <v>-100</v>
      </c>
      <c r="AA35" s="139">
        <v>81.453425960000004</v>
      </c>
      <c r="AB35" s="139">
        <v>70.851708210000012</v>
      </c>
      <c r="AC35" s="139">
        <v>91.574713090000003</v>
      </c>
      <c r="AD35" s="139">
        <v>212.36697047999999</v>
      </c>
      <c r="AE35" s="139">
        <v>0</v>
      </c>
      <c r="AF35" s="139">
        <v>-13.014119091467169</v>
      </c>
      <c r="AG35" s="139">
        <v>29.244883556810166</v>
      </c>
      <c r="AH35" s="139">
        <v>-100</v>
      </c>
    </row>
    <row r="36" spans="2:34" x14ac:dyDescent="0.55000000000000004">
      <c r="B36" s="138" t="s">
        <v>209</v>
      </c>
      <c r="C36" s="139">
        <v>11765.547368171563</v>
      </c>
      <c r="D36" s="139">
        <v>10406.567339027066</v>
      </c>
      <c r="E36" s="139">
        <v>10641.535342837393</v>
      </c>
      <c r="F36" s="139">
        <v>11756.521151557097</v>
      </c>
      <c r="G36" s="139">
        <v>1385.8608569990697</v>
      </c>
      <c r="H36" s="139">
        <v>-11.550501251535199</v>
      </c>
      <c r="I36" s="139">
        <v>2.2579005378333221</v>
      </c>
      <c r="J36" s="139">
        <v>-88.211987901181644</v>
      </c>
      <c r="K36" s="139">
        <v>10672.535354880247</v>
      </c>
      <c r="L36" s="139">
        <v>9461.7706895865722</v>
      </c>
      <c r="M36" s="139">
        <v>9671.2311565570635</v>
      </c>
      <c r="N36" s="139">
        <v>10611.361854893568</v>
      </c>
      <c r="O36" s="139">
        <v>1244.9515356349432</v>
      </c>
      <c r="P36" s="139">
        <v>-11.344722062414386</v>
      </c>
      <c r="Q36" s="139">
        <v>2.2137507041494255</v>
      </c>
      <c r="R36" s="139">
        <v>-88.267762096470193</v>
      </c>
      <c r="S36" s="139">
        <v>987.2311114672998</v>
      </c>
      <c r="T36" s="139">
        <v>843.64772211924742</v>
      </c>
      <c r="U36" s="139">
        <v>867.96662643251102</v>
      </c>
      <c r="V36" s="139">
        <v>961.23698712208602</v>
      </c>
      <c r="W36" s="139">
        <v>129.3362571645537</v>
      </c>
      <c r="X36" s="139">
        <v>-14.54372334714302</v>
      </c>
      <c r="Y36" s="139">
        <v>2.8827120251289102</v>
      </c>
      <c r="Z36" s="139">
        <v>-86.544463401439799</v>
      </c>
      <c r="AA36" s="139">
        <v>105.78090182401627</v>
      </c>
      <c r="AB36" s="139">
        <v>101.14892732124702</v>
      </c>
      <c r="AC36" s="139">
        <v>102.33755984781862</v>
      </c>
      <c r="AD36" s="139">
        <v>183.92230954144316</v>
      </c>
      <c r="AE36" s="139">
        <v>11.57306419957296</v>
      </c>
      <c r="AF36" s="139">
        <v>-4.3770088863679293</v>
      </c>
      <c r="AG36" s="139">
        <v>1.1764705882352917</v>
      </c>
      <c r="AH36" s="139">
        <v>-93.709221400608968</v>
      </c>
    </row>
    <row r="37" spans="2:34" x14ac:dyDescent="0.55000000000000004">
      <c r="B37" s="138" t="s">
        <v>210</v>
      </c>
      <c r="C37" s="139">
        <v>34273.234998453976</v>
      </c>
      <c r="D37" s="139">
        <v>32840.197140700155</v>
      </c>
      <c r="E37" s="139">
        <v>33085.291290785601</v>
      </c>
      <c r="F37" s="139">
        <v>35956.38935766073</v>
      </c>
      <c r="G37" s="139">
        <v>4090.6423051777215</v>
      </c>
      <c r="H37" s="139">
        <v>-4.1811933103474814</v>
      </c>
      <c r="I37" s="139">
        <v>0.7463109238068093</v>
      </c>
      <c r="J37" s="139">
        <v>-88.623329538922007</v>
      </c>
      <c r="K37" s="139">
        <v>30802.51584420375</v>
      </c>
      <c r="L37" s="139">
        <v>29784.385467483193</v>
      </c>
      <c r="M37" s="139">
        <v>29988.901129475529</v>
      </c>
      <c r="N37" s="139">
        <v>32801.494549138668</v>
      </c>
      <c r="O37" s="139">
        <v>3663.9870273790712</v>
      </c>
      <c r="P37" s="139">
        <v>-3.3053464456804216</v>
      </c>
      <c r="Q37" s="139">
        <v>0.68663484462835078</v>
      </c>
      <c r="R37" s="139">
        <v>-88.829806206974141</v>
      </c>
      <c r="S37" s="139">
        <v>3010.4536817559683</v>
      </c>
      <c r="T37" s="139">
        <v>2603.5937154910762</v>
      </c>
      <c r="U37" s="139">
        <v>3010.5953689610624</v>
      </c>
      <c r="V37" s="139">
        <v>2628.23913957888</v>
      </c>
      <c r="W37" s="139">
        <v>349.62661418110332</v>
      </c>
      <c r="X37" s="139">
        <v>-13.514923018153423</v>
      </c>
      <c r="Y37" s="139">
        <v>15.632645693062262</v>
      </c>
      <c r="Z37" s="139">
        <v>-86.697181383739689</v>
      </c>
      <c r="AA37" s="139">
        <v>460.26547249425539</v>
      </c>
      <c r="AB37" s="139">
        <v>452.21795772588638</v>
      </c>
      <c r="AC37" s="139">
        <v>85.794792349004297</v>
      </c>
      <c r="AD37" s="139">
        <v>526.65566894317919</v>
      </c>
      <c r="AE37" s="139">
        <v>77.028663617546997</v>
      </c>
      <c r="AF37" s="139">
        <v>-1.7489734286397016</v>
      </c>
      <c r="AG37" s="139">
        <v>-81.029145106364155</v>
      </c>
      <c r="AH37" s="139">
        <v>-85.37386549196826</v>
      </c>
    </row>
    <row r="38" spans="2:34" x14ac:dyDescent="0.55000000000000004">
      <c r="B38" s="138" t="s">
        <v>211</v>
      </c>
      <c r="C38" s="139">
        <v>6.8532384300000038</v>
      </c>
      <c r="D38" s="139">
        <v>79.057538399999984</v>
      </c>
      <c r="E38" s="139">
        <v>165.22477166000002</v>
      </c>
      <c r="F38" s="139">
        <v>7.9992174399999998</v>
      </c>
      <c r="G38" s="139">
        <v>2.084227E-2</v>
      </c>
      <c r="H38" s="139">
        <v>1054.1605839416061</v>
      </c>
      <c r="I38" s="139">
        <v>108.98052112319756</v>
      </c>
      <c r="J38" s="139">
        <v>-99.75</v>
      </c>
      <c r="K38" s="139">
        <v>6.7382384300000036</v>
      </c>
      <c r="L38" s="139">
        <v>72.077294349999988</v>
      </c>
      <c r="M38" s="139">
        <v>164.71758911000001</v>
      </c>
      <c r="N38" s="139">
        <v>7.9992174399999998</v>
      </c>
      <c r="O38" s="139">
        <v>2.084227E-2</v>
      </c>
      <c r="P38" s="139">
        <v>969.43620178041544</v>
      </c>
      <c r="Q38" s="139">
        <v>128.52386237513875</v>
      </c>
      <c r="R38" s="139">
        <v>-99.75</v>
      </c>
      <c r="S38" s="139">
        <v>0</v>
      </c>
      <c r="T38" s="139">
        <v>0</v>
      </c>
      <c r="U38" s="139">
        <v>0</v>
      </c>
      <c r="V38" s="139">
        <v>0</v>
      </c>
      <c r="W38" s="139">
        <v>0</v>
      </c>
      <c r="X38" s="139">
        <v>0</v>
      </c>
      <c r="Y38" s="139">
        <v>0</v>
      </c>
      <c r="Z38" s="139">
        <v>0</v>
      </c>
      <c r="AA38" s="139">
        <v>0.115</v>
      </c>
      <c r="AB38" s="139">
        <v>6.9802440499999996</v>
      </c>
      <c r="AC38" s="139">
        <v>0.50718255000000001</v>
      </c>
      <c r="AD38" s="139">
        <v>0</v>
      </c>
      <c r="AE38" s="139">
        <v>0</v>
      </c>
      <c r="AF38" s="139">
        <v>5716.666666666667</v>
      </c>
      <c r="AG38" s="139">
        <v>-92.693409742120352</v>
      </c>
      <c r="AH38" s="139">
        <v>0</v>
      </c>
    </row>
    <row r="39" spans="2:34" x14ac:dyDescent="0.55000000000000004">
      <c r="B39" s="138" t="s">
        <v>212</v>
      </c>
      <c r="C39" s="139">
        <v>83437.64304833136</v>
      </c>
      <c r="D39" s="139">
        <v>77770.814067845058</v>
      </c>
      <c r="E39" s="139">
        <v>70917.890732091866</v>
      </c>
      <c r="F39" s="139">
        <v>78796.094713390528</v>
      </c>
      <c r="G39" s="139">
        <v>9374.7155001089814</v>
      </c>
      <c r="H39" s="139">
        <v>-6.7916949712384032</v>
      </c>
      <c r="I39" s="139">
        <v>-8.8116865440902536</v>
      </c>
      <c r="J39" s="139">
        <v>-88.102556865448534</v>
      </c>
      <c r="K39" s="139">
        <v>74801.438708170608</v>
      </c>
      <c r="L39" s="139">
        <v>70037.406023460091</v>
      </c>
      <c r="M39" s="139">
        <v>64153.105861572338</v>
      </c>
      <c r="N39" s="139">
        <v>71510.823923259319</v>
      </c>
      <c r="O39" s="139">
        <v>8382.9284018287981</v>
      </c>
      <c r="P39" s="139">
        <v>-6.3689014543035514</v>
      </c>
      <c r="Q39" s="139">
        <v>-8.4016527738532911</v>
      </c>
      <c r="R39" s="139">
        <v>-88.277396343658211</v>
      </c>
      <c r="S39" s="139">
        <v>6970.4234512260728</v>
      </c>
      <c r="T39" s="139">
        <v>6190.8353762500446</v>
      </c>
      <c r="U39" s="139">
        <v>5928.7554271385297</v>
      </c>
      <c r="V39" s="139">
        <v>6049.8287160223399</v>
      </c>
      <c r="W39" s="139">
        <v>816.48074908257411</v>
      </c>
      <c r="X39" s="139">
        <v>-11.184118030190433</v>
      </c>
      <c r="Y39" s="139">
        <v>-4.2333512092058578</v>
      </c>
      <c r="Z39" s="139">
        <v>-86.504083585819771</v>
      </c>
      <c r="AA39" s="139">
        <v>1665.7808889346775</v>
      </c>
      <c r="AB39" s="139">
        <v>1542.5726681349245</v>
      </c>
      <c r="AC39" s="139">
        <v>836.02944338101008</v>
      </c>
      <c r="AD39" s="139">
        <v>1235.4420741088743</v>
      </c>
      <c r="AE39" s="139">
        <v>175.30634919760965</v>
      </c>
      <c r="AF39" s="139">
        <v>-7.3965349565969118</v>
      </c>
      <c r="AG39" s="139">
        <v>-45.802783666219362</v>
      </c>
      <c r="AH39" s="139">
        <v>-85.809913876837413</v>
      </c>
    </row>
    <row r="40" spans="2:34" x14ac:dyDescent="0.55000000000000004">
      <c r="B40" s="145" t="s">
        <v>213</v>
      </c>
      <c r="C40" s="146">
        <v>582243.58992326725</v>
      </c>
      <c r="D40" s="146">
        <v>717105.54985102743</v>
      </c>
      <c r="E40" s="146">
        <v>772570.19610057259</v>
      </c>
      <c r="F40" s="146">
        <v>693236.21333001694</v>
      </c>
      <c r="G40" s="146">
        <v>50878.204662124837</v>
      </c>
      <c r="H40" s="146">
        <v>23.162463669200736</v>
      </c>
      <c r="I40" s="146">
        <v>7.7345169061932237</v>
      </c>
      <c r="J40" s="146">
        <v>-92.660769984880048</v>
      </c>
      <c r="K40" s="146">
        <v>507891.88595312042</v>
      </c>
      <c r="L40" s="146">
        <v>618452.15019153443</v>
      </c>
      <c r="M40" s="146">
        <v>676255.36423659453</v>
      </c>
      <c r="N40" s="146">
        <v>607360.48813191731</v>
      </c>
      <c r="O40" s="146">
        <v>44707.418222466826</v>
      </c>
      <c r="P40" s="146">
        <v>21.768463363335059</v>
      </c>
      <c r="Q40" s="146">
        <v>9.3464320562229375</v>
      </c>
      <c r="R40" s="146">
        <v>-92.639063499174924</v>
      </c>
      <c r="S40" s="146">
        <v>60938.988605513397</v>
      </c>
      <c r="T40" s="146">
        <v>80736.61025905273</v>
      </c>
      <c r="U40" s="146">
        <v>79197.437440156937</v>
      </c>
      <c r="V40" s="146">
        <v>70053.198561097845</v>
      </c>
      <c r="W40" s="146">
        <v>4890.8134777619798</v>
      </c>
      <c r="X40" s="146">
        <v>32.487607687623317</v>
      </c>
      <c r="Y40" s="146">
        <v>-1.9064090008237877</v>
      </c>
      <c r="Z40" s="146">
        <v>-93.018434561162096</v>
      </c>
      <c r="AA40" s="146">
        <v>13412.715364633475</v>
      </c>
      <c r="AB40" s="146">
        <v>17916.789400440328</v>
      </c>
      <c r="AC40" s="146">
        <v>17117.394423821115</v>
      </c>
      <c r="AD40" s="146">
        <v>15822.526637001742</v>
      </c>
      <c r="AE40" s="146">
        <v>1279.9729618960337</v>
      </c>
      <c r="AF40" s="146">
        <v>33.580586189825794</v>
      </c>
      <c r="AG40" s="146">
        <v>-4.4617367285099698</v>
      </c>
      <c r="AH40" s="146">
        <v>-91.910459326037</v>
      </c>
    </row>
    <row r="41" spans="2:34" x14ac:dyDescent="0.55000000000000004">
      <c r="B41" s="147" t="s">
        <v>214</v>
      </c>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row>
    <row r="42" spans="2:34" x14ac:dyDescent="0.55000000000000004">
      <c r="B42" s="138" t="s">
        <v>215</v>
      </c>
      <c r="C42" s="139">
        <v>509365.64503003628</v>
      </c>
      <c r="D42" s="139">
        <v>641876.87857824552</v>
      </c>
      <c r="E42" s="139">
        <v>674108.51393032668</v>
      </c>
      <c r="F42" s="139">
        <v>567193.56848208909</v>
      </c>
      <c r="G42" s="139">
        <v>44606.147188347648</v>
      </c>
      <c r="H42" s="139">
        <v>26.014952127219409</v>
      </c>
      <c r="I42" s="139">
        <v>5.0214661104478484</v>
      </c>
      <c r="J42" s="139">
        <v>-92.135638984764938</v>
      </c>
      <c r="K42" s="139">
        <v>442404.52450258838</v>
      </c>
      <c r="L42" s="139">
        <v>551682.47538971424</v>
      </c>
      <c r="M42" s="139">
        <v>588736.21369517024</v>
      </c>
      <c r="N42" s="139">
        <v>497588.47592760465</v>
      </c>
      <c r="O42" s="139">
        <v>39067.52938618551</v>
      </c>
      <c r="P42" s="139">
        <v>24.700913996086648</v>
      </c>
      <c r="Q42" s="139">
        <v>6.7164956915071841</v>
      </c>
      <c r="R42" s="139">
        <v>-92.148626511610544</v>
      </c>
      <c r="S42" s="139">
        <v>55444.430845102586</v>
      </c>
      <c r="T42" s="139">
        <v>74528.498243039678</v>
      </c>
      <c r="U42" s="139">
        <v>70425.292937246224</v>
      </c>
      <c r="V42" s="139">
        <v>56897.455955557853</v>
      </c>
      <c r="W42" s="139">
        <v>4417.1444276698048</v>
      </c>
      <c r="X42" s="139">
        <v>34.420175299845269</v>
      </c>
      <c r="Y42" s="139">
        <v>-5.5055582763640842</v>
      </c>
      <c r="Z42" s="139">
        <v>-92.236665749226773</v>
      </c>
      <c r="AA42" s="139">
        <v>11516.689682345299</v>
      </c>
      <c r="AB42" s="139">
        <v>15665.904945491633</v>
      </c>
      <c r="AC42" s="139">
        <v>14947.007297910177</v>
      </c>
      <c r="AD42" s="139">
        <v>12707.636598926671</v>
      </c>
      <c r="AE42" s="139">
        <v>1121.4733744923331</v>
      </c>
      <c r="AF42" s="139">
        <v>36.027799654240923</v>
      </c>
      <c r="AG42" s="139">
        <v>-4.5888841368832907</v>
      </c>
      <c r="AH42" s="139">
        <v>-91.174836555017308</v>
      </c>
    </row>
    <row r="43" spans="2:34" x14ac:dyDescent="0.55000000000000004">
      <c r="B43" s="140" t="s">
        <v>216</v>
      </c>
      <c r="C43" s="139">
        <v>464186.30203162157</v>
      </c>
      <c r="D43" s="139">
        <v>572264.92441826744</v>
      </c>
      <c r="E43" s="139">
        <v>588295.99137867196</v>
      </c>
      <c r="F43" s="139">
        <v>480770.04989334784</v>
      </c>
      <c r="G43" s="139">
        <v>36619.362568856515</v>
      </c>
      <c r="H43" s="139">
        <v>23.283457525566796</v>
      </c>
      <c r="I43" s="139">
        <v>2.8013371848828243</v>
      </c>
      <c r="J43" s="139">
        <v>-92.383186099050889</v>
      </c>
      <c r="K43" s="139">
        <v>402230.00314774422</v>
      </c>
      <c r="L43" s="139">
        <v>490120.50519793615</v>
      </c>
      <c r="M43" s="139">
        <v>511555.99816703796</v>
      </c>
      <c r="N43" s="139">
        <v>418637.0940323181</v>
      </c>
      <c r="O43" s="139">
        <v>31647.281942824477</v>
      </c>
      <c r="P43" s="139">
        <v>21.850809238495387</v>
      </c>
      <c r="Q43" s="139">
        <v>4.3735141791964569</v>
      </c>
      <c r="R43" s="139">
        <v>-92.440402258672322</v>
      </c>
      <c r="S43" s="139">
        <v>51702.869654012036</v>
      </c>
      <c r="T43" s="139">
        <v>68236.97696064967</v>
      </c>
      <c r="U43" s="139">
        <v>63417.857754443728</v>
      </c>
      <c r="V43" s="139">
        <v>50837.801323696869</v>
      </c>
      <c r="W43" s="139">
        <v>3941.3389596530378</v>
      </c>
      <c r="X43" s="139">
        <v>31.979095164349662</v>
      </c>
      <c r="Y43" s="139">
        <v>-7.0623289600448258</v>
      </c>
      <c r="Z43" s="139">
        <v>-92.247225489694685</v>
      </c>
      <c r="AA43" s="139">
        <v>10253.4292298653</v>
      </c>
      <c r="AB43" s="139">
        <v>13907.442259681633</v>
      </c>
      <c r="AC43" s="139">
        <v>13322.135457190179</v>
      </c>
      <c r="AD43" s="139">
        <v>11295.154537332901</v>
      </c>
      <c r="AE43" s="139">
        <v>1030.7416663789998</v>
      </c>
      <c r="AF43" s="139">
        <v>35.636952707532991</v>
      </c>
      <c r="AG43" s="139">
        <v>-4.2085387389771309</v>
      </c>
      <c r="AH43" s="139">
        <v>-90.874490378613828</v>
      </c>
    </row>
    <row r="44" spans="2:34" x14ac:dyDescent="0.55000000000000004">
      <c r="B44" s="140" t="s">
        <v>217</v>
      </c>
      <c r="C44" s="139">
        <v>38306.432216859997</v>
      </c>
      <c r="D44" s="139">
        <v>57477.339355383752</v>
      </c>
      <c r="E44" s="139">
        <v>66518.603958923777</v>
      </c>
      <c r="F44" s="139">
        <v>64883.194849733125</v>
      </c>
      <c r="G44" s="139">
        <v>5558.6318935600939</v>
      </c>
      <c r="H44" s="139">
        <v>50.046193289220625</v>
      </c>
      <c r="I44" s="139">
        <v>15.730129473632582</v>
      </c>
      <c r="J44" s="139">
        <v>-91.432865739184535</v>
      </c>
      <c r="K44" s="139">
        <v>34586.087780549999</v>
      </c>
      <c r="L44" s="139">
        <v>51289.721992403749</v>
      </c>
      <c r="M44" s="139">
        <v>59589.963977993772</v>
      </c>
      <c r="N44" s="139">
        <v>58748.714053573123</v>
      </c>
      <c r="O44" s="139">
        <v>5061.8863383760954</v>
      </c>
      <c r="P44" s="139">
        <v>48.295803312834742</v>
      </c>
      <c r="Q44" s="139">
        <v>16.18304798700402</v>
      </c>
      <c r="R44" s="139">
        <v>-91.383827832134529</v>
      </c>
      <c r="S44" s="139">
        <v>2732.1780534200002</v>
      </c>
      <c r="T44" s="139">
        <v>4790.1724750900012</v>
      </c>
      <c r="U44" s="139">
        <v>5606.8882410699998</v>
      </c>
      <c r="V44" s="139">
        <v>5055.348157200001</v>
      </c>
      <c r="W44" s="139">
        <v>423.73676707066545</v>
      </c>
      <c r="X44" s="139">
        <v>75.324100169095757</v>
      </c>
      <c r="Y44" s="139">
        <v>17.049916808798024</v>
      </c>
      <c r="Z44" s="139">
        <v>-91.617988863283458</v>
      </c>
      <c r="AA44" s="139">
        <v>988.16638288999991</v>
      </c>
      <c r="AB44" s="139">
        <v>1397.4448878899998</v>
      </c>
      <c r="AC44" s="139">
        <v>1321.75173986</v>
      </c>
      <c r="AD44" s="139">
        <v>1079.1326389599999</v>
      </c>
      <c r="AE44" s="139">
        <v>73.008788113333338</v>
      </c>
      <c r="AF44" s="139">
        <v>41.416962668366786</v>
      </c>
      <c r="AG44" s="139">
        <v>-5.4163327226929283</v>
      </c>
      <c r="AH44" s="139">
        <v>-93.234364719727935</v>
      </c>
    </row>
    <row r="45" spans="2:34" x14ac:dyDescent="0.55000000000000004">
      <c r="B45" s="140" t="s">
        <v>218</v>
      </c>
      <c r="C45" s="139">
        <v>35010.37952124999</v>
      </c>
      <c r="D45" s="139">
        <v>53207.330813603745</v>
      </c>
      <c r="E45" s="139">
        <v>59979.988200455882</v>
      </c>
      <c r="F45" s="139">
        <v>56243.988468520001</v>
      </c>
      <c r="G45" s="139">
        <v>4673.4662205039995</v>
      </c>
      <c r="H45" s="139">
        <v>51.975871155925773</v>
      </c>
      <c r="I45" s="139">
        <v>12.728810109434162</v>
      </c>
      <c r="J45" s="139">
        <v>-91.690721088599872</v>
      </c>
      <c r="K45" s="139">
        <v>31699.820303679997</v>
      </c>
      <c r="L45" s="139">
        <v>47872.598216953746</v>
      </c>
      <c r="M45" s="139">
        <v>53732.566016595883</v>
      </c>
      <c r="N45" s="139">
        <v>50369.1876214</v>
      </c>
      <c r="O45" s="139">
        <v>4193.8659081500009</v>
      </c>
      <c r="P45" s="139">
        <v>51.018523133569843</v>
      </c>
      <c r="Q45" s="139">
        <v>12.240759850102149</v>
      </c>
      <c r="R45" s="139">
        <v>-91.673739442702967</v>
      </c>
      <c r="S45" s="139">
        <v>2484.5678519099997</v>
      </c>
      <c r="T45" s="139">
        <v>4351.7813424600017</v>
      </c>
      <c r="U45" s="139">
        <v>5400.8565292099993</v>
      </c>
      <c r="V45" s="139">
        <v>5038.7632836800012</v>
      </c>
      <c r="W45" s="139">
        <v>421.43256353066545</v>
      </c>
      <c r="X45" s="139">
        <v>75.152239622952848</v>
      </c>
      <c r="Y45" s="139">
        <v>24.106917169526035</v>
      </c>
      <c r="Z45" s="139">
        <v>-91.636235899308559</v>
      </c>
      <c r="AA45" s="139">
        <v>825.99136565999993</v>
      </c>
      <c r="AB45" s="139">
        <v>982.95125418999999</v>
      </c>
      <c r="AC45" s="139">
        <v>846.56565464999994</v>
      </c>
      <c r="AD45" s="139">
        <v>836.03756343999999</v>
      </c>
      <c r="AE45" s="139">
        <v>58.167748823333334</v>
      </c>
      <c r="AF45" s="139">
        <v>19.002651363817968</v>
      </c>
      <c r="AG45" s="139">
        <v>-13.874561269647488</v>
      </c>
      <c r="AH45" s="139">
        <v>-93.042198937849861</v>
      </c>
    </row>
    <row r="46" spans="2:34" x14ac:dyDescent="0.55000000000000004">
      <c r="B46" s="140" t="s">
        <v>219</v>
      </c>
      <c r="C46" s="139">
        <v>341.19425554999998</v>
      </c>
      <c r="D46" s="139">
        <v>228.25070361000002</v>
      </c>
      <c r="E46" s="139">
        <v>498.74492980000002</v>
      </c>
      <c r="F46" s="139">
        <v>477.22662491</v>
      </c>
      <c r="G46" s="139">
        <v>35.540750710000005</v>
      </c>
      <c r="H46" s="139">
        <v>-33.101790791054839</v>
      </c>
      <c r="I46" s="139">
        <v>118.50602409638554</v>
      </c>
      <c r="J46" s="139">
        <v>-92.552857112922482</v>
      </c>
      <c r="K46" s="139">
        <v>341.19425554999998</v>
      </c>
      <c r="L46" s="139">
        <v>228.25070361000002</v>
      </c>
      <c r="M46" s="139">
        <v>498.74492980000002</v>
      </c>
      <c r="N46" s="139">
        <v>477.22662491</v>
      </c>
      <c r="O46" s="139">
        <v>35.540750710000005</v>
      </c>
      <c r="P46" s="139">
        <v>-33.101790791054839</v>
      </c>
      <c r="Q46" s="139">
        <v>118.50602409638554</v>
      </c>
      <c r="R46" s="139">
        <v>-92.552857112922482</v>
      </c>
      <c r="S46" s="139">
        <v>0</v>
      </c>
      <c r="T46" s="139">
        <v>0</v>
      </c>
      <c r="U46" s="139">
        <v>0</v>
      </c>
      <c r="V46" s="139">
        <v>0</v>
      </c>
      <c r="W46" s="139">
        <v>0</v>
      </c>
      <c r="X46" s="139">
        <v>0</v>
      </c>
      <c r="Y46" s="139">
        <v>0</v>
      </c>
      <c r="Z46" s="139">
        <v>0</v>
      </c>
      <c r="AA46" s="139">
        <v>0</v>
      </c>
      <c r="AB46" s="139">
        <v>0</v>
      </c>
      <c r="AC46" s="139">
        <v>0</v>
      </c>
      <c r="AD46" s="139">
        <v>0</v>
      </c>
      <c r="AE46" s="139">
        <v>0</v>
      </c>
      <c r="AF46" s="139">
        <v>0</v>
      </c>
      <c r="AG46" s="139">
        <v>0</v>
      </c>
      <c r="AH46" s="139">
        <v>0</v>
      </c>
    </row>
    <row r="47" spans="2:34" x14ac:dyDescent="0.55000000000000004">
      <c r="B47" s="140" t="s">
        <v>220</v>
      </c>
      <c r="C47" s="139">
        <v>343.21831054999996</v>
      </c>
      <c r="D47" s="139">
        <v>557.96107384000004</v>
      </c>
      <c r="E47" s="139">
        <v>960.46145687000001</v>
      </c>
      <c r="F47" s="139">
        <v>2858.3824924339046</v>
      </c>
      <c r="G47" s="139">
        <v>358.06707311609523</v>
      </c>
      <c r="H47" s="139">
        <v>62.566284016082975</v>
      </c>
      <c r="I47" s="139">
        <v>72.13778765502903</v>
      </c>
      <c r="J47" s="139">
        <v>-87.472974202170462</v>
      </c>
      <c r="K47" s="139">
        <v>1.0367346500000001</v>
      </c>
      <c r="L47" s="139">
        <v>2.2693150700000002</v>
      </c>
      <c r="M47" s="139">
        <v>634.94323165000003</v>
      </c>
      <c r="N47" s="139">
        <v>2687.0587635839047</v>
      </c>
      <c r="O47" s="139">
        <v>347.08505503609524</v>
      </c>
      <c r="P47" s="139">
        <v>118.26923076923076</v>
      </c>
      <c r="Q47" s="139">
        <v>27870.925110132161</v>
      </c>
      <c r="R47" s="139">
        <v>-87.082908457570724</v>
      </c>
      <c r="S47" s="139">
        <v>246.76855866999998</v>
      </c>
      <c r="T47" s="139">
        <v>435.90731675000001</v>
      </c>
      <c r="U47" s="139">
        <v>204.07458847000001</v>
      </c>
      <c r="V47" s="139">
        <v>16.460836050000001</v>
      </c>
      <c r="W47" s="139">
        <v>2.1963745000000001</v>
      </c>
      <c r="X47" s="139">
        <v>76.646269805892118</v>
      </c>
      <c r="Y47" s="139">
        <v>-53.185290541625569</v>
      </c>
      <c r="Z47" s="139">
        <v>-86.634264884568665</v>
      </c>
      <c r="AA47" s="139">
        <v>95.413017230000008</v>
      </c>
      <c r="AB47" s="139">
        <v>119.78444202</v>
      </c>
      <c r="AC47" s="139">
        <v>121.44363675</v>
      </c>
      <c r="AD47" s="139">
        <v>154.8628928</v>
      </c>
      <c r="AE47" s="139">
        <v>8.7856435800000003</v>
      </c>
      <c r="AF47" s="139">
        <v>25.542395975264654</v>
      </c>
      <c r="AG47" s="139">
        <v>1.3858741025212862</v>
      </c>
      <c r="AH47" s="139">
        <v>-94.323905462998837</v>
      </c>
    </row>
    <row r="48" spans="2:34" x14ac:dyDescent="0.55000000000000004">
      <c r="B48" s="140" t="s">
        <v>221</v>
      </c>
      <c r="C48" s="139">
        <v>2611.64012951</v>
      </c>
      <c r="D48" s="139">
        <v>3483.7967643299999</v>
      </c>
      <c r="E48" s="139">
        <v>5079.4093717978894</v>
      </c>
      <c r="F48" s="139">
        <v>5303.5972638692165</v>
      </c>
      <c r="G48" s="139">
        <v>491.5578492300001</v>
      </c>
      <c r="H48" s="139">
        <v>33.395108054708935</v>
      </c>
      <c r="I48" s="139">
        <v>45.800849646937245</v>
      </c>
      <c r="J48" s="139">
        <v>-90.731578550418575</v>
      </c>
      <c r="K48" s="139">
        <v>2544.0364866699997</v>
      </c>
      <c r="L48" s="139">
        <v>3186.60375677</v>
      </c>
      <c r="M48" s="139">
        <v>4723.7097999478901</v>
      </c>
      <c r="N48" s="139">
        <v>5215.2410436792161</v>
      </c>
      <c r="O48" s="139">
        <v>485.39462448000006</v>
      </c>
      <c r="P48" s="139">
        <v>25.25746450527507</v>
      </c>
      <c r="Q48" s="139">
        <v>48.236678591602335</v>
      </c>
      <c r="R48" s="139">
        <v>-90.69285402014097</v>
      </c>
      <c r="S48" s="139">
        <v>0.84164284</v>
      </c>
      <c r="T48" s="139">
        <v>2.4838158800000003</v>
      </c>
      <c r="U48" s="139">
        <v>1.95712339</v>
      </c>
      <c r="V48" s="139">
        <v>0.12403747</v>
      </c>
      <c r="W48" s="139">
        <v>0.10782903999999999</v>
      </c>
      <c r="X48" s="139">
        <v>195.23809523809524</v>
      </c>
      <c r="Y48" s="139">
        <v>-20.967741935483872</v>
      </c>
      <c r="Z48" s="139">
        <v>-8.3333333333333304</v>
      </c>
      <c r="AA48" s="139">
        <v>66.762</v>
      </c>
      <c r="AB48" s="139">
        <v>294.70919167999995</v>
      </c>
      <c r="AC48" s="139">
        <v>353.74244845999999</v>
      </c>
      <c r="AD48" s="139">
        <v>88.232182719999983</v>
      </c>
      <c r="AE48" s="139">
        <v>6.0553957100000009</v>
      </c>
      <c r="AF48" s="139">
        <v>341.44697423606948</v>
      </c>
      <c r="AG48" s="139">
        <v>20.029859862237466</v>
      </c>
      <c r="AH48" s="139">
        <v>-93.131587895273711</v>
      </c>
    </row>
    <row r="49" spans="2:34" x14ac:dyDescent="0.55000000000000004">
      <c r="B49" s="140" t="s">
        <v>222</v>
      </c>
      <c r="C49" s="139">
        <v>174.0443966</v>
      </c>
      <c r="D49" s="139">
        <v>1430.2744476799996</v>
      </c>
      <c r="E49" s="139">
        <v>1423.3550219599999</v>
      </c>
      <c r="F49" s="139">
        <v>1789.5684110799996</v>
      </c>
      <c r="G49" s="139">
        <v>119.37036251999999</v>
      </c>
      <c r="H49" s="139">
        <v>721.80533210756153</v>
      </c>
      <c r="I49" s="139">
        <v>-0.48312556370476079</v>
      </c>
      <c r="J49" s="139">
        <v>-93.329682549439241</v>
      </c>
      <c r="K49" s="139">
        <v>170.67274660000001</v>
      </c>
      <c r="L49" s="139">
        <v>1430.2744476799996</v>
      </c>
      <c r="M49" s="139">
        <v>1419.8659810199999</v>
      </c>
      <c r="N49" s="139">
        <v>1777.5037983699997</v>
      </c>
      <c r="O49" s="139">
        <v>118.91454049999999</v>
      </c>
      <c r="P49" s="139">
        <v>738.03246030350965</v>
      </c>
      <c r="Q49" s="139">
        <v>-0.72713543596664199</v>
      </c>
      <c r="R49" s="139">
        <v>-93.310267229254578</v>
      </c>
      <c r="S49" s="139">
        <v>0</v>
      </c>
      <c r="T49" s="139">
        <v>0</v>
      </c>
      <c r="U49" s="139">
        <v>0</v>
      </c>
      <c r="V49" s="139">
        <v>0</v>
      </c>
      <c r="W49" s="139">
        <v>0</v>
      </c>
      <c r="X49" s="139">
        <v>0</v>
      </c>
      <c r="Y49" s="139">
        <v>0</v>
      </c>
      <c r="Z49" s="139">
        <v>0</v>
      </c>
      <c r="AA49" s="139">
        <v>3.3716500000000003</v>
      </c>
      <c r="AB49" s="139">
        <v>0</v>
      </c>
      <c r="AC49" s="139">
        <v>3.4890409400000002</v>
      </c>
      <c r="AD49" s="139">
        <v>12.06461271</v>
      </c>
      <c r="AE49" s="139">
        <v>0.45582201999999999</v>
      </c>
      <c r="AF49" s="139">
        <v>-100</v>
      </c>
      <c r="AG49" s="139">
        <v>0</v>
      </c>
      <c r="AH49" s="139">
        <v>-96.185737976782747</v>
      </c>
    </row>
    <row r="50" spans="2:34" x14ac:dyDescent="0.55000000000000004">
      <c r="B50" s="140" t="s">
        <v>223</v>
      </c>
      <c r="C50" s="139">
        <v>1459.6839719499999</v>
      </c>
      <c r="D50" s="139">
        <v>2428.0698874600002</v>
      </c>
      <c r="E50" s="139">
        <v>3839.6679966350002</v>
      </c>
      <c r="F50" s="139">
        <v>3929.8515802200004</v>
      </c>
      <c r="G50" s="139">
        <v>437.59501740999997</v>
      </c>
      <c r="H50" s="139">
        <v>66.342623040666453</v>
      </c>
      <c r="I50" s="139">
        <v>58.136709402941428</v>
      </c>
      <c r="J50" s="139">
        <v>-88.864714938229199</v>
      </c>
      <c r="K50" s="139">
        <v>672.63721290000012</v>
      </c>
      <c r="L50" s="139">
        <v>1366.82872561</v>
      </c>
      <c r="M50" s="139">
        <v>3245.1666472500001</v>
      </c>
      <c r="N50" s="139">
        <v>3604.8909238000001</v>
      </c>
      <c r="O50" s="139">
        <v>428.68455230000001</v>
      </c>
      <c r="P50" s="139">
        <v>103.20379400570886</v>
      </c>
      <c r="Q50" s="139">
        <v>137.42308846015965</v>
      </c>
      <c r="R50" s="139">
        <v>-88.108375012829796</v>
      </c>
      <c r="S50" s="139">
        <v>605.89712285999997</v>
      </c>
      <c r="T50" s="139">
        <v>776.36195436000003</v>
      </c>
      <c r="U50" s="139">
        <v>363.83853725500006</v>
      </c>
      <c r="V50" s="139">
        <v>174.34350187999999</v>
      </c>
      <c r="W50" s="139">
        <v>1.8896518999999998</v>
      </c>
      <c r="X50" s="139">
        <v>28.133355339164886</v>
      </c>
      <c r="Y50" s="139">
        <v>-53.135143490133451</v>
      </c>
      <c r="Z50" s="139">
        <v>-98.91591143742113</v>
      </c>
      <c r="AA50" s="139">
        <v>181.14963619000002</v>
      </c>
      <c r="AB50" s="139">
        <v>284.87920749</v>
      </c>
      <c r="AC50" s="139">
        <v>230.66281212999996</v>
      </c>
      <c r="AD50" s="139">
        <v>150.61715454000003</v>
      </c>
      <c r="AE50" s="139">
        <v>7.0208132099999991</v>
      </c>
      <c r="AF50" s="139">
        <v>57.261937620756271</v>
      </c>
      <c r="AG50" s="139">
        <v>-19.032575119348497</v>
      </c>
      <c r="AH50" s="139">
        <v>-95.339264373921125</v>
      </c>
    </row>
    <row r="51" spans="2:34" x14ac:dyDescent="0.55000000000000004">
      <c r="B51" s="140" t="s">
        <v>224</v>
      </c>
      <c r="C51" s="139">
        <v>5239.1824130047089</v>
      </c>
      <c r="D51" s="139">
        <v>8276.270469454319</v>
      </c>
      <c r="E51" s="139">
        <v>14030.895574135946</v>
      </c>
      <c r="F51" s="139">
        <v>15820.903747708275</v>
      </c>
      <c r="G51" s="139">
        <v>1871.1873460010329</v>
      </c>
      <c r="H51" s="139">
        <v>57.968804278532133</v>
      </c>
      <c r="I51" s="139">
        <v>69.531685167351938</v>
      </c>
      <c r="J51" s="139">
        <v>-88.172670328489531</v>
      </c>
      <c r="K51" s="139">
        <v>4745.1236147941754</v>
      </c>
      <c r="L51" s="139">
        <v>7475.1450260843112</v>
      </c>
      <c r="M51" s="139">
        <v>12925.218921868443</v>
      </c>
      <c r="N51" s="139">
        <v>14820.273119543504</v>
      </c>
      <c r="O51" s="139">
        <v>1810.762012184932</v>
      </c>
      <c r="P51" s="139">
        <v>57.533423812253432</v>
      </c>
      <c r="Q51" s="139">
        <v>72.909172391189472</v>
      </c>
      <c r="R51" s="139">
        <v>-87.781869021279633</v>
      </c>
      <c r="S51" s="139">
        <v>403.48601481053316</v>
      </c>
      <c r="T51" s="139">
        <v>724.98685294000768</v>
      </c>
      <c r="U51" s="139">
        <v>1036.708404477502</v>
      </c>
      <c r="V51" s="139">
        <v>829.96297278099996</v>
      </c>
      <c r="W51" s="139">
        <v>50.179049046100808</v>
      </c>
      <c r="X51" s="139">
        <v>79.679793799102825</v>
      </c>
      <c r="Y51" s="139">
        <v>42.996455123518949</v>
      </c>
      <c r="Z51" s="139">
        <v>-93.953925490385089</v>
      </c>
      <c r="AA51" s="139">
        <v>90.572783399999992</v>
      </c>
      <c r="AB51" s="139">
        <v>76.138590429999994</v>
      </c>
      <c r="AC51" s="139">
        <v>68.968247789999992</v>
      </c>
      <c r="AD51" s="139">
        <v>170.66765538377015</v>
      </c>
      <c r="AE51" s="139">
        <v>10.246284770000001</v>
      </c>
      <c r="AF51" s="139">
        <v>-15.932427956276907</v>
      </c>
      <c r="AG51" s="139">
        <v>-9.4168636721828243</v>
      </c>
      <c r="AH51" s="139">
        <v>-93.994257924649901</v>
      </c>
    </row>
    <row r="52" spans="2:34" x14ac:dyDescent="0.55000000000000004">
      <c r="B52" s="138" t="s">
        <v>225</v>
      </c>
      <c r="C52" s="139">
        <v>27258.634838578226</v>
      </c>
      <c r="D52" s="139">
        <v>29085.602124886285</v>
      </c>
      <c r="E52" s="139">
        <v>35259.427569971624</v>
      </c>
      <c r="F52" s="139">
        <v>39773.502303151276</v>
      </c>
      <c r="G52" s="139">
        <v>3616.1509343728771</v>
      </c>
      <c r="H52" s="139">
        <v>6.7023544470136525</v>
      </c>
      <c r="I52" s="139">
        <v>21.226414445636337</v>
      </c>
      <c r="J52" s="139">
        <v>-90.908142356091361</v>
      </c>
      <c r="K52" s="139">
        <v>25927.440555256726</v>
      </c>
      <c r="L52" s="139">
        <v>27762.695726108086</v>
      </c>
      <c r="M52" s="139">
        <v>33789.536328976617</v>
      </c>
      <c r="N52" s="139">
        <v>37790.535689320124</v>
      </c>
      <c r="O52" s="139">
        <v>3484.094632602877</v>
      </c>
      <c r="P52" s="139">
        <v>7.078446618717475</v>
      </c>
      <c r="Q52" s="139">
        <v>21.708407323495191</v>
      </c>
      <c r="R52" s="139">
        <v>-90.780523379660607</v>
      </c>
      <c r="S52" s="139">
        <v>1050.5127824115002</v>
      </c>
      <c r="T52" s="139">
        <v>1029.5787004382</v>
      </c>
      <c r="U52" s="139">
        <v>1170.9738871950003</v>
      </c>
      <c r="V52" s="139">
        <v>1575.8780216691544</v>
      </c>
      <c r="W52" s="139">
        <v>106.04714205999998</v>
      </c>
      <c r="X52" s="139">
        <v>-1.9923656128927916</v>
      </c>
      <c r="Y52" s="139">
        <v>13.732784242118157</v>
      </c>
      <c r="Z52" s="139">
        <v>-93.270426682234699</v>
      </c>
      <c r="AA52" s="139">
        <v>280.68150090999995</v>
      </c>
      <c r="AB52" s="139">
        <v>293.3276983400001</v>
      </c>
      <c r="AC52" s="139">
        <v>298.91735380000017</v>
      </c>
      <c r="AD52" s="139">
        <v>407.08859216200005</v>
      </c>
      <c r="AE52" s="139">
        <v>26.009159709999992</v>
      </c>
      <c r="AF52" s="139">
        <v>4.5069117856633811</v>
      </c>
      <c r="AG52" s="139">
        <v>1.9057034739031236</v>
      </c>
      <c r="AH52" s="139">
        <v>-93.610749465720119</v>
      </c>
    </row>
    <row r="53" spans="2:34" x14ac:dyDescent="0.55000000000000004">
      <c r="B53" s="140" t="s">
        <v>226</v>
      </c>
      <c r="C53" s="139">
        <v>309.61260455000001</v>
      </c>
      <c r="D53" s="139">
        <v>205.84827455000004</v>
      </c>
      <c r="E53" s="139">
        <v>396.83825832000008</v>
      </c>
      <c r="F53" s="139">
        <v>414.57567276999998</v>
      </c>
      <c r="G53" s="139">
        <v>43.741171319999999</v>
      </c>
      <c r="H53" s="139">
        <v>-33.51312942088434</v>
      </c>
      <c r="I53" s="139">
        <v>92.78115132377944</v>
      </c>
      <c r="J53" s="139">
        <v>-89.449563413575191</v>
      </c>
      <c r="K53" s="139">
        <v>309.61260455000001</v>
      </c>
      <c r="L53" s="139">
        <v>205.84827455000004</v>
      </c>
      <c r="M53" s="139">
        <v>396.83825832000008</v>
      </c>
      <c r="N53" s="139">
        <v>414.57567276999998</v>
      </c>
      <c r="O53" s="139">
        <v>43.741171319999999</v>
      </c>
      <c r="P53" s="139">
        <v>-33.51312942088434</v>
      </c>
      <c r="Q53" s="139">
        <v>92.78115132377944</v>
      </c>
      <c r="R53" s="139">
        <v>-89.449563413575191</v>
      </c>
      <c r="S53" s="139">
        <v>0</v>
      </c>
      <c r="T53" s="139">
        <v>0</v>
      </c>
      <c r="U53" s="139">
        <v>0</v>
      </c>
      <c r="V53" s="139">
        <v>0</v>
      </c>
      <c r="W53" s="139">
        <v>0</v>
      </c>
      <c r="X53" s="139">
        <v>0</v>
      </c>
      <c r="Y53" s="139">
        <v>0</v>
      </c>
      <c r="Z53" s="139">
        <v>0</v>
      </c>
      <c r="AA53" s="139">
        <v>0</v>
      </c>
      <c r="AB53" s="139">
        <v>0</v>
      </c>
      <c r="AC53" s="139">
        <v>0</v>
      </c>
      <c r="AD53" s="139">
        <v>0</v>
      </c>
      <c r="AE53" s="139">
        <v>0</v>
      </c>
      <c r="AF53" s="139">
        <v>0</v>
      </c>
      <c r="AG53" s="139">
        <v>0</v>
      </c>
      <c r="AH53" s="139">
        <v>0</v>
      </c>
    </row>
    <row r="54" spans="2:34" x14ac:dyDescent="0.55000000000000004">
      <c r="B54" s="140" t="s">
        <v>227</v>
      </c>
      <c r="C54" s="139">
        <v>22861.241662625285</v>
      </c>
      <c r="D54" s="139">
        <v>22064.501725814698</v>
      </c>
      <c r="E54" s="139">
        <v>27595.648812804811</v>
      </c>
      <c r="F54" s="139">
        <v>30363.358035240035</v>
      </c>
      <c r="G54" s="139">
        <v>2852.5339338028766</v>
      </c>
      <c r="H54" s="139">
        <v>-3.4851127935317661</v>
      </c>
      <c r="I54" s="139">
        <v>25.068095810011563</v>
      </c>
      <c r="J54" s="139">
        <v>-90.605354611610835</v>
      </c>
      <c r="K54" s="139">
        <v>21943.425794933784</v>
      </c>
      <c r="L54" s="139">
        <v>21249.946926254699</v>
      </c>
      <c r="M54" s="139">
        <v>26721.255870199813</v>
      </c>
      <c r="N54" s="139">
        <v>29341.444822888036</v>
      </c>
      <c r="O54" s="139">
        <v>2786.4436113328766</v>
      </c>
      <c r="P54" s="139">
        <v>-3.1603081195601579</v>
      </c>
      <c r="Q54" s="139">
        <v>25.74740175859236</v>
      </c>
      <c r="R54" s="139">
        <v>-90.503397242943777</v>
      </c>
      <c r="S54" s="139">
        <v>733.32868633150008</v>
      </c>
      <c r="T54" s="139">
        <v>584.05154766999988</v>
      </c>
      <c r="U54" s="139">
        <v>665.29111782500036</v>
      </c>
      <c r="V54" s="139">
        <v>800.80217250999999</v>
      </c>
      <c r="W54" s="139">
        <v>51.721956169999999</v>
      </c>
      <c r="X54" s="139">
        <v>-20.356456165709854</v>
      </c>
      <c r="Y54" s="139">
        <v>13.909767999315131</v>
      </c>
      <c r="Z54" s="139">
        <v>-93.541458541458553</v>
      </c>
      <c r="AA54" s="139">
        <v>184.48718135999999</v>
      </c>
      <c r="AB54" s="139">
        <v>230.50325189000009</v>
      </c>
      <c r="AC54" s="139">
        <v>209.10182478000013</v>
      </c>
      <c r="AD54" s="139">
        <v>221.11103984200011</v>
      </c>
      <c r="AE54" s="139">
        <v>14.368366299999995</v>
      </c>
      <c r="AF54" s="139">
        <v>24.939021085153662</v>
      </c>
      <c r="AG54" s="139">
        <v>-9.2841648590021713</v>
      </c>
      <c r="AH54" s="139">
        <v>-93.500972366695308</v>
      </c>
    </row>
    <row r="55" spans="2:34" x14ac:dyDescent="0.55000000000000004">
      <c r="B55" s="140" t="s">
        <v>228</v>
      </c>
      <c r="C55" s="139">
        <v>4087.7805714029423</v>
      </c>
      <c r="D55" s="139">
        <v>6815.2521245215885</v>
      </c>
      <c r="E55" s="139">
        <v>7266.9404988467995</v>
      </c>
      <c r="F55" s="139">
        <v>8995.5685951412524</v>
      </c>
      <c r="G55" s="139">
        <v>719.87582925000015</v>
      </c>
      <c r="H55" s="139">
        <v>66.722524206292903</v>
      </c>
      <c r="I55" s="139">
        <v>6.6276365503833254</v>
      </c>
      <c r="J55" s="139">
        <v>-91.9973942729588</v>
      </c>
      <c r="K55" s="139">
        <v>3674.4021557729425</v>
      </c>
      <c r="L55" s="139">
        <v>6306.9005253033883</v>
      </c>
      <c r="M55" s="139">
        <v>6671.4422004567996</v>
      </c>
      <c r="N55" s="139">
        <v>8034.5151936620969</v>
      </c>
      <c r="O55" s="139">
        <v>653.90984995000008</v>
      </c>
      <c r="P55" s="139">
        <v>71.644350097975163</v>
      </c>
      <c r="Q55" s="139">
        <v>5.78001870966719</v>
      </c>
      <c r="R55" s="139">
        <v>-91.861243733290848</v>
      </c>
      <c r="S55" s="139">
        <v>317.18409608000007</v>
      </c>
      <c r="T55" s="139">
        <v>445.5271527682001</v>
      </c>
      <c r="U55" s="139">
        <v>505.6827693699999</v>
      </c>
      <c r="V55" s="139">
        <v>775.07584915915425</v>
      </c>
      <c r="W55" s="139">
        <v>54.325185890000007</v>
      </c>
      <c r="X55" s="139">
        <v>40.465981461630605</v>
      </c>
      <c r="Y55" s="139">
        <v>13.500774358629057</v>
      </c>
      <c r="Z55" s="139">
        <v>-92.990400990865453</v>
      </c>
      <c r="AA55" s="139">
        <v>96.194319550000017</v>
      </c>
      <c r="AB55" s="139">
        <v>62.824446449999996</v>
      </c>
      <c r="AC55" s="139">
        <v>89.815529020000014</v>
      </c>
      <c r="AD55" s="139">
        <v>185.97755231999994</v>
      </c>
      <c r="AE55" s="139">
        <v>11.640793409999999</v>
      </c>
      <c r="AF55" s="139">
        <v>-34.691755899781676</v>
      </c>
      <c r="AG55" s="139">
        <v>42.979942693409726</v>
      </c>
      <c r="AH55" s="139">
        <v>-93.74126250134421</v>
      </c>
    </row>
    <row r="56" spans="2:34" x14ac:dyDescent="0.55000000000000004">
      <c r="B56" s="138" t="s">
        <v>229</v>
      </c>
      <c r="C56" s="139">
        <v>8120.693092815819</v>
      </c>
      <c r="D56" s="139">
        <v>5552.5347156456673</v>
      </c>
      <c r="E56" s="139">
        <v>6368.6730008193672</v>
      </c>
      <c r="F56" s="139">
        <v>9627.0204736547748</v>
      </c>
      <c r="G56" s="139">
        <v>929.5686396955366</v>
      </c>
      <c r="H56" s="139">
        <v>-31.624898869431046</v>
      </c>
      <c r="I56" s="139">
        <v>14.698524816615134</v>
      </c>
      <c r="J56" s="139">
        <v>-90.344156343292113</v>
      </c>
      <c r="K56" s="139">
        <v>8082.9972312058189</v>
      </c>
      <c r="L56" s="139">
        <v>5467.5211171480669</v>
      </c>
      <c r="M56" s="139">
        <v>6294.3991884193674</v>
      </c>
      <c r="N56" s="139">
        <v>9515.922755124775</v>
      </c>
      <c r="O56" s="139">
        <v>912.27268774553659</v>
      </c>
      <c r="P56" s="139">
        <v>-32.357787950018547</v>
      </c>
      <c r="Q56" s="139">
        <v>15.123492918178609</v>
      </c>
      <c r="R56" s="139">
        <v>-90.413223314193473</v>
      </c>
      <c r="S56" s="139">
        <v>37.69586160999998</v>
      </c>
      <c r="T56" s="139">
        <v>85.013598497600086</v>
      </c>
      <c r="U56" s="139">
        <v>74.273812400000025</v>
      </c>
      <c r="V56" s="139">
        <v>111.09771853000004</v>
      </c>
      <c r="W56" s="139">
        <v>17.295951949999981</v>
      </c>
      <c r="X56" s="139">
        <v>125.49071618037134</v>
      </c>
      <c r="Y56" s="139">
        <v>-12.633807787319149</v>
      </c>
      <c r="Z56" s="139">
        <v>-84.428442844284433</v>
      </c>
      <c r="AA56" s="139">
        <v>0</v>
      </c>
      <c r="AB56" s="139">
        <v>0</v>
      </c>
      <c r="AC56" s="139">
        <v>0</v>
      </c>
      <c r="AD56" s="139">
        <v>0</v>
      </c>
      <c r="AE56" s="139">
        <v>0</v>
      </c>
      <c r="AF56" s="139">
        <v>0</v>
      </c>
      <c r="AG56" s="139">
        <v>0</v>
      </c>
      <c r="AH56" s="139">
        <v>0</v>
      </c>
    </row>
    <row r="57" spans="2:34" x14ac:dyDescent="0.55000000000000004">
      <c r="B57" s="140" t="s">
        <v>230</v>
      </c>
      <c r="C57" s="139">
        <v>1028.8197940972454</v>
      </c>
      <c r="D57" s="139">
        <v>828.93421322289396</v>
      </c>
      <c r="E57" s="139">
        <v>-311.37365076463243</v>
      </c>
      <c r="F57" s="139">
        <v>786.81131337293516</v>
      </c>
      <c r="G57" s="139">
        <v>81.013238959199924</v>
      </c>
      <c r="H57" s="139">
        <v>-19.42905464512743</v>
      </c>
      <c r="I57" s="139">
        <v>-137.56288226991424</v>
      </c>
      <c r="J57" s="139">
        <v>-89.703994611151359</v>
      </c>
      <c r="K57" s="139">
        <v>1027.8752109072454</v>
      </c>
      <c r="L57" s="139">
        <v>816.6079763752939</v>
      </c>
      <c r="M57" s="139">
        <v>-316.74400251463248</v>
      </c>
      <c r="N57" s="139">
        <v>773.37839205293517</v>
      </c>
      <c r="O57" s="139">
        <v>73.386566749199943</v>
      </c>
      <c r="P57" s="139">
        <v>-20.553955714674874</v>
      </c>
      <c r="Q57" s="139">
        <v>-138.78718115134518</v>
      </c>
      <c r="R57" s="139">
        <v>-90.510486436163333</v>
      </c>
      <c r="S57" s="139">
        <v>0.94458318999998436</v>
      </c>
      <c r="T57" s="139">
        <v>12.326236847600081</v>
      </c>
      <c r="U57" s="139">
        <v>5.3703517500000393</v>
      </c>
      <c r="V57" s="139">
        <v>13.432921320000034</v>
      </c>
      <c r="W57" s="139">
        <v>7.6266722099999802</v>
      </c>
      <c r="X57" s="139">
        <v>1211.7021276595744</v>
      </c>
      <c r="Y57" s="139">
        <v>-56.447688564476884</v>
      </c>
      <c r="Z57" s="139">
        <v>-43.186895011169028</v>
      </c>
      <c r="AA57" s="139">
        <v>0</v>
      </c>
      <c r="AB57" s="139">
        <v>0</v>
      </c>
      <c r="AC57" s="139">
        <v>0</v>
      </c>
      <c r="AD57" s="139">
        <v>0</v>
      </c>
      <c r="AE57" s="139">
        <v>0</v>
      </c>
      <c r="AF57" s="139">
        <v>0</v>
      </c>
      <c r="AG57" s="139">
        <v>0</v>
      </c>
      <c r="AH57" s="139">
        <v>0</v>
      </c>
    </row>
    <row r="58" spans="2:34" x14ac:dyDescent="0.55000000000000004">
      <c r="B58" s="140" t="s">
        <v>231</v>
      </c>
      <c r="C58" s="139">
        <v>7091.8732987185722</v>
      </c>
      <c r="D58" s="139">
        <v>4723.6005024227725</v>
      </c>
      <c r="E58" s="139">
        <v>6680.0466515839989</v>
      </c>
      <c r="F58" s="139">
        <v>8840.2091602818418</v>
      </c>
      <c r="G58" s="139">
        <v>848.55540073633676</v>
      </c>
      <c r="H58" s="139">
        <v>-33.394154151161814</v>
      </c>
      <c r="I58" s="139">
        <v>41.418621390464892</v>
      </c>
      <c r="J58" s="139">
        <v>-90.401133004758947</v>
      </c>
      <c r="K58" s="139">
        <v>7055.1220202985724</v>
      </c>
      <c r="L58" s="139">
        <v>4650.9131407727727</v>
      </c>
      <c r="M58" s="139">
        <v>6611.143190933999</v>
      </c>
      <c r="N58" s="139">
        <v>8742.5443630718419</v>
      </c>
      <c r="O58" s="139">
        <v>838.88612099633679</v>
      </c>
      <c r="P58" s="139">
        <v>-34.077521006021158</v>
      </c>
      <c r="Q58" s="139">
        <v>42.147235702260431</v>
      </c>
      <c r="R58" s="139">
        <v>-90.404504869294271</v>
      </c>
      <c r="S58" s="139">
        <v>36.751278419999998</v>
      </c>
      <c r="T58" s="139">
        <v>72.68736165</v>
      </c>
      <c r="U58" s="139">
        <v>68.903460649999985</v>
      </c>
      <c r="V58" s="139">
        <v>97.664797210000017</v>
      </c>
      <c r="W58" s="139">
        <v>9.6692797400000003</v>
      </c>
      <c r="X58" s="139">
        <v>97.795918367346943</v>
      </c>
      <c r="Y58" s="139">
        <v>-5.2139221350942249</v>
      </c>
      <c r="Z58" s="139">
        <v>-90.098300225271359</v>
      </c>
      <c r="AA58" s="139">
        <v>0</v>
      </c>
      <c r="AB58" s="139">
        <v>0</v>
      </c>
      <c r="AC58" s="139">
        <v>0</v>
      </c>
      <c r="AD58" s="139">
        <v>0</v>
      </c>
      <c r="AE58" s="139">
        <v>0</v>
      </c>
      <c r="AF58" s="139">
        <v>0</v>
      </c>
      <c r="AG58" s="139">
        <v>0</v>
      </c>
      <c r="AH58" s="139">
        <v>0</v>
      </c>
    </row>
    <row r="59" spans="2:34" x14ac:dyDescent="0.55000000000000004">
      <c r="B59" s="138" t="s">
        <v>232</v>
      </c>
      <c r="C59" s="139">
        <v>12504.125500456452</v>
      </c>
      <c r="D59" s="139">
        <v>11095.463311246507</v>
      </c>
      <c r="E59" s="139">
        <v>10945.624856317218</v>
      </c>
      <c r="F59" s="139">
        <v>13320.612287138103</v>
      </c>
      <c r="G59" s="139">
        <v>748.33806498232104</v>
      </c>
      <c r="H59" s="139">
        <v>-11.265637833259891</v>
      </c>
      <c r="I59" s="139">
        <v>-1.3504622611410282</v>
      </c>
      <c r="J59" s="139">
        <v>-94.382089108531815</v>
      </c>
      <c r="K59" s="139">
        <v>10324.556617641752</v>
      </c>
      <c r="L59" s="139">
        <v>9218.4727344289859</v>
      </c>
      <c r="M59" s="139">
        <v>8654.0761733389973</v>
      </c>
      <c r="N59" s="139">
        <v>10711.383982495168</v>
      </c>
      <c r="O59" s="139">
        <v>603.41804014232116</v>
      </c>
      <c r="P59" s="139">
        <v>-10.713192620315057</v>
      </c>
      <c r="Q59" s="139">
        <v>-6.1223825645687349</v>
      </c>
      <c r="R59" s="139">
        <v>-94.366552208959064</v>
      </c>
      <c r="S59" s="139">
        <v>1683.7783624247002</v>
      </c>
      <c r="T59" s="139">
        <v>1601.2461242889058</v>
      </c>
      <c r="U59" s="139">
        <v>1915.8212961763911</v>
      </c>
      <c r="V59" s="139">
        <v>2033.125927816485</v>
      </c>
      <c r="W59" s="139">
        <v>118.19490011999989</v>
      </c>
      <c r="X59" s="139">
        <v>-4.9014716887004219</v>
      </c>
      <c r="Y59" s="139">
        <v>19.645277127244334</v>
      </c>
      <c r="Z59" s="139">
        <v>-94.186795728753196</v>
      </c>
      <c r="AA59" s="139">
        <v>495.79052038999998</v>
      </c>
      <c r="AB59" s="139">
        <v>275.74445252861636</v>
      </c>
      <c r="AC59" s="139">
        <v>375.72738680182999</v>
      </c>
      <c r="AD59" s="139">
        <v>576.10237682644924</v>
      </c>
      <c r="AE59" s="139">
        <v>26.72512472</v>
      </c>
      <c r="AF59" s="139">
        <v>-44.383710845317573</v>
      </c>
      <c r="AG59" s="139">
        <v>36.262421121346193</v>
      </c>
      <c r="AH59" s="139">
        <v>-95.360180524214542</v>
      </c>
    </row>
    <row r="60" spans="2:34" x14ac:dyDescent="0.55000000000000004">
      <c r="B60" s="138" t="s">
        <v>233</v>
      </c>
      <c r="C60" s="139">
        <v>3583.7496483198811</v>
      </c>
      <c r="D60" s="139">
        <v>1971.1643273257689</v>
      </c>
      <c r="E60" s="139">
        <v>1865.5194555991502</v>
      </c>
      <c r="F60" s="139">
        <v>3167.3335222266969</v>
      </c>
      <c r="G60" s="139">
        <v>155.05344148</v>
      </c>
      <c r="H60" s="139">
        <v>-44.997279386117896</v>
      </c>
      <c r="I60" s="139">
        <v>-5.3592808295622936</v>
      </c>
      <c r="J60" s="139">
        <v>-95.104709645032258</v>
      </c>
      <c r="K60" s="139">
        <v>3086.8188416344251</v>
      </c>
      <c r="L60" s="139">
        <v>1759.9141570070096</v>
      </c>
      <c r="M60" s="139">
        <v>1370.0169913191503</v>
      </c>
      <c r="N60" s="139">
        <v>2667.7842585466969</v>
      </c>
      <c r="O60" s="139">
        <v>149.82636807</v>
      </c>
      <c r="P60" s="139">
        <v>-42.986309535379448</v>
      </c>
      <c r="Q60" s="139">
        <v>-22.153973782750256</v>
      </c>
      <c r="R60" s="139">
        <v>-94.383719796984764</v>
      </c>
      <c r="S60" s="139">
        <v>218.72727969000002</v>
      </c>
      <c r="T60" s="139">
        <v>113.66862989999998</v>
      </c>
      <c r="U60" s="139">
        <v>277.94246705</v>
      </c>
      <c r="V60" s="139">
        <v>295.04656305999998</v>
      </c>
      <c r="W60" s="139">
        <v>4.0519073299999997</v>
      </c>
      <c r="X60" s="139">
        <v>-48.031820052119045</v>
      </c>
      <c r="Y60" s="139">
        <v>144.51482361221079</v>
      </c>
      <c r="Z60" s="139">
        <v>-98.627351296390444</v>
      </c>
      <c r="AA60" s="139">
        <v>278.20352699545606</v>
      </c>
      <c r="AB60" s="139">
        <v>97.581540418759232</v>
      </c>
      <c r="AC60" s="139">
        <v>217.55999722999999</v>
      </c>
      <c r="AD60" s="139">
        <v>204.50270062000001</v>
      </c>
      <c r="AE60" s="139">
        <v>1.1751660800000001</v>
      </c>
      <c r="AF60" s="139">
        <v>-64.924514737598855</v>
      </c>
      <c r="AG60" s="139">
        <v>122.95552367288379</v>
      </c>
      <c r="AH60" s="139">
        <v>-99.422982885085574</v>
      </c>
    </row>
    <row r="61" spans="2:34" x14ac:dyDescent="0.55000000000000004">
      <c r="B61" s="138" t="s">
        <v>234</v>
      </c>
      <c r="C61" s="139">
        <v>20530.195335453824</v>
      </c>
      <c r="D61" s="139">
        <v>27558.415338145624</v>
      </c>
      <c r="E61" s="139">
        <v>43240.313440832258</v>
      </c>
      <c r="F61" s="139">
        <v>58455.887436032637</v>
      </c>
      <c r="G61" s="139">
        <v>630.412015146096</v>
      </c>
      <c r="H61" s="139">
        <v>34.233568109419281</v>
      </c>
      <c r="I61" s="139">
        <v>56.904169397229595</v>
      </c>
      <c r="J61" s="139">
        <v>-98.921562908374156</v>
      </c>
      <c r="K61" s="139">
        <v>17298.581970516007</v>
      </c>
      <c r="L61" s="139">
        <v>23390.751795801989</v>
      </c>
      <c r="M61" s="139">
        <v>37138.955132945986</v>
      </c>
      <c r="N61" s="139">
        <v>48684.708449633057</v>
      </c>
      <c r="O61" s="139">
        <v>484.54216286071539</v>
      </c>
      <c r="P61" s="139">
        <v>35.2177461965086</v>
      </c>
      <c r="Q61" s="139">
        <v>58.776268396695272</v>
      </c>
      <c r="R61" s="139">
        <v>-99.004738859489976</v>
      </c>
      <c r="S61" s="139">
        <v>2406.5452202449464</v>
      </c>
      <c r="T61" s="139">
        <v>3134.6762887277296</v>
      </c>
      <c r="U61" s="139">
        <v>5325.3129628930228</v>
      </c>
      <c r="V61" s="139">
        <v>8222.7300083495447</v>
      </c>
      <c r="W61" s="139">
        <v>105.3683123706807</v>
      </c>
      <c r="X61" s="139">
        <v>30.25617585340008</v>
      </c>
      <c r="Y61" s="139">
        <v>69.883688287161704</v>
      </c>
      <c r="Z61" s="139">
        <v>-98.718552111038548</v>
      </c>
      <c r="AA61" s="139">
        <v>825.06814469287292</v>
      </c>
      <c r="AB61" s="139">
        <v>1032.987253615905</v>
      </c>
      <c r="AC61" s="139">
        <v>776.04534499324814</v>
      </c>
      <c r="AD61" s="139">
        <v>1548.4489780500401</v>
      </c>
      <c r="AE61" s="139">
        <v>40.501539914699897</v>
      </c>
      <c r="AF61" s="139">
        <v>25.200286036336305</v>
      </c>
      <c r="AG61" s="139">
        <v>-24.873425686599102</v>
      </c>
      <c r="AH61" s="139">
        <v>-97.384481255448989</v>
      </c>
    </row>
    <row r="62" spans="2:34" x14ac:dyDescent="0.55000000000000004">
      <c r="B62" s="138" t="s">
        <v>235</v>
      </c>
      <c r="C62" s="139">
        <v>668.56603689000008</v>
      </c>
      <c r="D62" s="139">
        <v>245.12288027999998</v>
      </c>
      <c r="E62" s="139">
        <v>285.41041838000001</v>
      </c>
      <c r="F62" s="139">
        <v>405.50549502999996</v>
      </c>
      <c r="G62" s="139">
        <v>7.6314674179999997</v>
      </c>
      <c r="H62" s="139">
        <v>-63.336673796311537</v>
      </c>
      <c r="I62" s="139">
        <v>16.436847258485646</v>
      </c>
      <c r="J62" s="139">
        <v>-98.118418781287758</v>
      </c>
      <c r="K62" s="139">
        <v>611.11416822000012</v>
      </c>
      <c r="L62" s="139">
        <v>230.71281405999997</v>
      </c>
      <c r="M62" s="139">
        <v>270.68034897000001</v>
      </c>
      <c r="N62" s="139">
        <v>391.79553133999997</v>
      </c>
      <c r="O62" s="139">
        <v>5.730712348</v>
      </c>
      <c r="P62" s="139">
        <v>-62.247385904338003</v>
      </c>
      <c r="Q62" s="139">
        <v>17.324780026873565</v>
      </c>
      <c r="R62" s="139">
        <v>-98.537519142419598</v>
      </c>
      <c r="S62" s="139">
        <v>41.169897859999999</v>
      </c>
      <c r="T62" s="139">
        <v>8.9055429000000004</v>
      </c>
      <c r="U62" s="139">
        <v>7.8200875500000002</v>
      </c>
      <c r="V62" s="139">
        <v>7.2741691500000005</v>
      </c>
      <c r="W62" s="139">
        <v>0.30075507000000001</v>
      </c>
      <c r="X62" s="139">
        <v>-78.358027690065583</v>
      </c>
      <c r="Y62" s="139">
        <v>-12.233445566778899</v>
      </c>
      <c r="Z62" s="139">
        <v>-95.873452544704264</v>
      </c>
      <c r="AA62" s="139">
        <v>16.281970810000001</v>
      </c>
      <c r="AB62" s="139">
        <v>5.5045233199999997</v>
      </c>
      <c r="AC62" s="139">
        <v>6.9099818600000003</v>
      </c>
      <c r="AD62" s="139">
        <v>6.4357945400000007</v>
      </c>
      <c r="AE62" s="139">
        <v>1.6</v>
      </c>
      <c r="AF62" s="139">
        <v>-66.21621621621621</v>
      </c>
      <c r="AG62" s="139">
        <v>25.636363636363637</v>
      </c>
      <c r="AH62" s="139">
        <v>-75.155279503105589</v>
      </c>
    </row>
    <row r="63" spans="2:34" x14ac:dyDescent="0.55000000000000004">
      <c r="B63" s="138" t="s">
        <v>236</v>
      </c>
      <c r="C63" s="139">
        <v>155.85206586999996</v>
      </c>
      <c r="D63" s="139">
        <v>-1059.8905418576226</v>
      </c>
      <c r="E63" s="139">
        <v>11.958505389999999</v>
      </c>
      <c r="F63" s="139">
        <v>24.516277930000001</v>
      </c>
      <c r="G63" s="139">
        <v>1.1673900000000043E-3</v>
      </c>
      <c r="H63" s="139">
        <v>-780.07058068655761</v>
      </c>
      <c r="I63" s="139">
        <v>-101.128418986876</v>
      </c>
      <c r="J63" s="139">
        <v>-100</v>
      </c>
      <c r="K63" s="139">
        <v>155.85206586999996</v>
      </c>
      <c r="L63" s="139">
        <v>-1060.3935418576225</v>
      </c>
      <c r="M63" s="139">
        <v>1.4841353899999998</v>
      </c>
      <c r="N63" s="139">
        <v>9.8812779299999995</v>
      </c>
      <c r="O63" s="139">
        <v>1.1673900000000043E-3</v>
      </c>
      <c r="P63" s="139">
        <v>-780.39140198909206</v>
      </c>
      <c r="Q63" s="139">
        <v>-100.13957128980847</v>
      </c>
      <c r="R63" s="139">
        <v>-100</v>
      </c>
      <c r="S63" s="139">
        <v>0</v>
      </c>
      <c r="T63" s="139">
        <v>0</v>
      </c>
      <c r="U63" s="139">
        <v>0</v>
      </c>
      <c r="V63" s="139">
        <v>0</v>
      </c>
      <c r="W63" s="139">
        <v>0</v>
      </c>
      <c r="X63" s="139">
        <v>0</v>
      </c>
      <c r="Y63" s="139">
        <v>0</v>
      </c>
      <c r="Z63" s="139">
        <v>0</v>
      </c>
      <c r="AA63" s="139">
        <v>0</v>
      </c>
      <c r="AB63" s="139">
        <v>0.503</v>
      </c>
      <c r="AC63" s="139">
        <v>10.474369999999999</v>
      </c>
      <c r="AD63" s="139">
        <v>14.635</v>
      </c>
      <c r="AE63" s="139">
        <v>0</v>
      </c>
      <c r="AF63" s="139">
        <v>0</v>
      </c>
      <c r="AG63" s="139">
        <v>1994.0000000000002</v>
      </c>
      <c r="AH63" s="139">
        <v>-100</v>
      </c>
    </row>
    <row r="64" spans="2:34" x14ac:dyDescent="0.55000000000000004">
      <c r="B64" s="138" t="s">
        <v>237</v>
      </c>
      <c r="C64" s="139">
        <v>56.128360360000187</v>
      </c>
      <c r="D64" s="139">
        <v>780.25911427044105</v>
      </c>
      <c r="E64" s="139">
        <v>484.75269507685016</v>
      </c>
      <c r="F64" s="139">
        <v>1268.2667924988395</v>
      </c>
      <c r="G64" s="139">
        <v>184.89869685519506</v>
      </c>
      <c r="H64" s="139">
        <v>1290.0944236593621</v>
      </c>
      <c r="I64" s="139">
        <v>-37.873273011560251</v>
      </c>
      <c r="J64" s="139">
        <v>-85.421085415566083</v>
      </c>
      <c r="K64" s="139">
        <v>0</v>
      </c>
      <c r="L64" s="139">
        <v>0</v>
      </c>
      <c r="M64" s="139">
        <v>0</v>
      </c>
      <c r="N64" s="139">
        <v>0</v>
      </c>
      <c r="O64" s="139">
        <v>0</v>
      </c>
      <c r="P64" s="139">
        <v>0</v>
      </c>
      <c r="Q64" s="139">
        <v>0</v>
      </c>
      <c r="R64" s="139">
        <v>0</v>
      </c>
      <c r="S64" s="139">
        <v>56.128360360000187</v>
      </c>
      <c r="T64" s="139">
        <v>235.02313332570029</v>
      </c>
      <c r="U64" s="139">
        <v>0</v>
      </c>
      <c r="V64" s="139">
        <v>910.59020053059999</v>
      </c>
      <c r="W64" s="139">
        <v>122.41009373149558</v>
      </c>
      <c r="X64" s="139">
        <v>318.70657402458579</v>
      </c>
      <c r="Y64" s="139">
        <v>-100</v>
      </c>
      <c r="Z64" s="139">
        <v>-86.557067395864223</v>
      </c>
      <c r="AA64" s="139">
        <v>0</v>
      </c>
      <c r="AB64" s="139">
        <v>545.23598094474073</v>
      </c>
      <c r="AC64" s="139">
        <v>484.75269507685016</v>
      </c>
      <c r="AD64" s="139">
        <v>357.67659196823962</v>
      </c>
      <c r="AE64" s="139">
        <v>62.488603123699484</v>
      </c>
      <c r="AF64" s="139">
        <v>0</v>
      </c>
      <c r="AG64" s="139">
        <v>-11.094197050839998</v>
      </c>
      <c r="AH64" s="139">
        <v>-82.529076269290982</v>
      </c>
    </row>
    <row r="65" spans="2:34" x14ac:dyDescent="0.55000000000000004">
      <c r="B65" s="148" t="s">
        <v>238</v>
      </c>
      <c r="C65" s="146">
        <v>582243.58990878053</v>
      </c>
      <c r="D65" s="146">
        <v>717105.54984818818</v>
      </c>
      <c r="E65" s="146">
        <v>772570.19387271302</v>
      </c>
      <c r="F65" s="146">
        <v>693236.21306975151</v>
      </c>
      <c r="G65" s="146">
        <v>50878.201615687663</v>
      </c>
      <c r="H65" s="146">
        <v>23.162463669200736</v>
      </c>
      <c r="I65" s="146">
        <v>7.7345155116983673</v>
      </c>
      <c r="J65" s="146">
        <v>-92.660769984880048</v>
      </c>
      <c r="K65" s="146">
        <v>507891.88595293323</v>
      </c>
      <c r="L65" s="146">
        <v>618452.15019241069</v>
      </c>
      <c r="M65" s="146">
        <v>676255.36199453019</v>
      </c>
      <c r="N65" s="146">
        <v>607360.4878719945</v>
      </c>
      <c r="O65" s="146">
        <v>44707.415157344949</v>
      </c>
      <c r="P65" s="146">
        <v>21.768463363335059</v>
      </c>
      <c r="Q65" s="146">
        <v>9.3464320562229375</v>
      </c>
      <c r="R65" s="146">
        <v>-92.639063499174924</v>
      </c>
      <c r="S65" s="146">
        <v>60938.988609703709</v>
      </c>
      <c r="T65" s="146">
        <v>80736.610261117792</v>
      </c>
      <c r="U65" s="146">
        <v>79197.437450510639</v>
      </c>
      <c r="V65" s="146">
        <v>70053.198564663631</v>
      </c>
      <c r="W65" s="146">
        <v>4890.81349030198</v>
      </c>
      <c r="X65" s="146">
        <v>32.487607687623317</v>
      </c>
      <c r="Y65" s="146">
        <v>-1.9064090008237877</v>
      </c>
      <c r="Z65" s="146">
        <v>-93.018434561162096</v>
      </c>
      <c r="AA65" s="146">
        <v>13412.71534614363</v>
      </c>
      <c r="AB65" s="146">
        <v>17916.789394659652</v>
      </c>
      <c r="AC65" s="146">
        <v>17117.394427672109</v>
      </c>
      <c r="AD65" s="146">
        <v>15822.526633093396</v>
      </c>
      <c r="AE65" s="146">
        <v>1279.9729680407327</v>
      </c>
      <c r="AF65" s="146">
        <v>33.580586189825794</v>
      </c>
      <c r="AG65" s="146">
        <v>-4.4617367285099698</v>
      </c>
      <c r="AH65" s="146">
        <v>-91.910459326037</v>
      </c>
    </row>
    <row r="66" spans="2:34" x14ac:dyDescent="0.55000000000000004">
      <c r="B66" s="149"/>
      <c r="C66" s="149"/>
      <c r="D66" s="149"/>
      <c r="E66" s="149"/>
      <c r="F66" s="149"/>
      <c r="G66" s="149"/>
      <c r="K66" s="149"/>
      <c r="L66" s="149"/>
      <c r="M66" s="149"/>
      <c r="N66" s="149"/>
      <c r="O66" s="149"/>
      <c r="S66" s="149"/>
      <c r="T66" s="149"/>
      <c r="U66" s="149"/>
      <c r="V66" s="149"/>
      <c r="W66" s="149"/>
      <c r="AA66" s="150"/>
      <c r="AB66" s="150"/>
      <c r="AC66" s="150"/>
      <c r="AD66" s="150"/>
      <c r="AE66" s="150"/>
      <c r="AF66" s="150"/>
      <c r="AG66" s="150"/>
      <c r="AH66" s="150"/>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AF53-C305-4CB5-AAC9-451E9A74D922}">
  <sheetPr codeName="Sheet80"/>
  <dimension ref="B2:AH63"/>
  <sheetViews>
    <sheetView workbookViewId="0">
      <pane xSplit="2" ySplit="6" topLeftCell="T13"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4.5859375" style="34" bestFit="1" customWidth="1"/>
    <col min="3" max="7" width="14.5859375" style="34" bestFit="1" customWidth="1"/>
    <col min="8" max="9" width="8.703125" style="34" bestFit="1" customWidth="1"/>
    <col min="10" max="10" width="8.29296875" style="34" bestFit="1" customWidth="1"/>
    <col min="11" max="15" width="14.5859375" style="34" bestFit="1" customWidth="1"/>
    <col min="16" max="17" width="8.703125" style="34" bestFit="1" customWidth="1"/>
    <col min="18" max="18" width="8.29296875" style="34" bestFit="1" customWidth="1"/>
    <col min="19" max="23" width="12.703125" style="34" bestFit="1" customWidth="1"/>
    <col min="24" max="24" width="10.41015625" style="34" bestFit="1" customWidth="1"/>
    <col min="25" max="25" width="9.41015625" style="34" bestFit="1" customWidth="1"/>
    <col min="26" max="26" width="8.703125" style="34" bestFit="1" customWidth="1"/>
    <col min="27" max="31" width="11.5859375" style="34" bestFit="1" customWidth="1"/>
    <col min="32" max="32" width="9.41015625" style="34" bestFit="1" customWidth="1"/>
    <col min="33" max="33" width="10.41015625" style="34" bestFit="1" customWidth="1"/>
    <col min="34" max="34" width="8.29296875" style="34" bestFit="1" customWidth="1"/>
    <col min="35" max="16384" width="9.1171875" style="34"/>
  </cols>
  <sheetData>
    <row r="2" spans="2:34" x14ac:dyDescent="0.55000000000000004">
      <c r="B2" s="99"/>
      <c r="C2" s="100" t="s">
        <v>239</v>
      </c>
      <c r="D2" s="101"/>
      <c r="E2" s="101"/>
      <c r="F2" s="101"/>
      <c r="G2" s="101"/>
      <c r="H2" s="101"/>
      <c r="I2" s="101"/>
      <c r="J2" s="102"/>
      <c r="K2" s="100" t="s">
        <v>240</v>
      </c>
      <c r="L2" s="101"/>
      <c r="M2" s="101"/>
      <c r="N2" s="101"/>
      <c r="O2" s="101"/>
      <c r="P2" s="101"/>
      <c r="Q2" s="101"/>
      <c r="R2" s="102"/>
      <c r="S2" s="100" t="s">
        <v>241</v>
      </c>
      <c r="T2" s="101"/>
      <c r="U2" s="101"/>
      <c r="V2" s="101"/>
      <c r="W2" s="101"/>
      <c r="X2" s="101"/>
      <c r="Y2" s="101"/>
      <c r="Z2" s="102"/>
      <c r="AA2" s="100" t="s">
        <v>242</v>
      </c>
      <c r="AB2" s="101"/>
      <c r="AC2" s="101"/>
      <c r="AD2" s="101"/>
      <c r="AE2" s="101"/>
      <c r="AF2" s="101"/>
      <c r="AG2" s="101"/>
      <c r="AH2" s="102"/>
    </row>
    <row r="3" spans="2:34" x14ac:dyDescent="0.55000000000000004">
      <c r="B3" s="99"/>
      <c r="C3" s="105"/>
      <c r="D3" s="106"/>
      <c r="E3" s="106"/>
      <c r="F3" s="106"/>
      <c r="G3" s="106"/>
      <c r="H3" s="106"/>
      <c r="I3" s="134" t="s">
        <v>118</v>
      </c>
      <c r="J3" s="135"/>
      <c r="K3" s="105"/>
      <c r="L3" s="106"/>
      <c r="M3" s="106"/>
      <c r="N3" s="106"/>
      <c r="O3" s="106"/>
      <c r="P3" s="106"/>
      <c r="Q3" s="134" t="s">
        <v>118</v>
      </c>
      <c r="R3" s="135"/>
      <c r="S3" s="105"/>
      <c r="T3" s="106"/>
      <c r="U3" s="106"/>
      <c r="V3" s="106"/>
      <c r="W3" s="106"/>
      <c r="X3" s="106"/>
      <c r="Y3" s="134" t="s">
        <v>118</v>
      </c>
      <c r="Z3" s="135"/>
      <c r="AA3" s="105"/>
      <c r="AB3" s="106"/>
      <c r="AC3" s="106"/>
      <c r="AD3" s="106"/>
      <c r="AE3" s="106"/>
      <c r="AF3" s="106"/>
      <c r="AG3" s="134" t="s">
        <v>118</v>
      </c>
      <c r="AH3" s="135"/>
    </row>
    <row r="4" spans="2:34" x14ac:dyDescent="0.55000000000000004">
      <c r="B4" s="151"/>
      <c r="C4" s="104" t="s">
        <v>179</v>
      </c>
      <c r="D4" s="104"/>
      <c r="E4" s="104"/>
      <c r="F4" s="113" t="s">
        <v>69</v>
      </c>
      <c r="G4" s="113" t="s">
        <v>71</v>
      </c>
      <c r="H4" s="114" t="s">
        <v>120</v>
      </c>
      <c r="I4" s="114"/>
      <c r="J4" s="114"/>
      <c r="K4" s="104" t="str">
        <f>C4</f>
        <v xml:space="preserve">Mid-July </v>
      </c>
      <c r="L4" s="104"/>
      <c r="M4" s="104"/>
      <c r="N4" s="113" t="str">
        <f>F4</f>
        <v>Mid-July</v>
      </c>
      <c r="O4" s="115" t="str">
        <f>G4</f>
        <v>Mid-Aug</v>
      </c>
      <c r="P4" s="114" t="s">
        <v>120</v>
      </c>
      <c r="Q4" s="114"/>
      <c r="R4" s="114"/>
      <c r="S4" s="104" t="str">
        <f>K4</f>
        <v xml:space="preserve">Mid-July </v>
      </c>
      <c r="T4" s="104"/>
      <c r="U4" s="104"/>
      <c r="V4" s="113" t="str">
        <f>N4</f>
        <v>Mid-July</v>
      </c>
      <c r="W4" s="115" t="str">
        <f>O4</f>
        <v>Mid-Aug</v>
      </c>
      <c r="X4" s="114" t="s">
        <v>120</v>
      </c>
      <c r="Y4" s="114"/>
      <c r="Z4" s="114"/>
      <c r="AA4" s="104" t="str">
        <f>S4</f>
        <v xml:space="preserve">Mid-July </v>
      </c>
      <c r="AB4" s="104"/>
      <c r="AC4" s="104"/>
      <c r="AD4" s="113" t="str">
        <f>V4</f>
        <v>Mid-July</v>
      </c>
      <c r="AE4" s="113" t="str">
        <f>W4</f>
        <v>Mid-Aug</v>
      </c>
      <c r="AF4" s="114" t="s">
        <v>120</v>
      </c>
      <c r="AG4" s="114"/>
      <c r="AH4" s="114"/>
    </row>
    <row r="5" spans="2:34" x14ac:dyDescent="0.55000000000000004">
      <c r="B5" s="151"/>
      <c r="C5" s="113">
        <v>2022</v>
      </c>
      <c r="D5" s="113">
        <v>2023</v>
      </c>
      <c r="E5" s="113">
        <v>2024</v>
      </c>
      <c r="F5" s="113">
        <v>2025</v>
      </c>
      <c r="G5" s="113">
        <v>2025</v>
      </c>
      <c r="H5" s="114"/>
      <c r="I5" s="114"/>
      <c r="J5" s="114"/>
      <c r="K5" s="113">
        <f>C5</f>
        <v>2022</v>
      </c>
      <c r="L5" s="113">
        <f>D5</f>
        <v>2023</v>
      </c>
      <c r="M5" s="113">
        <f>E5</f>
        <v>2024</v>
      </c>
      <c r="N5" s="113">
        <f>F5</f>
        <v>2025</v>
      </c>
      <c r="O5" s="113">
        <f>G5</f>
        <v>2025</v>
      </c>
      <c r="P5" s="114"/>
      <c r="Q5" s="114"/>
      <c r="R5" s="114"/>
      <c r="S5" s="113">
        <f>K5</f>
        <v>2022</v>
      </c>
      <c r="T5" s="113">
        <f>L5</f>
        <v>2023</v>
      </c>
      <c r="U5" s="113">
        <f>M5</f>
        <v>2024</v>
      </c>
      <c r="V5" s="113">
        <f>N5</f>
        <v>2025</v>
      </c>
      <c r="W5" s="113">
        <f>O5</f>
        <v>2025</v>
      </c>
      <c r="X5" s="114"/>
      <c r="Y5" s="114"/>
      <c r="Z5" s="114"/>
      <c r="AA5" s="113">
        <f>S5</f>
        <v>2022</v>
      </c>
      <c r="AB5" s="113">
        <f>T5</f>
        <v>2023</v>
      </c>
      <c r="AC5" s="113">
        <f>U5</f>
        <v>2024</v>
      </c>
      <c r="AD5" s="113">
        <f>V5</f>
        <v>2025</v>
      </c>
      <c r="AE5" s="113">
        <f>W5</f>
        <v>2025</v>
      </c>
      <c r="AF5" s="114"/>
      <c r="AG5" s="114"/>
      <c r="AH5" s="114"/>
    </row>
    <row r="6" spans="2:34" x14ac:dyDescent="0.55000000000000004">
      <c r="B6" s="152" t="s">
        <v>243</v>
      </c>
      <c r="C6" s="113">
        <v>1</v>
      </c>
      <c r="D6" s="113">
        <v>2</v>
      </c>
      <c r="E6" s="113">
        <v>3</v>
      </c>
      <c r="F6" s="113">
        <v>4</v>
      </c>
      <c r="G6" s="113">
        <v>5</v>
      </c>
      <c r="H6" s="113" t="s">
        <v>980</v>
      </c>
      <c r="I6" s="113" t="s">
        <v>981</v>
      </c>
      <c r="J6" s="113" t="s">
        <v>982</v>
      </c>
      <c r="K6" s="113">
        <v>1</v>
      </c>
      <c r="L6" s="113">
        <v>2</v>
      </c>
      <c r="M6" s="113">
        <v>3</v>
      </c>
      <c r="N6" s="113">
        <v>4</v>
      </c>
      <c r="O6" s="113">
        <v>5</v>
      </c>
      <c r="P6" s="113" t="s">
        <v>980</v>
      </c>
      <c r="Q6" s="113" t="s">
        <v>981</v>
      </c>
      <c r="R6" s="113" t="s">
        <v>982</v>
      </c>
      <c r="S6" s="113">
        <v>1</v>
      </c>
      <c r="T6" s="113">
        <v>2</v>
      </c>
      <c r="U6" s="113">
        <v>3</v>
      </c>
      <c r="V6" s="113">
        <v>4</v>
      </c>
      <c r="W6" s="113">
        <v>5</v>
      </c>
      <c r="X6" s="113" t="s">
        <v>980</v>
      </c>
      <c r="Y6" s="113" t="s">
        <v>981</v>
      </c>
      <c r="Z6" s="113" t="s">
        <v>982</v>
      </c>
      <c r="AA6" s="113">
        <v>1</v>
      </c>
      <c r="AB6" s="113">
        <v>2</v>
      </c>
      <c r="AC6" s="113">
        <v>3</v>
      </c>
      <c r="AD6" s="113">
        <v>4</v>
      </c>
      <c r="AE6" s="113">
        <v>5</v>
      </c>
      <c r="AF6" s="113" t="s">
        <v>980</v>
      </c>
      <c r="AG6" s="113" t="s">
        <v>981</v>
      </c>
      <c r="AH6" s="113" t="s">
        <v>982</v>
      </c>
    </row>
    <row r="7" spans="2:34" x14ac:dyDescent="0.55000000000000004">
      <c r="B7" s="153" t="s">
        <v>244</v>
      </c>
      <c r="C7" s="139">
        <v>336186.97595923702</v>
      </c>
      <c r="D7" s="139">
        <v>369626.80336286669</v>
      </c>
      <c r="E7" s="139">
        <v>363886.68808469106</v>
      </c>
      <c r="F7" s="139">
        <v>356370.47330279427</v>
      </c>
      <c r="G7" s="139">
        <v>352479.80850268854</v>
      </c>
      <c r="H7" s="139">
        <v>9.9467921095576077</v>
      </c>
      <c r="I7" s="139">
        <v>-1.5529474594374613</v>
      </c>
      <c r="J7" s="139">
        <v>-1.0917459013930011</v>
      </c>
      <c r="K7" s="139">
        <v>299987.20823747403</v>
      </c>
      <c r="L7" s="139">
        <v>330085.90276601719</v>
      </c>
      <c r="M7" s="139">
        <v>323941.80849117495</v>
      </c>
      <c r="N7" s="139">
        <v>318651.21611781092</v>
      </c>
      <c r="O7" s="139">
        <v>313843.86883403722</v>
      </c>
      <c r="P7" s="139">
        <v>10.033324420731136</v>
      </c>
      <c r="Q7" s="139">
        <v>-1.8613609366531636</v>
      </c>
      <c r="R7" s="139">
        <v>-1.5086557647574603</v>
      </c>
      <c r="S7" s="139">
        <v>29912.754424642986</v>
      </c>
      <c r="T7" s="139">
        <v>32929.9994582695</v>
      </c>
      <c r="U7" s="139">
        <v>33224.508631489094</v>
      </c>
      <c r="V7" s="139">
        <v>30557.998353046361</v>
      </c>
      <c r="W7" s="139">
        <v>31549.561760344295</v>
      </c>
      <c r="X7" s="139">
        <v>10.086835881020635</v>
      </c>
      <c r="Y7" s="139">
        <v>0.89435165502581848</v>
      </c>
      <c r="Z7" s="139">
        <v>3.2448458668761089</v>
      </c>
      <c r="AA7" s="139">
        <v>6287.013297120001</v>
      </c>
      <c r="AB7" s="139">
        <v>6610.9011385799986</v>
      </c>
      <c r="AC7" s="139">
        <v>6720.370962027002</v>
      </c>
      <c r="AD7" s="139">
        <v>7161.2588319369997</v>
      </c>
      <c r="AE7" s="139">
        <v>7086.3779083070003</v>
      </c>
      <c r="AF7" s="139">
        <v>5.1517334949363756</v>
      </c>
      <c r="AG7" s="139">
        <v>1.65590161702643</v>
      </c>
      <c r="AH7" s="139">
        <v>-1.0456260490472362</v>
      </c>
    </row>
    <row r="8" spans="2:34" x14ac:dyDescent="0.55000000000000004">
      <c r="B8" s="153" t="s">
        <v>245</v>
      </c>
      <c r="C8" s="139">
        <v>13233.571855670001</v>
      </c>
      <c r="D8" s="139">
        <v>15012.222209529997</v>
      </c>
      <c r="E8" s="139">
        <v>16212.866037629996</v>
      </c>
      <c r="F8" s="139">
        <v>16260.529152631596</v>
      </c>
      <c r="G8" s="139">
        <v>16296.432435537597</v>
      </c>
      <c r="H8" s="139">
        <v>13.44043973017107</v>
      </c>
      <c r="I8" s="139">
        <v>7.9978177777837089</v>
      </c>
      <c r="J8" s="139">
        <v>0.22078001147563847</v>
      </c>
      <c r="K8" s="139">
        <v>11665.598993310001</v>
      </c>
      <c r="L8" s="139">
        <v>13237.040203399996</v>
      </c>
      <c r="M8" s="139">
        <v>14393.660662269995</v>
      </c>
      <c r="N8" s="139">
        <v>14575.31682863674</v>
      </c>
      <c r="O8" s="139">
        <v>14443.637117477598</v>
      </c>
      <c r="P8" s="139">
        <v>13.470717322726653</v>
      </c>
      <c r="Q8" s="139">
        <v>8.7377540598200127</v>
      </c>
      <c r="R8" s="139">
        <v>-0.90344500155056828</v>
      </c>
      <c r="S8" s="139">
        <v>1340.7580806000001</v>
      </c>
      <c r="T8" s="139">
        <v>1522.53053417</v>
      </c>
      <c r="U8" s="139">
        <v>1523.48819942</v>
      </c>
      <c r="V8" s="139">
        <v>1320.5743638048561</v>
      </c>
      <c r="W8" s="139">
        <v>1482.9821677099999</v>
      </c>
      <c r="X8" s="139">
        <v>13.557236194397207</v>
      </c>
      <c r="Y8" s="139">
        <v>6.3052944769563579E-2</v>
      </c>
      <c r="Z8" s="139">
        <v>12.298477172736021</v>
      </c>
      <c r="AA8" s="139">
        <v>227.21478175999997</v>
      </c>
      <c r="AB8" s="139">
        <v>252.65147195999998</v>
      </c>
      <c r="AC8" s="139">
        <v>295.71717594</v>
      </c>
      <c r="AD8" s="139">
        <v>364.63796019000006</v>
      </c>
      <c r="AE8" s="139">
        <v>369.81315034999994</v>
      </c>
      <c r="AF8" s="139">
        <v>11.196690286519079</v>
      </c>
      <c r="AG8" s="139">
        <v>17.047298634474576</v>
      </c>
      <c r="AH8" s="139">
        <v>1.4178367705133874</v>
      </c>
    </row>
    <row r="9" spans="2:34" x14ac:dyDescent="0.55000000000000004">
      <c r="B9" s="153" t="s">
        <v>246</v>
      </c>
      <c r="C9" s="139">
        <v>8789.4473612299989</v>
      </c>
      <c r="D9" s="139">
        <v>11789.121217340004</v>
      </c>
      <c r="E9" s="139">
        <v>11897.775839580003</v>
      </c>
      <c r="F9" s="139">
        <v>11755.055361309996</v>
      </c>
      <c r="G9" s="139">
        <v>11391.838298179999</v>
      </c>
      <c r="H9" s="139">
        <v>34.128073997804179</v>
      </c>
      <c r="I9" s="139">
        <v>0.92169729377595488</v>
      </c>
      <c r="J9" s="139">
        <v>-3.0899034118073354</v>
      </c>
      <c r="K9" s="139">
        <v>8386.0145431000001</v>
      </c>
      <c r="L9" s="139">
        <v>11382.604576650005</v>
      </c>
      <c r="M9" s="139">
        <v>11553.650203000003</v>
      </c>
      <c r="N9" s="139">
        <v>11352.989245639998</v>
      </c>
      <c r="O9" s="139">
        <v>11027.077740159997</v>
      </c>
      <c r="P9" s="139">
        <v>35.733203275455189</v>
      </c>
      <c r="Q9" s="139">
        <v>1.5027322404371519</v>
      </c>
      <c r="R9" s="139">
        <v>-2.8706974990729304</v>
      </c>
      <c r="S9" s="139">
        <v>302.32561848000006</v>
      </c>
      <c r="T9" s="139">
        <v>321.24580457999997</v>
      </c>
      <c r="U9" s="139">
        <v>239.3336913</v>
      </c>
      <c r="V9" s="139">
        <v>306.19485629000002</v>
      </c>
      <c r="W9" s="139">
        <v>306.32224305</v>
      </c>
      <c r="X9" s="139">
        <v>6.2580623821651891</v>
      </c>
      <c r="Y9" s="139">
        <v>-25.500389105058364</v>
      </c>
      <c r="Z9" s="139">
        <v>4.2457297756293623E-2</v>
      </c>
      <c r="AA9" s="139">
        <v>101.10719965000003</v>
      </c>
      <c r="AB9" s="139">
        <v>85.270836110000005</v>
      </c>
      <c r="AC9" s="139">
        <v>104.79194528000002</v>
      </c>
      <c r="AD9" s="139">
        <v>95.871259379999998</v>
      </c>
      <c r="AE9" s="139">
        <v>58.438314969999993</v>
      </c>
      <c r="AF9" s="139">
        <v>-15.666106220947487</v>
      </c>
      <c r="AG9" s="139">
        <v>22.891990148938678</v>
      </c>
      <c r="AH9" s="139">
        <v>-39.042453322207166</v>
      </c>
    </row>
    <row r="10" spans="2:34" ht="31.35" x14ac:dyDescent="0.55000000000000004">
      <c r="B10" s="154" t="s">
        <v>247</v>
      </c>
      <c r="C10" s="139">
        <v>733900.39099613891</v>
      </c>
      <c r="D10" s="139">
        <v>782535.67499568395</v>
      </c>
      <c r="E10" s="139">
        <v>857722.94158029708</v>
      </c>
      <c r="F10" s="139">
        <v>929123.84809349827</v>
      </c>
      <c r="G10" s="139">
        <v>933264.85123899777</v>
      </c>
      <c r="H10" s="139">
        <v>6.6269592798554076</v>
      </c>
      <c r="I10" s="139">
        <v>9.6081588204151647</v>
      </c>
      <c r="J10" s="139">
        <v>0.4456886990900083</v>
      </c>
      <c r="K10" s="139">
        <v>703431.79995485768</v>
      </c>
      <c r="L10" s="139">
        <v>749504.02636605303</v>
      </c>
      <c r="M10" s="139">
        <v>823518.42323130835</v>
      </c>
      <c r="N10" s="139">
        <v>893175.22117806005</v>
      </c>
      <c r="O10" s="139">
        <v>897306.28353964561</v>
      </c>
      <c r="P10" s="139">
        <v>6.5496370792449214</v>
      </c>
      <c r="Q10" s="139">
        <v>9.8751156814994072</v>
      </c>
      <c r="R10" s="139">
        <v>0.46251395106998783</v>
      </c>
      <c r="S10" s="139">
        <v>26205.787585571277</v>
      </c>
      <c r="T10" s="139">
        <v>29095.039269971003</v>
      </c>
      <c r="U10" s="139">
        <v>30310.599835588695</v>
      </c>
      <c r="V10" s="139">
        <v>31394.250114738268</v>
      </c>
      <c r="W10" s="139">
        <v>31349.488520462197</v>
      </c>
      <c r="X10" s="139">
        <v>11.025235262894192</v>
      </c>
      <c r="Y10" s="139">
        <v>4.1778942390180509</v>
      </c>
      <c r="Z10" s="139">
        <v>-0.14257387897464791</v>
      </c>
      <c r="AA10" s="139">
        <v>4262.80345571</v>
      </c>
      <c r="AB10" s="139">
        <v>3936.6093596599994</v>
      </c>
      <c r="AC10" s="139">
        <v>3893.918513399999</v>
      </c>
      <c r="AD10" s="139">
        <v>4554.3768007000008</v>
      </c>
      <c r="AE10" s="139">
        <v>4609.0791788900005</v>
      </c>
      <c r="AF10" s="139">
        <v>-7.6520127615651701</v>
      </c>
      <c r="AG10" s="139">
        <v>-1.0844355930610361</v>
      </c>
      <c r="AH10" s="139">
        <v>1.2010416346462047</v>
      </c>
    </row>
    <row r="11" spans="2:34" x14ac:dyDescent="0.55000000000000004">
      <c r="B11" s="153" t="s">
        <v>248</v>
      </c>
      <c r="C11" s="139">
        <v>190195.99517347483</v>
      </c>
      <c r="D11" s="139">
        <v>203379.33698771321</v>
      </c>
      <c r="E11" s="139">
        <v>207709.96225211857</v>
      </c>
      <c r="F11" s="139">
        <v>231369.37404229189</v>
      </c>
      <c r="G11" s="139">
        <v>232851.91169795065</v>
      </c>
      <c r="H11" s="139">
        <v>6.9314496624534669</v>
      </c>
      <c r="I11" s="139">
        <v>2.1293313273609775</v>
      </c>
      <c r="J11" s="139">
        <v>0.64076761759778667</v>
      </c>
      <c r="K11" s="139">
        <v>154722.57597744794</v>
      </c>
      <c r="L11" s="139">
        <v>167501.71476624301</v>
      </c>
      <c r="M11" s="139">
        <v>182860.25863905906</v>
      </c>
      <c r="N11" s="139">
        <v>204008.82460529657</v>
      </c>
      <c r="O11" s="139">
        <v>205298.78921215032</v>
      </c>
      <c r="P11" s="139">
        <v>8.2593826964364254</v>
      </c>
      <c r="Q11" s="139">
        <v>9.1691899742396767</v>
      </c>
      <c r="R11" s="139">
        <v>0.63231089714650623</v>
      </c>
      <c r="S11" s="139">
        <v>31621.927415366892</v>
      </c>
      <c r="T11" s="139">
        <v>32104.113901310204</v>
      </c>
      <c r="U11" s="139">
        <v>20935.649838189518</v>
      </c>
      <c r="V11" s="139">
        <v>24064.285394335297</v>
      </c>
      <c r="W11" s="139">
        <v>24267.349828820323</v>
      </c>
      <c r="X11" s="139">
        <v>1.5248278647128759</v>
      </c>
      <c r="Y11" s="139">
        <v>-34.78825608309964</v>
      </c>
      <c r="Z11" s="139">
        <v>0.84382294262576485</v>
      </c>
      <c r="AA11" s="139">
        <v>3851.4917806599997</v>
      </c>
      <c r="AB11" s="139">
        <v>3773.5083201599996</v>
      </c>
      <c r="AC11" s="139">
        <v>3914.0537748699999</v>
      </c>
      <c r="AD11" s="139">
        <v>3296.2640426600001</v>
      </c>
      <c r="AE11" s="139">
        <v>3285.7726569800002</v>
      </c>
      <c r="AF11" s="139">
        <v>-2.024670971494138</v>
      </c>
      <c r="AG11" s="139">
        <v>3.7243839290209899</v>
      </c>
      <c r="AH11" s="139">
        <v>-0.31823945926596314</v>
      </c>
    </row>
    <row r="12" spans="2:34" x14ac:dyDescent="0.55000000000000004">
      <c r="B12" s="153" t="s">
        <v>249</v>
      </c>
      <c r="C12" s="139">
        <v>246838.94592603203</v>
      </c>
      <c r="D12" s="139">
        <v>307456.87781411601</v>
      </c>
      <c r="E12" s="139">
        <v>376015.31934558495</v>
      </c>
      <c r="F12" s="139">
        <v>445616.71806147596</v>
      </c>
      <c r="G12" s="139">
        <v>447467.47555971507</v>
      </c>
      <c r="H12" s="139">
        <v>24.557684271465256</v>
      </c>
      <c r="I12" s="139">
        <v>22.298554516002373</v>
      </c>
      <c r="J12" s="139">
        <v>0.41532552907799541</v>
      </c>
      <c r="K12" s="139">
        <v>239755.94786637201</v>
      </c>
      <c r="L12" s="139">
        <v>298869.05956509599</v>
      </c>
      <c r="M12" s="139">
        <v>365247.98104308697</v>
      </c>
      <c r="N12" s="139">
        <v>432239.47840356792</v>
      </c>
      <c r="O12" s="139">
        <v>435539.07661476702</v>
      </c>
      <c r="P12" s="139">
        <v>24.655534096234099</v>
      </c>
      <c r="Q12" s="139">
        <v>22.210034053039809</v>
      </c>
      <c r="R12" s="139">
        <v>0.76337311899413607</v>
      </c>
      <c r="S12" s="139">
        <v>6488.3600090099999</v>
      </c>
      <c r="T12" s="139">
        <v>7578.4349821700016</v>
      </c>
      <c r="U12" s="139">
        <v>9834.8404076379993</v>
      </c>
      <c r="V12" s="139">
        <v>12965.338247438</v>
      </c>
      <c r="W12" s="139">
        <v>11471.361026648001</v>
      </c>
      <c r="X12" s="139">
        <v>16.800393319729494</v>
      </c>
      <c r="Y12" s="139">
        <v>29.774108885349602</v>
      </c>
      <c r="Z12" s="139">
        <v>-11.522875605267577</v>
      </c>
      <c r="AA12" s="139">
        <v>594.63805064999997</v>
      </c>
      <c r="AB12" s="139">
        <v>1009.38326685</v>
      </c>
      <c r="AC12" s="139">
        <v>932.49789485999997</v>
      </c>
      <c r="AD12" s="139">
        <v>411.90141046999997</v>
      </c>
      <c r="AE12" s="139">
        <v>457.03791830000006</v>
      </c>
      <c r="AF12" s="139">
        <v>69.746401183909597</v>
      </c>
      <c r="AG12" s="139">
        <v>-7.6165566981711548</v>
      </c>
      <c r="AH12" s="139">
        <v>10.95897062393786</v>
      </c>
    </row>
    <row r="13" spans="2:34" ht="31.35" x14ac:dyDescent="0.55000000000000004">
      <c r="B13" s="155" t="s">
        <v>250</v>
      </c>
      <c r="C13" s="139">
        <v>72472.000620565494</v>
      </c>
      <c r="D13" s="139">
        <v>70298.229225001502</v>
      </c>
      <c r="E13" s="139">
        <v>70287.187685321478</v>
      </c>
      <c r="F13" s="139">
        <v>73073.232044468808</v>
      </c>
      <c r="G13" s="139">
        <v>73470.832137299803</v>
      </c>
      <c r="H13" s="139">
        <v>-2.999461861132581</v>
      </c>
      <c r="I13" s="139">
        <v>-1.5704520583226061E-2</v>
      </c>
      <c r="J13" s="139">
        <v>0.54411170821380939</v>
      </c>
      <c r="K13" s="139">
        <v>69958.451909094001</v>
      </c>
      <c r="L13" s="139">
        <v>67878.633362690001</v>
      </c>
      <c r="M13" s="139">
        <v>67258.596694704989</v>
      </c>
      <c r="N13" s="139">
        <v>70216.645563378799</v>
      </c>
      <c r="O13" s="139">
        <v>70586.240068679806</v>
      </c>
      <c r="P13" s="139">
        <v>-2.9729360784865766</v>
      </c>
      <c r="Q13" s="139">
        <v>-0.91343917813308662</v>
      </c>
      <c r="R13" s="139">
        <v>0.52635664048343389</v>
      </c>
      <c r="S13" s="139">
        <v>1751.0504548215006</v>
      </c>
      <c r="T13" s="139">
        <v>1770.5257784315002</v>
      </c>
      <c r="U13" s="139">
        <v>2166.1873715765</v>
      </c>
      <c r="V13" s="139">
        <v>2053.7801667899994</v>
      </c>
      <c r="W13" s="139">
        <v>2068.3264952999998</v>
      </c>
      <c r="X13" s="139">
        <v>1.1124753719197065</v>
      </c>
      <c r="Y13" s="139">
        <v>22.346980847542831</v>
      </c>
      <c r="Z13" s="139">
        <v>0.70844978527396929</v>
      </c>
      <c r="AA13" s="139">
        <v>762.49825664999992</v>
      </c>
      <c r="AB13" s="139">
        <v>649.07008387999997</v>
      </c>
      <c r="AC13" s="139">
        <v>862.40361903999997</v>
      </c>
      <c r="AD13" s="139">
        <v>802.80631429999994</v>
      </c>
      <c r="AE13" s="139">
        <v>816.26557332000004</v>
      </c>
      <c r="AF13" s="139">
        <v>-14.876065573770484</v>
      </c>
      <c r="AG13" s="139">
        <v>32.867025128260423</v>
      </c>
      <c r="AH13" s="139">
        <v>1.6766109041990056</v>
      </c>
    </row>
    <row r="14" spans="2:34" x14ac:dyDescent="0.55000000000000004">
      <c r="B14" s="154" t="s">
        <v>251</v>
      </c>
      <c r="C14" s="139">
        <v>100908.7477441042</v>
      </c>
      <c r="D14" s="139">
        <v>98129.93943315951</v>
      </c>
      <c r="E14" s="139">
        <v>88554.525040817869</v>
      </c>
      <c r="F14" s="139">
        <v>83318.050426119953</v>
      </c>
      <c r="G14" s="139">
        <v>84616.153994715438</v>
      </c>
      <c r="H14" s="139">
        <v>-2.7537849790033051</v>
      </c>
      <c r="I14" s="139">
        <v>-9.7578883671996568</v>
      </c>
      <c r="J14" s="139">
        <v>1.5580057382523849</v>
      </c>
      <c r="K14" s="139">
        <v>82969.982572830195</v>
      </c>
      <c r="L14" s="139">
        <v>83643.034241564514</v>
      </c>
      <c r="M14" s="139">
        <v>77218.701931740521</v>
      </c>
      <c r="N14" s="139">
        <v>72589.649047086001</v>
      </c>
      <c r="O14" s="139">
        <v>73869.649131154496</v>
      </c>
      <c r="P14" s="139">
        <v>0.81119701366687436</v>
      </c>
      <c r="Q14" s="139">
        <v>-7.6806519323845661</v>
      </c>
      <c r="R14" s="139">
        <v>1.7633367842385246</v>
      </c>
      <c r="S14" s="139">
        <v>13921.172536554001</v>
      </c>
      <c r="T14" s="139">
        <v>11059.912638174997</v>
      </c>
      <c r="U14" s="139">
        <v>8793.6748172173502</v>
      </c>
      <c r="V14" s="139">
        <v>8126.8766428139515</v>
      </c>
      <c r="W14" s="139">
        <v>8039.0292877009524</v>
      </c>
      <c r="X14" s="139">
        <v>-20.553301195229999</v>
      </c>
      <c r="Y14" s="139">
        <v>-20.490582653927561</v>
      </c>
      <c r="Z14" s="139">
        <v>-1.0809806469395433</v>
      </c>
      <c r="AA14" s="139">
        <v>4017.5926347200007</v>
      </c>
      <c r="AB14" s="139">
        <v>3426.9925534200001</v>
      </c>
      <c r="AC14" s="139">
        <v>2542.1482918599995</v>
      </c>
      <c r="AD14" s="139">
        <v>2601.5247362199998</v>
      </c>
      <c r="AE14" s="139">
        <v>2707.4755758599999</v>
      </c>
      <c r="AF14" s="139">
        <v>-14.700355188060513</v>
      </c>
      <c r="AG14" s="139">
        <v>-25.819742689648926</v>
      </c>
      <c r="AH14" s="139">
        <v>4.0730034748916033</v>
      </c>
    </row>
    <row r="15" spans="2:34" x14ac:dyDescent="0.55000000000000004">
      <c r="B15" s="153" t="s">
        <v>252</v>
      </c>
      <c r="C15" s="139">
        <v>947619.23816330847</v>
      </c>
      <c r="D15" s="139">
        <v>983499.89806966367</v>
      </c>
      <c r="E15" s="139">
        <v>999437.55890048121</v>
      </c>
      <c r="F15" s="139">
        <v>1033161.0344262396</v>
      </c>
      <c r="G15" s="139">
        <v>1028991.1348444632</v>
      </c>
      <c r="H15" s="139">
        <v>3.7864005378362764</v>
      </c>
      <c r="I15" s="139">
        <v>1.620504486070617</v>
      </c>
      <c r="J15" s="139">
        <v>-0.40360600902649446</v>
      </c>
      <c r="K15" s="139">
        <v>866463.99094779545</v>
      </c>
      <c r="L15" s="139">
        <v>896414.13475008169</v>
      </c>
      <c r="M15" s="139">
        <v>910161.90894093702</v>
      </c>
      <c r="N15" s="139">
        <v>946091.02707483748</v>
      </c>
      <c r="O15" s="139">
        <v>943248.39745703107</v>
      </c>
      <c r="P15" s="139">
        <v>3.4565937356496503</v>
      </c>
      <c r="Q15" s="139">
        <v>1.5336415993353461</v>
      </c>
      <c r="R15" s="139">
        <v>-0.30046051699697485</v>
      </c>
      <c r="S15" s="139">
        <v>68458.446999093037</v>
      </c>
      <c r="T15" s="139">
        <v>73241.623572182027</v>
      </c>
      <c r="U15" s="139">
        <v>74852.506670454983</v>
      </c>
      <c r="V15" s="139">
        <v>73112.486465812035</v>
      </c>
      <c r="W15" s="139">
        <v>71757.55740225206</v>
      </c>
      <c r="X15" s="139">
        <v>6.9869680076016891</v>
      </c>
      <c r="Y15" s="139">
        <v>2.1994188550171332</v>
      </c>
      <c r="Z15" s="139">
        <v>-1.8532127684339672</v>
      </c>
      <c r="AA15" s="139">
        <v>12696.800216419999</v>
      </c>
      <c r="AB15" s="139">
        <v>13844.139747399999</v>
      </c>
      <c r="AC15" s="139">
        <v>14423.143289089197</v>
      </c>
      <c r="AD15" s="139">
        <v>13957.52088559</v>
      </c>
      <c r="AE15" s="139">
        <v>13985.179985180002</v>
      </c>
      <c r="AF15" s="139">
        <v>9.0364501291664059</v>
      </c>
      <c r="AG15" s="139">
        <v>4.1822749553240577</v>
      </c>
      <c r="AH15" s="139">
        <v>0.19817274128928244</v>
      </c>
    </row>
    <row r="16" spans="2:34" x14ac:dyDescent="0.55000000000000004">
      <c r="B16" s="153" t="s">
        <v>253</v>
      </c>
      <c r="C16" s="139">
        <v>375243.39854299999</v>
      </c>
      <c r="D16" s="139">
        <v>365558.94141054008</v>
      </c>
      <c r="E16" s="139">
        <v>396355.20122555009</v>
      </c>
      <c r="F16" s="139">
        <v>440737.95840602368</v>
      </c>
      <c r="G16" s="139">
        <v>422656.11316986481</v>
      </c>
      <c r="H16" s="139">
        <v>-2.5808475245667268</v>
      </c>
      <c r="I16" s="139">
        <v>8.4244308181876253</v>
      </c>
      <c r="J16" s="139">
        <v>-4.1026305063444122</v>
      </c>
      <c r="K16" s="139">
        <v>315352.72628275998</v>
      </c>
      <c r="L16" s="139">
        <v>306729.98035944009</v>
      </c>
      <c r="M16" s="139">
        <v>321326.73796761007</v>
      </c>
      <c r="N16" s="139">
        <v>367855.33599345369</v>
      </c>
      <c r="O16" s="139">
        <v>352718.38207613479</v>
      </c>
      <c r="P16" s="139">
        <v>-2.7343191225901231</v>
      </c>
      <c r="Q16" s="139">
        <v>4.7588305518749783</v>
      </c>
      <c r="R16" s="139">
        <v>-4.1149219146852731</v>
      </c>
      <c r="S16" s="139">
        <v>47741.920878629993</v>
      </c>
      <c r="T16" s="139">
        <v>46985.400750770008</v>
      </c>
      <c r="U16" s="139">
        <v>61373.401162770017</v>
      </c>
      <c r="V16" s="139">
        <v>59585.302762789994</v>
      </c>
      <c r="W16" s="139">
        <v>57877.223267590016</v>
      </c>
      <c r="X16" s="139">
        <v>-1.5846032166280637</v>
      </c>
      <c r="Y16" s="139">
        <v>30.622278409889027</v>
      </c>
      <c r="Z16" s="139">
        <v>-2.8666130740300066</v>
      </c>
      <c r="AA16" s="139">
        <v>12148.751381610002</v>
      </c>
      <c r="AB16" s="139">
        <v>11843.560300329998</v>
      </c>
      <c r="AC16" s="139">
        <v>13655.06209517</v>
      </c>
      <c r="AD16" s="139">
        <v>13297.319649780004</v>
      </c>
      <c r="AE16" s="139">
        <v>12060.507826140001</v>
      </c>
      <c r="AF16" s="139">
        <v>-2.512110299413524</v>
      </c>
      <c r="AG16" s="139">
        <v>15.295232176811702</v>
      </c>
      <c r="AH16" s="139">
        <v>-9.3011975345407905</v>
      </c>
    </row>
    <row r="17" spans="2:34" x14ac:dyDescent="0.55000000000000004">
      <c r="B17" s="153" t="s">
        <v>254</v>
      </c>
      <c r="C17" s="139">
        <v>200493.88963586246</v>
      </c>
      <c r="D17" s="139">
        <v>211160.24747415751</v>
      </c>
      <c r="E17" s="139">
        <v>231555.92730940308</v>
      </c>
      <c r="F17" s="139">
        <v>257021.39650123642</v>
      </c>
      <c r="G17" s="139">
        <v>258622.7581884955</v>
      </c>
      <c r="H17" s="139">
        <v>5.3200424212428548</v>
      </c>
      <c r="I17" s="139">
        <v>9.6588633514120161</v>
      </c>
      <c r="J17" s="139">
        <v>0.6230453962199316</v>
      </c>
      <c r="K17" s="139">
        <v>175638.25152073096</v>
      </c>
      <c r="L17" s="139">
        <v>182269.18134313301</v>
      </c>
      <c r="M17" s="139">
        <v>199049.10202489007</v>
      </c>
      <c r="N17" s="139">
        <v>220200.79687271192</v>
      </c>
      <c r="O17" s="139">
        <v>222300.26012662097</v>
      </c>
      <c r="P17" s="139">
        <v>3.7753336758934872</v>
      </c>
      <c r="Q17" s="139">
        <v>9.2061203106306913</v>
      </c>
      <c r="R17" s="139">
        <v>0.95342977863841594</v>
      </c>
      <c r="S17" s="139">
        <v>20442.733512431507</v>
      </c>
      <c r="T17" s="139">
        <v>24215.296280324506</v>
      </c>
      <c r="U17" s="139">
        <v>27180.602636803011</v>
      </c>
      <c r="V17" s="139">
        <v>31977.939731584516</v>
      </c>
      <c r="W17" s="139">
        <v>31491.846701414514</v>
      </c>
      <c r="X17" s="139">
        <v>18.454335599990802</v>
      </c>
      <c r="Y17" s="139">
        <v>12.245563755146538</v>
      </c>
      <c r="Z17" s="139">
        <v>-1.5200791545671803</v>
      </c>
      <c r="AA17" s="139">
        <v>4412.9046027000004</v>
      </c>
      <c r="AB17" s="139">
        <v>4675.7698506999996</v>
      </c>
      <c r="AC17" s="139">
        <v>5326.2226477100003</v>
      </c>
      <c r="AD17" s="139">
        <v>4842.6598969400011</v>
      </c>
      <c r="AE17" s="139">
        <v>4830.6513604600004</v>
      </c>
      <c r="AF17" s="139">
        <v>5.9568537696299675</v>
      </c>
      <c r="AG17" s="139">
        <v>13.911077747622313</v>
      </c>
      <c r="AH17" s="139">
        <v>-0.24800419604102331</v>
      </c>
    </row>
    <row r="18" spans="2:34" x14ac:dyDescent="0.55000000000000004">
      <c r="B18" s="153" t="s">
        <v>255</v>
      </c>
      <c r="C18" s="139">
        <v>192913.09393897545</v>
      </c>
      <c r="D18" s="139">
        <v>196597.37693390486</v>
      </c>
      <c r="E18" s="139">
        <v>201661.11868675548</v>
      </c>
      <c r="F18" s="139">
        <v>222298.1576966469</v>
      </c>
      <c r="G18" s="139">
        <v>222399.59374833645</v>
      </c>
      <c r="H18" s="139">
        <v>1.9098185613013654</v>
      </c>
      <c r="I18" s="139">
        <v>2.5756904797001825</v>
      </c>
      <c r="J18" s="139">
        <v>4.5627908031264409E-2</v>
      </c>
      <c r="K18" s="139">
        <v>177349.97682695897</v>
      </c>
      <c r="L18" s="139">
        <v>178117.38429752484</v>
      </c>
      <c r="M18" s="139">
        <v>181571.79942289498</v>
      </c>
      <c r="N18" s="139">
        <v>200279.01127589541</v>
      </c>
      <c r="O18" s="139">
        <v>200679.97793058498</v>
      </c>
      <c r="P18" s="139">
        <v>0.43270374205849593</v>
      </c>
      <c r="Q18" s="139">
        <v>1.9394064745394208</v>
      </c>
      <c r="R18" s="139">
        <v>0.20020570303398302</v>
      </c>
      <c r="S18" s="139">
        <v>13088.482710566499</v>
      </c>
      <c r="T18" s="139">
        <v>15561.008591809999</v>
      </c>
      <c r="U18" s="139">
        <v>17063.898663170501</v>
      </c>
      <c r="V18" s="139">
        <v>18379.547826821497</v>
      </c>
      <c r="W18" s="139">
        <v>18305.562965951493</v>
      </c>
      <c r="X18" s="139">
        <v>18.890887253523715</v>
      </c>
      <c r="Y18" s="139">
        <v>9.6580491883239024</v>
      </c>
      <c r="Z18" s="139">
        <v>-0.40256698341361985</v>
      </c>
      <c r="AA18" s="139">
        <v>2474.63440145</v>
      </c>
      <c r="AB18" s="139">
        <v>2918.9840445699992</v>
      </c>
      <c r="AC18" s="139">
        <v>3025.4206006899994</v>
      </c>
      <c r="AD18" s="139">
        <v>3639.5985939299999</v>
      </c>
      <c r="AE18" s="139">
        <v>3414.0528518000001</v>
      </c>
      <c r="AF18" s="139">
        <v>17.956219717695166</v>
      </c>
      <c r="AG18" s="139">
        <v>3.64647924960089</v>
      </c>
      <c r="AH18" s="139">
        <v>-6.1971095724804846</v>
      </c>
    </row>
    <row r="19" spans="2:34" x14ac:dyDescent="0.55000000000000004">
      <c r="B19" s="153" t="s">
        <v>256</v>
      </c>
      <c r="C19" s="139">
        <v>867483.32379339961</v>
      </c>
      <c r="D19" s="139">
        <v>926138.23810542095</v>
      </c>
      <c r="E19" s="139">
        <v>1013605.2778772981</v>
      </c>
      <c r="F19" s="139">
        <v>1151708.7319976562</v>
      </c>
      <c r="G19" s="139">
        <v>1151191.8597065734</v>
      </c>
      <c r="H19" s="139">
        <v>6.7615040713405348</v>
      </c>
      <c r="I19" s="139">
        <v>9.4442747553540212</v>
      </c>
      <c r="J19" s="139">
        <v>-4.487853452321048E-2</v>
      </c>
      <c r="K19" s="139">
        <v>757464.4905929456</v>
      </c>
      <c r="L19" s="139">
        <v>768478.1004451015</v>
      </c>
      <c r="M19" s="139">
        <v>841225.05043954204</v>
      </c>
      <c r="N19" s="139">
        <v>960879.13218760723</v>
      </c>
      <c r="O19" s="139">
        <v>961321.55419290462</v>
      </c>
      <c r="P19" s="139">
        <v>1.4540100751125622</v>
      </c>
      <c r="Q19" s="139">
        <v>9.466366055194035</v>
      </c>
      <c r="R19" s="139">
        <v>4.604325207896251E-2</v>
      </c>
      <c r="S19" s="139">
        <v>81687.141689984011</v>
      </c>
      <c r="T19" s="139">
        <v>128117.44536683944</v>
      </c>
      <c r="U19" s="139">
        <v>142213.89094244261</v>
      </c>
      <c r="V19" s="139">
        <v>158224.26540442536</v>
      </c>
      <c r="W19" s="139">
        <v>157424.33062942533</v>
      </c>
      <c r="X19" s="139">
        <v>56.839191578992725</v>
      </c>
      <c r="Y19" s="139">
        <v>11.002747869240308</v>
      </c>
      <c r="Z19" s="139">
        <v>-0.50557351283719143</v>
      </c>
      <c r="AA19" s="139">
        <v>28331.691510470006</v>
      </c>
      <c r="AB19" s="139">
        <v>29542.692293480006</v>
      </c>
      <c r="AC19" s="139">
        <v>30166.336495313499</v>
      </c>
      <c r="AD19" s="139">
        <v>32605.3344056235</v>
      </c>
      <c r="AE19" s="139">
        <v>32445.974884243496</v>
      </c>
      <c r="AF19" s="139">
        <v>4.2743655602613186</v>
      </c>
      <c r="AG19" s="139">
        <v>2.1110129104695661</v>
      </c>
      <c r="AH19" s="139">
        <v>-0.4887544459755524</v>
      </c>
    </row>
    <row r="20" spans="2:34" x14ac:dyDescent="0.55000000000000004">
      <c r="B20" s="153" t="s">
        <v>257</v>
      </c>
      <c r="C20" s="139">
        <v>1125.20287833</v>
      </c>
      <c r="D20" s="139">
        <v>1126.5479569000001</v>
      </c>
      <c r="E20" s="139">
        <v>1218.2151261500003</v>
      </c>
      <c r="F20" s="139">
        <v>1233.96681848</v>
      </c>
      <c r="G20" s="139">
        <v>1233.96072149</v>
      </c>
      <c r="H20" s="139">
        <v>0.11997867045857705</v>
      </c>
      <c r="I20" s="139">
        <v>8.1372331454440623</v>
      </c>
      <c r="J20" s="139">
        <v>-8.1039247307397306E-4</v>
      </c>
      <c r="K20" s="139">
        <v>1081.22453632</v>
      </c>
      <c r="L20" s="139">
        <v>1081.5758371500001</v>
      </c>
      <c r="M20" s="139">
        <v>1176.1017905200001</v>
      </c>
      <c r="N20" s="139">
        <v>1186.63481168</v>
      </c>
      <c r="O20" s="139">
        <v>1186.63481168</v>
      </c>
      <c r="P20" s="139">
        <v>3.3295721499778025E-2</v>
      </c>
      <c r="Q20" s="139">
        <v>8.7390669206161338</v>
      </c>
      <c r="R20" s="139">
        <v>0</v>
      </c>
      <c r="S20" s="139">
        <v>8.1911992200000014</v>
      </c>
      <c r="T20" s="139">
        <v>9.1849769600000002</v>
      </c>
      <c r="U20" s="139">
        <v>6.3027632399999991</v>
      </c>
      <c r="V20" s="139">
        <v>11.521434409999999</v>
      </c>
      <c r="W20" s="139">
        <v>11.51533742</v>
      </c>
      <c r="X20" s="139">
        <v>12.087912087912093</v>
      </c>
      <c r="Y20" s="139">
        <v>-31.372549019607845</v>
      </c>
      <c r="Z20" s="139">
        <v>0</v>
      </c>
      <c r="AA20" s="139">
        <v>35.787142790000004</v>
      </c>
      <c r="AB20" s="139">
        <v>35.787142790000004</v>
      </c>
      <c r="AC20" s="139">
        <v>35.810572390000004</v>
      </c>
      <c r="AD20" s="139">
        <v>35.810572390000004</v>
      </c>
      <c r="AE20" s="139">
        <v>35.810572390000004</v>
      </c>
      <c r="AF20" s="139">
        <v>0</v>
      </c>
      <c r="AG20" s="139">
        <v>5.5881531153962355E-2</v>
      </c>
      <c r="AH20" s="139">
        <v>0</v>
      </c>
    </row>
    <row r="21" spans="2:34" x14ac:dyDescent="0.55000000000000004">
      <c r="B21" s="153" t="s">
        <v>258</v>
      </c>
      <c r="C21" s="139">
        <v>421635.03981370921</v>
      </c>
      <c r="D21" s="139">
        <v>337541.18640829273</v>
      </c>
      <c r="E21" s="139">
        <v>331052.49382819369</v>
      </c>
      <c r="F21" s="139">
        <v>338555.84536357928</v>
      </c>
      <c r="G21" s="139">
        <v>337202.05828700564</v>
      </c>
      <c r="H21" s="139">
        <v>-19.944701465039525</v>
      </c>
      <c r="I21" s="139">
        <v>-1.9223431664739974</v>
      </c>
      <c r="J21" s="139">
        <v>-0.39987198567089571</v>
      </c>
      <c r="K21" s="139">
        <v>311215.03695517243</v>
      </c>
      <c r="L21" s="139">
        <v>260184.5941832274</v>
      </c>
      <c r="M21" s="139">
        <v>248572.36484246896</v>
      </c>
      <c r="N21" s="139">
        <v>249844.62146532716</v>
      </c>
      <c r="O21" s="139">
        <v>249350.01347000542</v>
      </c>
      <c r="P21" s="139">
        <v>-16.397167052080768</v>
      </c>
      <c r="Q21" s="139">
        <v>-4.4630736970241047</v>
      </c>
      <c r="R21" s="139">
        <v>-0.19796704047499042</v>
      </c>
      <c r="S21" s="139">
        <v>98811.844669286802</v>
      </c>
      <c r="T21" s="139">
        <v>66870.45095830533</v>
      </c>
      <c r="U21" s="139">
        <v>68896.204164824725</v>
      </c>
      <c r="V21" s="139">
        <v>72118.922875122909</v>
      </c>
      <c r="W21" s="139">
        <v>71116.364084421031</v>
      </c>
      <c r="X21" s="139">
        <v>-32.325468283962735</v>
      </c>
      <c r="Y21" s="139">
        <v>3.0293649885711851</v>
      </c>
      <c r="Z21" s="139">
        <v>-1.3901483826990166</v>
      </c>
      <c r="AA21" s="139">
        <v>11608.158189250002</v>
      </c>
      <c r="AB21" s="139">
        <v>10486.14126676</v>
      </c>
      <c r="AC21" s="139">
        <v>13583.9248209</v>
      </c>
      <c r="AD21" s="139">
        <v>16592.301023129196</v>
      </c>
      <c r="AE21" s="139">
        <v>16735.680732579203</v>
      </c>
      <c r="AF21" s="139">
        <v>-9.6657868258190831</v>
      </c>
      <c r="AG21" s="139">
        <v>29.541661660057951</v>
      </c>
      <c r="AH21" s="139">
        <v>0.86413577382280349</v>
      </c>
    </row>
    <row r="22" spans="2:34" x14ac:dyDescent="0.55000000000000004">
      <c r="B22" s="156" t="s">
        <v>259</v>
      </c>
      <c r="C22" s="146">
        <v>4709039.2624030374</v>
      </c>
      <c r="D22" s="146">
        <v>4879850.6416042903</v>
      </c>
      <c r="E22" s="146">
        <v>5167173.0588198733</v>
      </c>
      <c r="F22" s="146">
        <v>5591604.3716944531</v>
      </c>
      <c r="G22" s="146">
        <v>5574136.7825313136</v>
      </c>
      <c r="H22" s="146">
        <v>3.6273084714099388</v>
      </c>
      <c r="I22" s="146">
        <v>5.8879347176084869</v>
      </c>
      <c r="J22" s="146">
        <v>-0.31238959061046462</v>
      </c>
      <c r="K22" s="146">
        <v>4175443.2777171689</v>
      </c>
      <c r="L22" s="146">
        <v>4315376.967063372</v>
      </c>
      <c r="M22" s="146">
        <v>4569076.1463252082</v>
      </c>
      <c r="N22" s="146">
        <v>4963145.9006709903</v>
      </c>
      <c r="O22" s="146">
        <v>4952719.8423230341</v>
      </c>
      <c r="P22" s="146">
        <v>3.3513493206881724</v>
      </c>
      <c r="Q22" s="146">
        <v>5.8789575456255134</v>
      </c>
      <c r="R22" s="146">
        <v>-0.21006958509925169</v>
      </c>
      <c r="S22" s="146">
        <v>441782.89778425847</v>
      </c>
      <c r="T22" s="146">
        <v>471382.21286426857</v>
      </c>
      <c r="U22" s="146">
        <v>498615.0897961249</v>
      </c>
      <c r="V22" s="146">
        <v>524199.28464022308</v>
      </c>
      <c r="W22" s="146">
        <v>518518.82171851018</v>
      </c>
      <c r="X22" s="146">
        <v>6.6999673368978288</v>
      </c>
      <c r="Y22" s="146">
        <v>5.7772396629053953</v>
      </c>
      <c r="Z22" s="146">
        <v>-1.0836451358727583</v>
      </c>
      <c r="AA22" s="146">
        <v>91813.086901610004</v>
      </c>
      <c r="AB22" s="146">
        <v>93091.461676649997</v>
      </c>
      <c r="AC22" s="146">
        <v>99481.82269853972</v>
      </c>
      <c r="AD22" s="146">
        <v>104259.18638323969</v>
      </c>
      <c r="AE22" s="146">
        <v>102898.11848976971</v>
      </c>
      <c r="AF22" s="146">
        <v>1.3923613724361199</v>
      </c>
      <c r="AG22" s="146">
        <v>6.8646039067385987</v>
      </c>
      <c r="AH22" s="146">
        <v>-1.3054676523000102</v>
      </c>
    </row>
    <row r="23" spans="2:34" x14ac:dyDescent="0.55000000000000004">
      <c r="B23" s="152" t="s">
        <v>260</v>
      </c>
      <c r="C23" s="139"/>
      <c r="D23" s="139"/>
      <c r="E23" s="139"/>
      <c r="F23" s="139"/>
      <c r="G23" s="139"/>
      <c r="H23" s="157"/>
      <c r="I23" s="157"/>
      <c r="J23" s="157"/>
      <c r="K23" s="139"/>
      <c r="L23" s="139"/>
      <c r="M23" s="139"/>
      <c r="N23" s="139"/>
      <c r="O23" s="139"/>
      <c r="P23" s="157"/>
      <c r="Q23" s="157"/>
      <c r="R23" s="157"/>
      <c r="S23" s="139"/>
      <c r="T23" s="139"/>
      <c r="U23" s="139"/>
      <c r="V23" s="139"/>
      <c r="W23" s="139"/>
      <c r="X23" s="157"/>
      <c r="Y23" s="157"/>
      <c r="Z23" s="157"/>
      <c r="AA23" s="139"/>
      <c r="AB23" s="139"/>
      <c r="AC23" s="139"/>
      <c r="AD23" s="139"/>
      <c r="AE23" s="139"/>
      <c r="AF23" s="157"/>
      <c r="AG23" s="157"/>
      <c r="AH23" s="157"/>
    </row>
    <row r="24" spans="2:34" x14ac:dyDescent="0.55000000000000004">
      <c r="B24" s="158" t="s">
        <v>261</v>
      </c>
      <c r="C24" s="139">
        <v>1196840.7676061383</v>
      </c>
      <c r="D24" s="139">
        <v>1579614.2453985761</v>
      </c>
      <c r="E24" s="139">
        <v>1931014.195574638</v>
      </c>
      <c r="F24" s="139">
        <v>2067510.4276120886</v>
      </c>
      <c r="G24" s="139">
        <v>2072444.8221978254</v>
      </c>
      <c r="H24" s="139">
        <v>31.981988715173866</v>
      </c>
      <c r="I24" s="139">
        <v>22.245934410885436</v>
      </c>
      <c r="J24" s="139">
        <v>0.23866336674297361</v>
      </c>
      <c r="K24" s="139">
        <v>1048406.7546198533</v>
      </c>
      <c r="L24" s="139">
        <v>1388965.3917671267</v>
      </c>
      <c r="M24" s="139">
        <v>1704992.4187756258</v>
      </c>
      <c r="N24" s="139">
        <v>1816131.6040453999</v>
      </c>
      <c r="O24" s="139">
        <v>1821050.4004908039</v>
      </c>
      <c r="P24" s="139">
        <v>32.483445952632401</v>
      </c>
      <c r="Q24" s="139">
        <v>22.752692923471624</v>
      </c>
      <c r="R24" s="139">
        <v>0.27083940392864775</v>
      </c>
      <c r="S24" s="139">
        <v>130208.67771802505</v>
      </c>
      <c r="T24" s="139">
        <v>167739.82633359934</v>
      </c>
      <c r="U24" s="139">
        <v>199354.66558929306</v>
      </c>
      <c r="V24" s="139">
        <v>220267.48101439248</v>
      </c>
      <c r="W24" s="139">
        <v>219842.28783386029</v>
      </c>
      <c r="X24" s="139">
        <v>28.823846459391184</v>
      </c>
      <c r="Y24" s="139">
        <v>18.847545034473942</v>
      </c>
      <c r="Z24" s="139">
        <v>-0.19303348819353738</v>
      </c>
      <c r="AA24" s="139">
        <v>18225.335268259998</v>
      </c>
      <c r="AB24" s="139">
        <v>22909.02729785</v>
      </c>
      <c r="AC24" s="139">
        <v>26667.111209719202</v>
      </c>
      <c r="AD24" s="139">
        <v>31111.342552296192</v>
      </c>
      <c r="AE24" s="139">
        <v>31552.13387316119</v>
      </c>
      <c r="AF24" s="139">
        <v>25.6987798307192</v>
      </c>
      <c r="AG24" s="139">
        <v>16.404361075086992</v>
      </c>
      <c r="AH24" s="139">
        <v>1.4168145762927629</v>
      </c>
    </row>
    <row r="25" spans="2:34" x14ac:dyDescent="0.55000000000000004">
      <c r="B25" s="158" t="s">
        <v>262</v>
      </c>
      <c r="C25" s="139">
        <v>718773.22920268087</v>
      </c>
      <c r="D25" s="139">
        <v>230781.53880392012</v>
      </c>
      <c r="E25" s="139">
        <v>124430.93405654797</v>
      </c>
      <c r="F25" s="139">
        <v>111285.61522405688</v>
      </c>
      <c r="G25" s="139">
        <v>107724.33734532689</v>
      </c>
      <c r="H25" s="139">
        <v>-67.892301720808376</v>
      </c>
      <c r="I25" s="139">
        <v>-46.082806276446554</v>
      </c>
      <c r="J25" s="139">
        <v>-3.2001259461914295</v>
      </c>
      <c r="K25" s="139">
        <v>619855.81286770583</v>
      </c>
      <c r="L25" s="139">
        <v>164141.35548262013</v>
      </c>
      <c r="M25" s="139">
        <v>92019.649245279972</v>
      </c>
      <c r="N25" s="139">
        <v>86616.52514780387</v>
      </c>
      <c r="O25" s="139">
        <v>84210.102312793882</v>
      </c>
      <c r="P25" s="139">
        <v>-73.519428655512641</v>
      </c>
      <c r="Q25" s="139">
        <v>-43.938779354575836</v>
      </c>
      <c r="R25" s="139">
        <v>-2.778257221802805</v>
      </c>
      <c r="S25" s="139">
        <v>87233.448597744995</v>
      </c>
      <c r="T25" s="139">
        <v>59343.370579560004</v>
      </c>
      <c r="U25" s="139">
        <v>28465.026596697997</v>
      </c>
      <c r="V25" s="139">
        <v>19982.137578733</v>
      </c>
      <c r="W25" s="139">
        <v>18930.205878433</v>
      </c>
      <c r="X25" s="139">
        <v>-31.97177229606303</v>
      </c>
      <c r="Y25" s="139">
        <v>-52.033344247217514</v>
      </c>
      <c r="Z25" s="139">
        <v>-5.2643510655014945</v>
      </c>
      <c r="AA25" s="139">
        <v>11683.967737230001</v>
      </c>
      <c r="AB25" s="139">
        <v>7296.812741740001</v>
      </c>
      <c r="AC25" s="139">
        <v>3946.2582145699998</v>
      </c>
      <c r="AD25" s="139">
        <v>4686.9524975200002</v>
      </c>
      <c r="AE25" s="139">
        <v>4584.0291540999988</v>
      </c>
      <c r="AF25" s="139">
        <v>-37.548538724423281</v>
      </c>
      <c r="AG25" s="139">
        <v>-45.918010747162114</v>
      </c>
      <c r="AH25" s="139">
        <v>-2.1958843170932072</v>
      </c>
    </row>
    <row r="26" spans="2:34" x14ac:dyDescent="0.55000000000000004">
      <c r="B26" s="158" t="s">
        <v>263</v>
      </c>
      <c r="C26" s="139">
        <v>0</v>
      </c>
      <c r="D26" s="139">
        <v>516455.9968663652</v>
      </c>
      <c r="E26" s="139">
        <v>648711.59264455107</v>
      </c>
      <c r="F26" s="139">
        <v>650654.46926393243</v>
      </c>
      <c r="G26" s="139">
        <v>645106.88066698215</v>
      </c>
      <c r="H26" s="139">
        <v>0</v>
      </c>
      <c r="I26" s="139">
        <v>25.608297705903304</v>
      </c>
      <c r="J26" s="139">
        <v>-0.85261690433018433</v>
      </c>
      <c r="K26" s="139">
        <v>0</v>
      </c>
      <c r="L26" s="139">
        <v>493597.03412200516</v>
      </c>
      <c r="M26" s="139">
        <v>587955.80267546012</v>
      </c>
      <c r="N26" s="139">
        <v>585274.33580096136</v>
      </c>
      <c r="O26" s="139">
        <v>581578.02612212417</v>
      </c>
      <c r="P26" s="139">
        <v>0</v>
      </c>
      <c r="Q26" s="139">
        <v>19.116559514144566</v>
      </c>
      <c r="R26" s="139">
        <v>-0.6315516924934621</v>
      </c>
      <c r="S26" s="139">
        <v>0</v>
      </c>
      <c r="T26" s="139">
        <v>19123.757747229993</v>
      </c>
      <c r="U26" s="139">
        <v>52998.760633080994</v>
      </c>
      <c r="V26" s="139">
        <v>57854.431835540992</v>
      </c>
      <c r="W26" s="139">
        <v>56149.521560258014</v>
      </c>
      <c r="X26" s="139">
        <v>0</v>
      </c>
      <c r="Y26" s="139">
        <v>177.13566788121165</v>
      </c>
      <c r="Z26" s="139">
        <v>-2.9468962013799178</v>
      </c>
      <c r="AA26" s="139">
        <v>0</v>
      </c>
      <c r="AB26" s="139">
        <v>3735.2049971300003</v>
      </c>
      <c r="AC26" s="139">
        <v>7757.0293360100013</v>
      </c>
      <c r="AD26" s="139">
        <v>7525.7016274300004</v>
      </c>
      <c r="AE26" s="139">
        <v>7379.3329846000006</v>
      </c>
      <c r="AF26" s="139">
        <v>0</v>
      </c>
      <c r="AG26" s="139">
        <v>107.67375240950953</v>
      </c>
      <c r="AH26" s="139">
        <v>-1.9449353548507102</v>
      </c>
    </row>
    <row r="27" spans="2:34" x14ac:dyDescent="0.55000000000000004">
      <c r="B27" s="158" t="s">
        <v>264</v>
      </c>
      <c r="C27" s="139">
        <v>78431.601490940127</v>
      </c>
      <c r="D27" s="139">
        <v>73577.735304346104</v>
      </c>
      <c r="E27" s="139">
        <v>82835.120008903876</v>
      </c>
      <c r="F27" s="139">
        <v>125187.01417376801</v>
      </c>
      <c r="G27" s="139">
        <v>126552.06767323246</v>
      </c>
      <c r="H27" s="139">
        <v>-6.1886535529046967</v>
      </c>
      <c r="I27" s="139">
        <v>12.581767257325367</v>
      </c>
      <c r="J27" s="139">
        <v>1.090416649459087</v>
      </c>
      <c r="K27" s="139">
        <v>78388.68712340013</v>
      </c>
      <c r="L27" s="139">
        <v>73465.670263446111</v>
      </c>
      <c r="M27" s="139">
        <v>82717.117468003882</v>
      </c>
      <c r="N27" s="139">
        <v>125187.01417376801</v>
      </c>
      <c r="O27" s="139">
        <v>126552.06767323246</v>
      </c>
      <c r="P27" s="139">
        <v>-6.2802682376756183</v>
      </c>
      <c r="Q27" s="139">
        <v>12.592888624033508</v>
      </c>
      <c r="R27" s="139">
        <v>1.090416649459087</v>
      </c>
      <c r="S27" s="139">
        <v>42.914367540000008</v>
      </c>
      <c r="T27" s="139">
        <v>0</v>
      </c>
      <c r="U27" s="139">
        <v>0</v>
      </c>
      <c r="V27" s="139">
        <v>0</v>
      </c>
      <c r="W27" s="139">
        <v>0</v>
      </c>
      <c r="X27" s="139">
        <v>-100.00000000000001</v>
      </c>
      <c r="Y27" s="139">
        <v>0</v>
      </c>
      <c r="Z27" s="139">
        <v>0</v>
      </c>
      <c r="AA27" s="139">
        <v>0</v>
      </c>
      <c r="AB27" s="139">
        <v>112.0650409</v>
      </c>
      <c r="AC27" s="139">
        <v>118.0025409</v>
      </c>
      <c r="AD27" s="139">
        <v>0</v>
      </c>
      <c r="AE27" s="139">
        <v>0</v>
      </c>
      <c r="AF27" s="139">
        <v>0</v>
      </c>
      <c r="AG27" s="139">
        <v>5.2913357722851853</v>
      </c>
      <c r="AH27" s="139">
        <v>0</v>
      </c>
    </row>
    <row r="28" spans="2:34" x14ac:dyDescent="0.55000000000000004">
      <c r="B28" s="158" t="s">
        <v>265</v>
      </c>
      <c r="C28" s="139">
        <v>1014047.534846422</v>
      </c>
      <c r="D28" s="139">
        <v>880225.96069023793</v>
      </c>
      <c r="E28" s="139">
        <v>725445.43110728916</v>
      </c>
      <c r="F28" s="139">
        <v>821004.13200013875</v>
      </c>
      <c r="G28" s="139">
        <v>828554.59782896633</v>
      </c>
      <c r="H28" s="139">
        <v>-13.196774908568642</v>
      </c>
      <c r="I28" s="139">
        <v>-17.584181452680617</v>
      </c>
      <c r="J28" s="139">
        <v>0.91966285236591583</v>
      </c>
      <c r="K28" s="139">
        <v>989680.11755964102</v>
      </c>
      <c r="L28" s="139">
        <v>849207.993756818</v>
      </c>
      <c r="M28" s="139">
        <v>709592.93440483906</v>
      </c>
      <c r="N28" s="139">
        <v>803001.27044951881</v>
      </c>
      <c r="O28" s="139">
        <v>811983.61302779638</v>
      </c>
      <c r="P28" s="139">
        <v>-14.193690179408676</v>
      </c>
      <c r="Q28" s="139">
        <v>-16.44062015949708</v>
      </c>
      <c r="R28" s="139">
        <v>1.1185959892691038</v>
      </c>
      <c r="S28" s="139">
        <v>17812.353930391</v>
      </c>
      <c r="T28" s="139">
        <v>24487.007451229994</v>
      </c>
      <c r="U28" s="139">
        <v>9123.9277209100001</v>
      </c>
      <c r="V28" s="139">
        <v>12531.187617119998</v>
      </c>
      <c r="W28" s="139">
        <v>11289.014503010003</v>
      </c>
      <c r="X28" s="139">
        <v>37.472090993046962</v>
      </c>
      <c r="Y28" s="139">
        <v>-62.739713831945991</v>
      </c>
      <c r="Z28" s="139">
        <v>-9.9127058164468043</v>
      </c>
      <c r="AA28" s="139">
        <v>6555.0633563899992</v>
      </c>
      <c r="AB28" s="139">
        <v>6530.9594821899991</v>
      </c>
      <c r="AC28" s="139">
        <v>6728.568981540001</v>
      </c>
      <c r="AD28" s="139">
        <v>5471.6739335000002</v>
      </c>
      <c r="AE28" s="139">
        <v>5281.9702981599994</v>
      </c>
      <c r="AF28" s="139">
        <v>-0.36765491086275887</v>
      </c>
      <c r="AG28" s="139">
        <v>3.0257420042382694</v>
      </c>
      <c r="AH28" s="139">
        <v>-3.4669488474268335</v>
      </c>
    </row>
    <row r="29" spans="2:34" ht="31.35" x14ac:dyDescent="0.55000000000000004">
      <c r="B29" s="159" t="s">
        <v>266</v>
      </c>
      <c r="C29" s="139">
        <v>337798.99820676382</v>
      </c>
      <c r="D29" s="139">
        <v>348725.43725457025</v>
      </c>
      <c r="E29" s="139">
        <v>387016.09288776363</v>
      </c>
      <c r="F29" s="139">
        <v>417612.15170567279</v>
      </c>
      <c r="G29" s="139">
        <v>423853.98218752298</v>
      </c>
      <c r="H29" s="139">
        <v>3.2345980893963575</v>
      </c>
      <c r="I29" s="139">
        <v>10.980171105383084</v>
      </c>
      <c r="J29" s="139">
        <v>1.4946476054396305</v>
      </c>
      <c r="K29" s="139">
        <v>279105.89313079597</v>
      </c>
      <c r="L29" s="139">
        <v>279339.20723564021</v>
      </c>
      <c r="M29" s="139">
        <v>316089.01557191997</v>
      </c>
      <c r="N29" s="139">
        <v>332053.2668462302</v>
      </c>
      <c r="O29" s="139">
        <v>337933.67361502029</v>
      </c>
      <c r="P29" s="139">
        <v>8.3595512799821955E-2</v>
      </c>
      <c r="Q29" s="139">
        <v>13.155979785294015</v>
      </c>
      <c r="R29" s="139">
        <v>1.7709206718548396</v>
      </c>
      <c r="S29" s="139">
        <v>48704.693310787865</v>
      </c>
      <c r="T29" s="139">
        <v>57642.758493520021</v>
      </c>
      <c r="U29" s="139">
        <v>57999.089163850178</v>
      </c>
      <c r="V29" s="139">
        <v>70682.320246999108</v>
      </c>
      <c r="W29" s="139">
        <v>70932.408751349198</v>
      </c>
      <c r="X29" s="139">
        <v>18.35155916196161</v>
      </c>
      <c r="Y29" s="139">
        <v>0.61816956717546911</v>
      </c>
      <c r="Z29" s="139">
        <v>0.35382256835938108</v>
      </c>
      <c r="AA29" s="139">
        <v>9988.4117651799988</v>
      </c>
      <c r="AB29" s="139">
        <v>11743.471525409999</v>
      </c>
      <c r="AC29" s="139">
        <v>12927.988151993504</v>
      </c>
      <c r="AD29" s="139">
        <v>14876.564612443495</v>
      </c>
      <c r="AE29" s="139">
        <v>14987.899821153496</v>
      </c>
      <c r="AF29" s="139">
        <v>17.570964748143091</v>
      </c>
      <c r="AG29" s="139">
        <v>10.08662686582416</v>
      </c>
      <c r="AH29" s="139">
        <v>0.74842571132036007</v>
      </c>
    </row>
    <row r="30" spans="2:34" x14ac:dyDescent="0.55000000000000004">
      <c r="B30" s="158" t="s">
        <v>267</v>
      </c>
      <c r="C30" s="139">
        <v>228254.8075440001</v>
      </c>
      <c r="D30" s="139">
        <v>249588.31516161002</v>
      </c>
      <c r="E30" s="139">
        <v>268157.56250907987</v>
      </c>
      <c r="F30" s="139">
        <v>275961.89124233014</v>
      </c>
      <c r="G30" s="139">
        <v>271879.49617716012</v>
      </c>
      <c r="H30" s="139">
        <v>9.34635725748781</v>
      </c>
      <c r="I30" s="139">
        <v>7.4399475103642629</v>
      </c>
      <c r="J30" s="139">
        <v>-1.4793310772005561</v>
      </c>
      <c r="K30" s="139">
        <v>199641.17362327009</v>
      </c>
      <c r="L30" s="139">
        <v>217964.19770840002</v>
      </c>
      <c r="M30" s="139">
        <v>224655.82451513992</v>
      </c>
      <c r="N30" s="139">
        <v>230937.27392530011</v>
      </c>
      <c r="O30" s="139">
        <v>226014.4897785701</v>
      </c>
      <c r="P30" s="139">
        <v>9.1779816758236787</v>
      </c>
      <c r="Q30" s="139">
        <v>3.0700546236492023</v>
      </c>
      <c r="R30" s="139">
        <v>-2.131652461293926</v>
      </c>
      <c r="S30" s="139">
        <v>18716.788246459997</v>
      </c>
      <c r="T30" s="139">
        <v>21883.782884160002</v>
      </c>
      <c r="U30" s="139">
        <v>33368.258520099989</v>
      </c>
      <c r="V30" s="139">
        <v>33339.685033600006</v>
      </c>
      <c r="W30" s="139">
        <v>34327.509995820001</v>
      </c>
      <c r="X30" s="139">
        <v>16.920583070067021</v>
      </c>
      <c r="Y30" s="139">
        <v>52.479416261724452</v>
      </c>
      <c r="Z30" s="139">
        <v>2.9628949759280894</v>
      </c>
      <c r="AA30" s="139">
        <v>9896.8456742700018</v>
      </c>
      <c r="AB30" s="139">
        <v>9740.3345690500009</v>
      </c>
      <c r="AC30" s="139">
        <v>10133.479473839998</v>
      </c>
      <c r="AD30" s="139">
        <v>11684.932283429998</v>
      </c>
      <c r="AE30" s="139">
        <v>11537.496402770001</v>
      </c>
      <c r="AF30" s="139">
        <v>-1.5815133097904932</v>
      </c>
      <c r="AG30" s="139">
        <v>4.0363108847441476</v>
      </c>
      <c r="AH30" s="139">
        <v>-1.2617105964691298</v>
      </c>
    </row>
    <row r="31" spans="2:34" x14ac:dyDescent="0.55000000000000004">
      <c r="B31" s="158" t="s">
        <v>268</v>
      </c>
      <c r="C31" s="139">
        <v>80507.785816752497</v>
      </c>
      <c r="D31" s="139">
        <v>76535.276398492526</v>
      </c>
      <c r="E31" s="139">
        <v>90093.215077742498</v>
      </c>
      <c r="F31" s="139">
        <v>140702.11379587249</v>
      </c>
      <c r="G31" s="139">
        <v>144534.51588343253</v>
      </c>
      <c r="H31" s="139">
        <v>-4.9343175362284759</v>
      </c>
      <c r="I31" s="139">
        <v>17.71462781608691</v>
      </c>
      <c r="J31" s="139">
        <v>2.7237757841726777</v>
      </c>
      <c r="K31" s="139">
        <v>64818.975833289995</v>
      </c>
      <c r="L31" s="139">
        <v>58679.046782560014</v>
      </c>
      <c r="M31" s="139">
        <v>70344.728540479991</v>
      </c>
      <c r="N31" s="139">
        <v>116809.46768294</v>
      </c>
      <c r="O31" s="139">
        <v>120612.64085109002</v>
      </c>
      <c r="P31" s="139">
        <v>-9.4724261319755421</v>
      </c>
      <c r="Q31" s="139">
        <v>19.880485454348687</v>
      </c>
      <c r="R31" s="139">
        <v>3.2558747163222281</v>
      </c>
      <c r="S31" s="139">
        <v>11773.365456912503</v>
      </c>
      <c r="T31" s="139">
        <v>14164.947423702501</v>
      </c>
      <c r="U31" s="139">
        <v>15593.885238422497</v>
      </c>
      <c r="V31" s="139">
        <v>19541.042881972498</v>
      </c>
      <c r="W31" s="139">
        <v>19608.557784982499</v>
      </c>
      <c r="X31" s="139">
        <v>20.313470144911779</v>
      </c>
      <c r="Y31" s="139">
        <v>10.087857705110141</v>
      </c>
      <c r="Z31" s="139">
        <v>0.34552920417746669</v>
      </c>
      <c r="AA31" s="139">
        <v>3915.4445265500003</v>
      </c>
      <c r="AB31" s="139">
        <v>3691.2821922299995</v>
      </c>
      <c r="AC31" s="139">
        <v>4154.6012988399989</v>
      </c>
      <c r="AD31" s="139">
        <v>4351.6032309600005</v>
      </c>
      <c r="AE31" s="139">
        <v>4313.3172473599998</v>
      </c>
      <c r="AF31" s="139">
        <v>-5.7250270723085999</v>
      </c>
      <c r="AG31" s="139">
        <v>12.551743568626604</v>
      </c>
      <c r="AH31" s="139">
        <v>-0.8796764408493577</v>
      </c>
    </row>
    <row r="32" spans="2:34" x14ac:dyDescent="0.55000000000000004">
      <c r="B32" s="158" t="s">
        <v>269</v>
      </c>
      <c r="C32" s="139">
        <v>157161.69371171718</v>
      </c>
      <c r="D32" s="139">
        <v>159216.4974312353</v>
      </c>
      <c r="E32" s="139">
        <v>124102.42567403076</v>
      </c>
      <c r="F32" s="139">
        <v>128680.97773420857</v>
      </c>
      <c r="G32" s="139">
        <v>128528.09990036539</v>
      </c>
      <c r="H32" s="139">
        <v>1.3074496717361577</v>
      </c>
      <c r="I32" s="139">
        <v>-22.054290855533196</v>
      </c>
      <c r="J32" s="139">
        <v>-0.11880543651438628</v>
      </c>
      <c r="K32" s="139">
        <v>131340.20126952737</v>
      </c>
      <c r="L32" s="139">
        <v>138262.06439221531</v>
      </c>
      <c r="M32" s="139">
        <v>106859.97302391796</v>
      </c>
      <c r="N32" s="139">
        <v>113079.78728939006</v>
      </c>
      <c r="O32" s="139">
        <v>113003.36826125989</v>
      </c>
      <c r="P32" s="139">
        <v>5.2701762293646466</v>
      </c>
      <c r="Q32" s="139">
        <v>-22.712007907302983</v>
      </c>
      <c r="R32" s="139">
        <v>-6.7580599504118516E-2</v>
      </c>
      <c r="S32" s="139">
        <v>21814.020815849795</v>
      </c>
      <c r="T32" s="139">
        <v>17352.022012619997</v>
      </c>
      <c r="U32" s="139">
        <v>13989.870553662795</v>
      </c>
      <c r="V32" s="139">
        <v>12233.136495398501</v>
      </c>
      <c r="W32" s="139">
        <v>12088.358833415497</v>
      </c>
      <c r="X32" s="139">
        <v>-20.454735074048706</v>
      </c>
      <c r="Y32" s="139">
        <v>-19.376130271864596</v>
      </c>
      <c r="Z32" s="139">
        <v>-1.1835064423361366</v>
      </c>
      <c r="AA32" s="139">
        <v>4007.4716263400001</v>
      </c>
      <c r="AB32" s="139">
        <v>3602.4110264000005</v>
      </c>
      <c r="AC32" s="139">
        <v>3252.582096449999</v>
      </c>
      <c r="AD32" s="139">
        <v>3368.0539494200007</v>
      </c>
      <c r="AE32" s="139">
        <v>3436.3728056900009</v>
      </c>
      <c r="AF32" s="139">
        <v>-10.107624012157295</v>
      </c>
      <c r="AG32" s="139">
        <v>-9.7109990256522707</v>
      </c>
      <c r="AH32" s="139">
        <v>2.0284734490283607</v>
      </c>
    </row>
    <row r="33" spans="2:34" x14ac:dyDescent="0.55000000000000004">
      <c r="B33" s="158" t="s">
        <v>270</v>
      </c>
      <c r="C33" s="139">
        <v>335623.24934624392</v>
      </c>
      <c r="D33" s="139">
        <v>308356.45926924504</v>
      </c>
      <c r="E33" s="139">
        <v>312186.14142747247</v>
      </c>
      <c r="F33" s="139">
        <v>296259.72634564736</v>
      </c>
      <c r="G33" s="139">
        <v>278941.11599139834</v>
      </c>
      <c r="H33" s="139">
        <v>-8.1242256011763132</v>
      </c>
      <c r="I33" s="139">
        <v>1.24196522427323</v>
      </c>
      <c r="J33" s="139">
        <v>-5.8457523065993433</v>
      </c>
      <c r="K33" s="139">
        <v>279645.59001081419</v>
      </c>
      <c r="L33" s="139">
        <v>262365.24168062495</v>
      </c>
      <c r="M33" s="139">
        <v>267360.18391587015</v>
      </c>
      <c r="N33" s="139">
        <v>256784.16655217111</v>
      </c>
      <c r="O33" s="139">
        <v>242593.078674847</v>
      </c>
      <c r="P33" s="139">
        <v>-6.1793751154810037</v>
      </c>
      <c r="Q33" s="139">
        <v>1.9038116482198641</v>
      </c>
      <c r="R33" s="139">
        <v>-5.5264660590253776</v>
      </c>
      <c r="S33" s="139">
        <v>49166.628415829742</v>
      </c>
      <c r="T33" s="139">
        <v>40153.330329230092</v>
      </c>
      <c r="U33" s="139">
        <v>38067.789833132309</v>
      </c>
      <c r="V33" s="139">
        <v>33923.618633886275</v>
      </c>
      <c r="W33" s="139">
        <v>32108.234384891311</v>
      </c>
      <c r="X33" s="139">
        <v>-18.33214926465368</v>
      </c>
      <c r="Y33" s="139">
        <v>-5.1939403282367884</v>
      </c>
      <c r="Z33" s="139">
        <v>-5.3514041249135635</v>
      </c>
      <c r="AA33" s="139">
        <v>6811.0309196000026</v>
      </c>
      <c r="AB33" s="139">
        <v>5837.8872593899996</v>
      </c>
      <c r="AC33" s="139">
        <v>6758.1676784700003</v>
      </c>
      <c r="AD33" s="139">
        <v>5551.941159590001</v>
      </c>
      <c r="AE33" s="139">
        <v>4239.8029316600005</v>
      </c>
      <c r="AF33" s="139">
        <v>-14.287706851973923</v>
      </c>
      <c r="AG33" s="139">
        <v>15.763914702058443</v>
      </c>
      <c r="AH33" s="139">
        <v>-23.633900942733522</v>
      </c>
    </row>
    <row r="34" spans="2:34" x14ac:dyDescent="0.55000000000000004">
      <c r="B34" s="158" t="s">
        <v>271</v>
      </c>
      <c r="C34" s="139">
        <v>3129.7796000700032</v>
      </c>
      <c r="D34" s="139">
        <v>4270.8292317900004</v>
      </c>
      <c r="E34" s="139">
        <v>7814.9966681196984</v>
      </c>
      <c r="F34" s="139">
        <v>12372.205145369699</v>
      </c>
      <c r="G34" s="139">
        <v>12246.077256785698</v>
      </c>
      <c r="H34" s="139">
        <v>36.457834096965271</v>
      </c>
      <c r="I34" s="139">
        <v>82.985508671616529</v>
      </c>
      <c r="J34" s="139">
        <v>-1.0194621656114728</v>
      </c>
      <c r="K34" s="139">
        <v>3129.7796000700032</v>
      </c>
      <c r="L34" s="139">
        <v>4270.8292317900004</v>
      </c>
      <c r="M34" s="139">
        <v>7814.9966681196984</v>
      </c>
      <c r="N34" s="139">
        <v>12372.205145369699</v>
      </c>
      <c r="O34" s="139">
        <v>12246.077256785698</v>
      </c>
      <c r="P34" s="139">
        <v>36.457834096965271</v>
      </c>
      <c r="Q34" s="139">
        <v>82.985508671616529</v>
      </c>
      <c r="R34" s="139">
        <v>-1.0194621656114728</v>
      </c>
      <c r="S34" s="139">
        <v>0</v>
      </c>
      <c r="T34" s="139">
        <v>0</v>
      </c>
      <c r="U34" s="139">
        <v>0</v>
      </c>
      <c r="V34" s="139">
        <v>0</v>
      </c>
      <c r="W34" s="139">
        <v>0</v>
      </c>
      <c r="X34" s="139">
        <v>0</v>
      </c>
      <c r="Y34" s="139">
        <v>0</v>
      </c>
      <c r="Z34" s="139">
        <v>0</v>
      </c>
      <c r="AA34" s="139">
        <v>0</v>
      </c>
      <c r="AB34" s="139">
        <v>0</v>
      </c>
      <c r="AC34" s="139">
        <v>0</v>
      </c>
      <c r="AD34" s="139">
        <v>0</v>
      </c>
      <c r="AE34" s="139">
        <v>0</v>
      </c>
      <c r="AF34" s="139">
        <v>0</v>
      </c>
      <c r="AG34" s="139">
        <v>0</v>
      </c>
      <c r="AH34" s="139">
        <v>0</v>
      </c>
    </row>
    <row r="35" spans="2:34" x14ac:dyDescent="0.55000000000000004">
      <c r="B35" s="158" t="s">
        <v>272</v>
      </c>
      <c r="C35" s="139">
        <v>558469.81504557014</v>
      </c>
      <c r="D35" s="139">
        <v>452502.34980369237</v>
      </c>
      <c r="E35" s="139">
        <v>465365.34153116221</v>
      </c>
      <c r="F35" s="139">
        <v>544373.64745573956</v>
      </c>
      <c r="G35" s="139">
        <v>533770.78943091119</v>
      </c>
      <c r="H35" s="139">
        <v>-18.974609944007355</v>
      </c>
      <c r="I35" s="139">
        <v>2.8426349609013188</v>
      </c>
      <c r="J35" s="139">
        <v>-1.9477173445114373</v>
      </c>
      <c r="K35" s="139">
        <v>481430.29208667181</v>
      </c>
      <c r="L35" s="139">
        <v>385118.93464124814</v>
      </c>
      <c r="M35" s="139">
        <v>398673.49185679841</v>
      </c>
      <c r="N35" s="139">
        <v>484898.9836120251</v>
      </c>
      <c r="O35" s="139">
        <v>474942.30425870669</v>
      </c>
      <c r="P35" s="139">
        <v>-20.005255589547552</v>
      </c>
      <c r="Q35" s="139">
        <v>3.5195777055155397</v>
      </c>
      <c r="R35" s="139">
        <v>-2.0533514011516365</v>
      </c>
      <c r="S35" s="139">
        <v>56310.006932998353</v>
      </c>
      <c r="T35" s="139">
        <v>49491.409610071736</v>
      </c>
      <c r="U35" s="139">
        <v>49653.815946256793</v>
      </c>
      <c r="V35" s="139">
        <v>43844.243312444501</v>
      </c>
      <c r="W35" s="139">
        <v>43242.722197214513</v>
      </c>
      <c r="X35" s="139">
        <v>-12.109037096601472</v>
      </c>
      <c r="Y35" s="139">
        <v>0.32815795710810464</v>
      </c>
      <c r="Z35" s="139">
        <v>-1.371947603607673</v>
      </c>
      <c r="AA35" s="139">
        <v>20729.516025900011</v>
      </c>
      <c r="AB35" s="139">
        <v>17892.005552372499</v>
      </c>
      <c r="AC35" s="139">
        <v>17038.033728107002</v>
      </c>
      <c r="AD35" s="139">
        <v>15630.420531270001</v>
      </c>
      <c r="AE35" s="139">
        <v>15585.762974990001</v>
      </c>
      <c r="AF35" s="139">
        <v>-13.688257132823153</v>
      </c>
      <c r="AG35" s="139">
        <v>-4.7729684926400084</v>
      </c>
      <c r="AH35" s="139">
        <v>-0.28572488775093602</v>
      </c>
    </row>
    <row r="36" spans="2:34" x14ac:dyDescent="0.55000000000000004">
      <c r="B36" s="152" t="s">
        <v>94</v>
      </c>
      <c r="C36" s="146">
        <v>4709039.2624172997</v>
      </c>
      <c r="D36" s="146">
        <v>4879850.6416140813</v>
      </c>
      <c r="E36" s="146">
        <v>5167173.0491672996</v>
      </c>
      <c r="F36" s="146">
        <v>5591604.3716988247</v>
      </c>
      <c r="G36" s="146">
        <v>5574136.7825399078</v>
      </c>
      <c r="H36" s="146">
        <v>3.6273084714099388</v>
      </c>
      <c r="I36" s="146">
        <v>5.8879345126841871</v>
      </c>
      <c r="J36" s="146">
        <v>-0.31238959061046462</v>
      </c>
      <c r="K36" s="146">
        <v>4175443.27772504</v>
      </c>
      <c r="L36" s="146">
        <v>4315376.9670644943</v>
      </c>
      <c r="M36" s="146">
        <v>4569076.1366614532</v>
      </c>
      <c r="N36" s="146">
        <v>4963145.9006708777</v>
      </c>
      <c r="O36" s="146">
        <v>4952719.8423230294</v>
      </c>
      <c r="P36" s="146">
        <v>3.3513493206881724</v>
      </c>
      <c r="Q36" s="146">
        <v>5.8789573138960316</v>
      </c>
      <c r="R36" s="146">
        <v>-0.21006958509925169</v>
      </c>
      <c r="S36" s="146">
        <v>441782.89779253927</v>
      </c>
      <c r="T36" s="146">
        <v>471382.21286492376</v>
      </c>
      <c r="U36" s="146">
        <v>498615.08979540662</v>
      </c>
      <c r="V36" s="146">
        <v>524199.2846500873</v>
      </c>
      <c r="W36" s="146">
        <v>518518.8217232342</v>
      </c>
      <c r="X36" s="146">
        <v>6.6999673368978288</v>
      </c>
      <c r="Y36" s="146">
        <v>5.7772396629053953</v>
      </c>
      <c r="Z36" s="146">
        <v>-1.0836451358727583</v>
      </c>
      <c r="AA36" s="146">
        <v>91813.086899720016</v>
      </c>
      <c r="AB36" s="146">
        <v>93091.461684662514</v>
      </c>
      <c r="AC36" s="146">
        <v>99481.822710439708</v>
      </c>
      <c r="AD36" s="146">
        <v>104259.18637785969</v>
      </c>
      <c r="AE36" s="146">
        <v>102898.1184936447</v>
      </c>
      <c r="AF36" s="146">
        <v>1.3923613724361199</v>
      </c>
      <c r="AG36" s="146">
        <v>6.8646039067385987</v>
      </c>
      <c r="AH36" s="146">
        <v>-1.3054676523000102</v>
      </c>
    </row>
    <row r="37" spans="2:34" x14ac:dyDescent="0.55000000000000004">
      <c r="B37" s="152" t="s">
        <v>273</v>
      </c>
      <c r="C37" s="139"/>
      <c r="D37" s="139"/>
      <c r="E37" s="139"/>
      <c r="F37" s="139"/>
      <c r="G37" s="139"/>
      <c r="H37" s="157"/>
      <c r="I37" s="157"/>
      <c r="J37" s="157"/>
      <c r="K37" s="139"/>
      <c r="L37" s="139"/>
      <c r="M37" s="139"/>
      <c r="N37" s="139"/>
      <c r="O37" s="139"/>
      <c r="P37" s="157"/>
      <c r="Q37" s="157"/>
      <c r="R37" s="157"/>
      <c r="S37" s="139"/>
      <c r="T37" s="139"/>
      <c r="U37" s="139"/>
      <c r="V37" s="139"/>
      <c r="W37" s="139"/>
      <c r="X37" s="157"/>
      <c r="Y37" s="157"/>
      <c r="Z37" s="157"/>
      <c r="AA37" s="139"/>
      <c r="AB37" s="139"/>
      <c r="AC37" s="139"/>
      <c r="AD37" s="139"/>
      <c r="AE37" s="139"/>
      <c r="AF37" s="157"/>
      <c r="AG37" s="157"/>
      <c r="AH37" s="157"/>
    </row>
    <row r="38" spans="2:34" x14ac:dyDescent="0.55000000000000004">
      <c r="B38" s="160" t="s">
        <v>274</v>
      </c>
      <c r="C38" s="139">
        <v>52781.583237370221</v>
      </c>
      <c r="D38" s="139">
        <v>55533.440004519995</v>
      </c>
      <c r="E38" s="139">
        <v>58488.944414305006</v>
      </c>
      <c r="F38" s="139">
        <v>83287.016260375007</v>
      </c>
      <c r="G38" s="139">
        <v>84049.740125394965</v>
      </c>
      <c r="H38" s="139">
        <v>5.2136749221982379</v>
      </c>
      <c r="I38" s="139">
        <v>5.3220185891599723</v>
      </c>
      <c r="J38" s="139">
        <v>0.91577294997467928</v>
      </c>
      <c r="K38" s="139">
        <v>47816.362044059992</v>
      </c>
      <c r="L38" s="139">
        <v>50575.245537809991</v>
      </c>
      <c r="M38" s="139">
        <v>53422.518163805005</v>
      </c>
      <c r="N38" s="139">
        <v>76977.147335704998</v>
      </c>
      <c r="O38" s="139">
        <v>77752.86315432495</v>
      </c>
      <c r="P38" s="139">
        <v>5.7697616464323076</v>
      </c>
      <c r="Q38" s="139">
        <v>5.6297695018808538</v>
      </c>
      <c r="R38" s="139">
        <v>1.0077146270029567</v>
      </c>
      <c r="S38" s="139">
        <v>3982.2112740502298</v>
      </c>
      <c r="T38" s="139">
        <v>3931.1606428299997</v>
      </c>
      <c r="U38" s="139">
        <v>3935.8586591800004</v>
      </c>
      <c r="V38" s="139">
        <v>5493.3856001100012</v>
      </c>
      <c r="W38" s="139">
        <v>5506.3498485300015</v>
      </c>
      <c r="X38" s="139">
        <v>-1.2819514792037632</v>
      </c>
      <c r="Y38" s="139">
        <v>0.11955758605603112</v>
      </c>
      <c r="Z38" s="139">
        <v>0.23591989645737943</v>
      </c>
      <c r="AA38" s="139">
        <v>983.00991925999995</v>
      </c>
      <c r="AB38" s="139">
        <v>1027.0338238800002</v>
      </c>
      <c r="AC38" s="139">
        <v>1130.56759132</v>
      </c>
      <c r="AD38" s="139">
        <v>816.48332456000003</v>
      </c>
      <c r="AE38" s="139">
        <v>790.52712253999994</v>
      </c>
      <c r="AF38" s="139">
        <v>4.4780826237779863</v>
      </c>
      <c r="AG38" s="139">
        <v>10.081497132508296</v>
      </c>
      <c r="AH38" s="139">
        <v>-3.1782774838330448</v>
      </c>
    </row>
    <row r="39" spans="2:34" x14ac:dyDescent="0.55000000000000004">
      <c r="B39" s="160" t="s">
        <v>275</v>
      </c>
      <c r="C39" s="139">
        <v>782.8880877900001</v>
      </c>
      <c r="D39" s="139">
        <v>3238.7872900499997</v>
      </c>
      <c r="E39" s="139">
        <v>3160.1267662500004</v>
      </c>
      <c r="F39" s="139">
        <v>4605.503625450001</v>
      </c>
      <c r="G39" s="139">
        <v>4599.0889598800004</v>
      </c>
      <c r="H39" s="139">
        <v>313.69668791273358</v>
      </c>
      <c r="I39" s="139">
        <v>-2.4286847866023997</v>
      </c>
      <c r="J39" s="139">
        <v>-0.13918141352730115</v>
      </c>
      <c r="K39" s="139">
        <v>721.87155793000011</v>
      </c>
      <c r="L39" s="139">
        <v>3199.5347374799999</v>
      </c>
      <c r="M39" s="139">
        <v>3160.0383088800004</v>
      </c>
      <c r="N39" s="139">
        <v>4605.503625450001</v>
      </c>
      <c r="O39" s="139">
        <v>4599.0889598800004</v>
      </c>
      <c r="P39" s="139">
        <v>343.22800504245919</v>
      </c>
      <c r="Q39" s="139">
        <v>-1.2342437795551295</v>
      </c>
      <c r="R39" s="139">
        <v>-0.13918141352730115</v>
      </c>
      <c r="S39" s="139">
        <v>6.3278548299999997</v>
      </c>
      <c r="T39" s="139">
        <v>7.2098454199999988</v>
      </c>
      <c r="U39" s="139">
        <v>0</v>
      </c>
      <c r="V39" s="139">
        <v>0</v>
      </c>
      <c r="W39" s="139">
        <v>0</v>
      </c>
      <c r="X39" s="139">
        <v>13.902053712480251</v>
      </c>
      <c r="Y39" s="139">
        <v>-100</v>
      </c>
      <c r="Z39" s="139">
        <v>0</v>
      </c>
      <c r="AA39" s="139">
        <v>54.688675030000013</v>
      </c>
      <c r="AB39" s="139">
        <v>32.042707150000012</v>
      </c>
      <c r="AC39" s="139">
        <v>8.8457370000007807E-2</v>
      </c>
      <c r="AD39" s="139">
        <v>0</v>
      </c>
      <c r="AE39" s="139">
        <v>0</v>
      </c>
      <c r="AF39" s="139">
        <v>-41.415249588590235</v>
      </c>
      <c r="AG39" s="139">
        <v>-99.719101123595507</v>
      </c>
      <c r="AH39" s="139">
        <v>0</v>
      </c>
    </row>
    <row r="40" spans="2:34" x14ac:dyDescent="0.55000000000000004">
      <c r="B40" s="160" t="s">
        <v>276</v>
      </c>
      <c r="C40" s="139">
        <v>61272.499408472722</v>
      </c>
      <c r="D40" s="139">
        <v>58565.889473192496</v>
      </c>
      <c r="E40" s="139">
        <v>81670.692140752508</v>
      </c>
      <c r="F40" s="139">
        <v>131074.31157062249</v>
      </c>
      <c r="G40" s="139">
        <v>137839.5853519025</v>
      </c>
      <c r="H40" s="139">
        <v>-4.4173324085029995</v>
      </c>
      <c r="I40" s="139">
        <v>39.450950032518939</v>
      </c>
      <c r="J40" s="139">
        <v>5.1614080592909461</v>
      </c>
      <c r="K40" s="139">
        <v>47841.373317569996</v>
      </c>
      <c r="L40" s="139">
        <v>43197.956881819999</v>
      </c>
      <c r="M40" s="139">
        <v>64671.269398329998</v>
      </c>
      <c r="N40" s="139">
        <v>108380.25678515001</v>
      </c>
      <c r="O40" s="139">
        <v>115110.32871699</v>
      </c>
      <c r="P40" s="139">
        <v>-9.7058466344086778</v>
      </c>
      <c r="Q40" s="139">
        <v>49.709083484497881</v>
      </c>
      <c r="R40" s="139">
        <v>6.2096824643159252</v>
      </c>
      <c r="S40" s="139">
        <v>10741.136454082729</v>
      </c>
      <c r="T40" s="139">
        <v>12465.480363042498</v>
      </c>
      <c r="U40" s="139">
        <v>13748.777470462501</v>
      </c>
      <c r="V40" s="139">
        <v>19449.624857172501</v>
      </c>
      <c r="W40" s="139">
        <v>19502.656240452499</v>
      </c>
      <c r="X40" s="139">
        <v>16.053603248817165</v>
      </c>
      <c r="Y40" s="139">
        <v>10.294830203088861</v>
      </c>
      <c r="Z40" s="139">
        <v>0.27270455669571375</v>
      </c>
      <c r="AA40" s="139">
        <v>2689.9896368200002</v>
      </c>
      <c r="AB40" s="139">
        <v>2902.4522283300003</v>
      </c>
      <c r="AC40" s="139">
        <v>3250.6452719599997</v>
      </c>
      <c r="AD40" s="139">
        <v>3244.4299283</v>
      </c>
      <c r="AE40" s="139">
        <v>3226.6003944599997</v>
      </c>
      <c r="AF40" s="139">
        <v>7.8981706251696124</v>
      </c>
      <c r="AG40" s="139">
        <v>11.996761356784797</v>
      </c>
      <c r="AH40" s="139">
        <v>-0.54955724117949623</v>
      </c>
    </row>
    <row r="41" spans="2:34" x14ac:dyDescent="0.55000000000000004">
      <c r="B41" s="160" t="s">
        <v>277</v>
      </c>
      <c r="C41" s="139">
        <v>64220.989442060229</v>
      </c>
      <c r="D41" s="139">
        <v>58120.304475910001</v>
      </c>
      <c r="E41" s="139">
        <v>41599.250939390004</v>
      </c>
      <c r="F41" s="139">
        <v>40045.406406219976</v>
      </c>
      <c r="G41" s="139">
        <v>36834.195342249994</v>
      </c>
      <c r="H41" s="139">
        <v>-9.4995265566600509</v>
      </c>
      <c r="I41" s="139">
        <v>-28.425610328921223</v>
      </c>
      <c r="J41" s="139">
        <v>-8.018921519345179</v>
      </c>
      <c r="K41" s="139">
        <v>49274.924127760001</v>
      </c>
      <c r="L41" s="139">
        <v>47971.7655381</v>
      </c>
      <c r="M41" s="139">
        <v>33532.001997150008</v>
      </c>
      <c r="N41" s="139">
        <v>33784.243247239981</v>
      </c>
      <c r="O41" s="139">
        <v>31160.580094659996</v>
      </c>
      <c r="P41" s="139">
        <v>-2.6446516808145026</v>
      </c>
      <c r="Q41" s="139">
        <v>-30.100557056785686</v>
      </c>
      <c r="R41" s="139">
        <v>-7.7659287288984347</v>
      </c>
      <c r="S41" s="139">
        <v>12218.960003190232</v>
      </c>
      <c r="T41" s="139">
        <v>8313.9171854199994</v>
      </c>
      <c r="U41" s="139">
        <v>6701.5490807699989</v>
      </c>
      <c r="V41" s="139">
        <v>4900.5777150899985</v>
      </c>
      <c r="W41" s="139">
        <v>4430.2740092499989</v>
      </c>
      <c r="X41" s="139">
        <v>-31.958857382297669</v>
      </c>
      <c r="Y41" s="139">
        <v>-19.393619375697625</v>
      </c>
      <c r="Z41" s="139">
        <v>-9.5970272906472189</v>
      </c>
      <c r="AA41" s="139">
        <v>2727.1053111099995</v>
      </c>
      <c r="AB41" s="139">
        <v>1834.62175239</v>
      </c>
      <c r="AC41" s="139">
        <v>1365.6998614700001</v>
      </c>
      <c r="AD41" s="139">
        <v>1360.5854438900001</v>
      </c>
      <c r="AE41" s="139">
        <v>1243.34123834</v>
      </c>
      <c r="AF41" s="139">
        <v>-32.726586019632514</v>
      </c>
      <c r="AG41" s="139">
        <v>-25.559516412118036</v>
      </c>
      <c r="AH41" s="139">
        <v>-8.6175850182641351</v>
      </c>
    </row>
    <row r="42" spans="2:34" x14ac:dyDescent="0.55000000000000004">
      <c r="B42" s="161" t="s">
        <v>278</v>
      </c>
      <c r="C42" s="139">
        <v>64006.013048030225</v>
      </c>
      <c r="D42" s="139">
        <v>57886.829318909993</v>
      </c>
      <c r="E42" s="139">
        <v>41347.595222979995</v>
      </c>
      <c r="F42" s="139">
        <v>33778.652618289983</v>
      </c>
      <c r="G42" s="139">
        <v>30574.259232869998</v>
      </c>
      <c r="H42" s="139">
        <v>-9.5603209761083363</v>
      </c>
      <c r="I42" s="139">
        <v>-28.57166301903214</v>
      </c>
      <c r="J42" s="139">
        <v>-9.4864359588083094</v>
      </c>
      <c r="K42" s="139">
        <v>49059.947733729998</v>
      </c>
      <c r="L42" s="139">
        <v>47738.2903811</v>
      </c>
      <c r="M42" s="139">
        <v>33282.771767879996</v>
      </c>
      <c r="N42" s="139">
        <v>27522.703959309987</v>
      </c>
      <c r="O42" s="139">
        <v>24900.673485279996</v>
      </c>
      <c r="P42" s="139">
        <v>-2.6939693171313794</v>
      </c>
      <c r="Q42" s="139">
        <v>-30.280766236075912</v>
      </c>
      <c r="R42" s="139">
        <v>-9.5267906128395907</v>
      </c>
      <c r="S42" s="139">
        <v>12218.960003190232</v>
      </c>
      <c r="T42" s="139">
        <v>8313.9171854199994</v>
      </c>
      <c r="U42" s="139">
        <v>6699.663593629999</v>
      </c>
      <c r="V42" s="139">
        <v>4896.0777150899985</v>
      </c>
      <c r="W42" s="139">
        <v>4430.2740092499989</v>
      </c>
      <c r="X42" s="139">
        <v>-31.958857382297669</v>
      </c>
      <c r="Y42" s="139">
        <v>-19.416352334398219</v>
      </c>
      <c r="Z42" s="139">
        <v>-9.5139376807568397</v>
      </c>
      <c r="AA42" s="139">
        <v>2727.1053111099995</v>
      </c>
      <c r="AB42" s="139">
        <v>1834.62175239</v>
      </c>
      <c r="AC42" s="139">
        <v>1365.1598614699999</v>
      </c>
      <c r="AD42" s="139">
        <v>1359.87094389</v>
      </c>
      <c r="AE42" s="139">
        <v>1243.3117383400004</v>
      </c>
      <c r="AF42" s="139">
        <v>-32.726586019632514</v>
      </c>
      <c r="AG42" s="139">
        <v>-25.588950300334663</v>
      </c>
      <c r="AH42" s="139">
        <v>-8.5714075610168585</v>
      </c>
    </row>
    <row r="43" spans="2:34" x14ac:dyDescent="0.55000000000000004">
      <c r="B43" s="161" t="s">
        <v>279</v>
      </c>
      <c r="C43" s="139">
        <v>214.97639403000005</v>
      </c>
      <c r="D43" s="139">
        <v>233.47515700000002</v>
      </c>
      <c r="E43" s="139">
        <v>251.65571641</v>
      </c>
      <c r="F43" s="139">
        <v>6266.7537879299998</v>
      </c>
      <c r="G43" s="139">
        <v>6259.9361093799989</v>
      </c>
      <c r="H43" s="139">
        <v>8.6054516699227843</v>
      </c>
      <c r="I43" s="139">
        <v>7.786534178516364</v>
      </c>
      <c r="J43" s="139">
        <v>-0.10866876770256353</v>
      </c>
      <c r="K43" s="139">
        <v>214.97639403000005</v>
      </c>
      <c r="L43" s="139">
        <v>233.47515700000002</v>
      </c>
      <c r="M43" s="139">
        <v>249.23022927</v>
      </c>
      <c r="N43" s="139">
        <v>6261.5392879299998</v>
      </c>
      <c r="O43" s="139">
        <v>6259.9066093799993</v>
      </c>
      <c r="P43" s="139">
        <v>8.6054516699227843</v>
      </c>
      <c r="Q43" s="139">
        <v>6.74575980812061</v>
      </c>
      <c r="R43" s="139">
        <v>-2.6031934635890038E-2</v>
      </c>
      <c r="S43" s="139">
        <v>0</v>
      </c>
      <c r="T43" s="139">
        <v>0</v>
      </c>
      <c r="U43" s="139">
        <v>1.88548714</v>
      </c>
      <c r="V43" s="139">
        <v>4.5</v>
      </c>
      <c r="W43" s="139">
        <v>0</v>
      </c>
      <c r="X43" s="139">
        <v>0</v>
      </c>
      <c r="Y43" s="139">
        <v>0</v>
      </c>
      <c r="Z43" s="139">
        <v>-100</v>
      </c>
      <c r="AA43" s="139">
        <v>0</v>
      </c>
      <c r="AB43" s="139">
        <v>0</v>
      </c>
      <c r="AC43" s="139">
        <v>0.54</v>
      </c>
      <c r="AD43" s="139">
        <v>0.71450000000000002</v>
      </c>
      <c r="AE43" s="139">
        <v>2.9499999999999998E-2</v>
      </c>
      <c r="AF43" s="139">
        <v>0</v>
      </c>
      <c r="AG43" s="139">
        <v>0</v>
      </c>
      <c r="AH43" s="139">
        <v>-95.774647887323951</v>
      </c>
    </row>
    <row r="44" spans="2:34" x14ac:dyDescent="0.55000000000000004">
      <c r="B44" s="160" t="s">
        <v>280</v>
      </c>
      <c r="C44" s="139">
        <v>4116123.2301201504</v>
      </c>
      <c r="D44" s="139">
        <v>4314695.9307617033</v>
      </c>
      <c r="E44" s="139">
        <v>4622544.1697090538</v>
      </c>
      <c r="F44" s="139">
        <v>4941355.0829785429</v>
      </c>
      <c r="G44" s="139">
        <v>4933489.7605467048</v>
      </c>
      <c r="H44" s="139">
        <v>4.8242651860546877</v>
      </c>
      <c r="I44" s="139">
        <v>7.1348768254916228</v>
      </c>
      <c r="J44" s="139">
        <v>-0.15917334157658425</v>
      </c>
      <c r="K44" s="139">
        <v>3673791.7779001906</v>
      </c>
      <c r="L44" s="139">
        <v>3833402.443903435</v>
      </c>
      <c r="M44" s="139">
        <v>4111195.9350328338</v>
      </c>
      <c r="N44" s="139">
        <v>4396202.2712115804</v>
      </c>
      <c r="O44" s="139">
        <v>4389193.9106812356</v>
      </c>
      <c r="P44" s="139">
        <v>4.3445755654665916</v>
      </c>
      <c r="Q44" s="139">
        <v>7.2466563150619789</v>
      </c>
      <c r="R44" s="139">
        <v>-0.1594185064646583</v>
      </c>
      <c r="S44" s="139">
        <v>367502.71175639977</v>
      </c>
      <c r="T44" s="139">
        <v>403349.55194547848</v>
      </c>
      <c r="U44" s="139">
        <v>430261.26979947044</v>
      </c>
      <c r="V44" s="139">
        <v>456190.13737688283</v>
      </c>
      <c r="W44" s="139">
        <v>455044.92253936897</v>
      </c>
      <c r="X44" s="139">
        <v>9.7541702481595216</v>
      </c>
      <c r="Y44" s="139">
        <v>6.6720590118422169</v>
      </c>
      <c r="Z44" s="139">
        <v>-0.25104005974351623</v>
      </c>
      <c r="AA44" s="139">
        <v>74828.740463559996</v>
      </c>
      <c r="AB44" s="139">
        <v>77943.934912790006</v>
      </c>
      <c r="AC44" s="139">
        <v>81086.964876749713</v>
      </c>
      <c r="AD44" s="139">
        <v>88962.674390079745</v>
      </c>
      <c r="AE44" s="139">
        <v>89250.927326099685</v>
      </c>
      <c r="AF44" s="139">
        <v>4.1630929506496939</v>
      </c>
      <c r="AG44" s="139">
        <v>4.0324243337486498</v>
      </c>
      <c r="AH44" s="139">
        <v>0.32402354830401869</v>
      </c>
    </row>
    <row r="45" spans="2:34" x14ac:dyDescent="0.55000000000000004">
      <c r="B45" s="161" t="s">
        <v>281</v>
      </c>
      <c r="C45" s="139">
        <v>3538076.3534911536</v>
      </c>
      <c r="D45" s="139">
        <v>3749324.1593922433</v>
      </c>
      <c r="E45" s="139">
        <v>3938300.117758818</v>
      </c>
      <c r="F45" s="139">
        <v>4132040.8214887241</v>
      </c>
      <c r="G45" s="139">
        <v>4106478.1506035551</v>
      </c>
      <c r="H45" s="139">
        <v>5.9706967601193819</v>
      </c>
      <c r="I45" s="139">
        <v>5.040267310469094</v>
      </c>
      <c r="J45" s="139">
        <v>-0.61864514687925876</v>
      </c>
      <c r="K45" s="139">
        <v>3095794.3986509037</v>
      </c>
      <c r="L45" s="139">
        <v>3268069.5593557549</v>
      </c>
      <c r="M45" s="139">
        <v>3427109.8618569276</v>
      </c>
      <c r="N45" s="139">
        <v>3587101.8167419215</v>
      </c>
      <c r="O45" s="139">
        <v>3562401.6598516861</v>
      </c>
      <c r="P45" s="139">
        <v>5.5648127020321558</v>
      </c>
      <c r="Q45" s="139">
        <v>4.8664906630689897</v>
      </c>
      <c r="R45" s="139">
        <v>-0.68858262852431895</v>
      </c>
      <c r="S45" s="139">
        <v>367493.27842199977</v>
      </c>
      <c r="T45" s="139">
        <v>403342.72208369843</v>
      </c>
      <c r="U45" s="139">
        <v>430126.95854514046</v>
      </c>
      <c r="V45" s="139">
        <v>456084.98484441277</v>
      </c>
      <c r="W45" s="139">
        <v>454933.52840288897</v>
      </c>
      <c r="X45" s="139">
        <v>9.7551280393480777</v>
      </c>
      <c r="Y45" s="139">
        <v>6.6405661170728578</v>
      </c>
      <c r="Z45" s="139">
        <v>-0.2524639158255011</v>
      </c>
      <c r="AA45" s="139">
        <v>74788.676418250005</v>
      </c>
      <c r="AB45" s="139">
        <v>77911.877952790019</v>
      </c>
      <c r="AC45" s="139">
        <v>81063.29735674971</v>
      </c>
      <c r="AD45" s="139">
        <v>88854.019902389729</v>
      </c>
      <c r="AE45" s="139">
        <v>89142.96234897968</v>
      </c>
      <c r="AF45" s="139">
        <v>4.1760330574092386</v>
      </c>
      <c r="AG45" s="139">
        <v>4.0448516965576982</v>
      </c>
      <c r="AH45" s="139">
        <v>0.32518506197018698</v>
      </c>
    </row>
    <row r="46" spans="2:34" x14ac:dyDescent="0.55000000000000004">
      <c r="B46" s="161" t="s">
        <v>282</v>
      </c>
      <c r="C46" s="139">
        <v>578046.87662899622</v>
      </c>
      <c r="D46" s="139">
        <v>565371.77136945981</v>
      </c>
      <c r="E46" s="139">
        <v>684244.05195023585</v>
      </c>
      <c r="F46" s="139">
        <v>809314.26148981904</v>
      </c>
      <c r="G46" s="139">
        <v>827011.60994315019</v>
      </c>
      <c r="H46" s="139">
        <v>-2.1927477577597143</v>
      </c>
      <c r="I46" s="139">
        <v>21.025506809439747</v>
      </c>
      <c r="J46" s="139">
        <v>2.1867092765670502</v>
      </c>
      <c r="K46" s="139">
        <v>577997.37924928626</v>
      </c>
      <c r="L46" s="139">
        <v>565332.8845476798</v>
      </c>
      <c r="M46" s="139">
        <v>684086.07317590585</v>
      </c>
      <c r="N46" s="139">
        <v>809100.45446965913</v>
      </c>
      <c r="O46" s="139">
        <v>826792.25082955009</v>
      </c>
      <c r="P46" s="139">
        <v>-2.1910998973732374</v>
      </c>
      <c r="Q46" s="139">
        <v>21.005887716985423</v>
      </c>
      <c r="R46" s="139">
        <v>2.1866011815961848</v>
      </c>
      <c r="S46" s="139">
        <v>9.4333343999999997</v>
      </c>
      <c r="T46" s="139">
        <v>6.8298617800000008</v>
      </c>
      <c r="U46" s="139">
        <v>134.31125433</v>
      </c>
      <c r="V46" s="139">
        <v>105.15253247000001</v>
      </c>
      <c r="W46" s="139">
        <v>111.39413648000001</v>
      </c>
      <c r="X46" s="139">
        <v>-27.571580063626719</v>
      </c>
      <c r="Y46" s="139">
        <v>1866.471449487555</v>
      </c>
      <c r="Z46" s="139">
        <v>5.9343794579172569</v>
      </c>
      <c r="AA46" s="139">
        <v>40.064045310000004</v>
      </c>
      <c r="AB46" s="139">
        <v>32.056959999999997</v>
      </c>
      <c r="AC46" s="139">
        <v>23.667519999999996</v>
      </c>
      <c r="AD46" s="139">
        <v>108.65448768999998</v>
      </c>
      <c r="AE46" s="139">
        <v>107.96497711999999</v>
      </c>
      <c r="AF46" s="139">
        <v>-19.970044932601098</v>
      </c>
      <c r="AG46" s="139">
        <v>-26.169681846537738</v>
      </c>
      <c r="AH46" s="139">
        <v>-0.63506672802578179</v>
      </c>
    </row>
    <row r="47" spans="2:34" x14ac:dyDescent="0.55000000000000004">
      <c r="B47" s="160" t="s">
        <v>283</v>
      </c>
      <c r="C47" s="139">
        <v>19623.087071012997</v>
      </c>
      <c r="D47" s="139">
        <v>37182.590610239</v>
      </c>
      <c r="E47" s="139">
        <v>35588.953027245007</v>
      </c>
      <c r="F47" s="139">
        <v>51516.648589009979</v>
      </c>
      <c r="G47" s="139">
        <v>54017.146141773977</v>
      </c>
      <c r="H47" s="139">
        <v>89.483868238896093</v>
      </c>
      <c r="I47" s="139">
        <v>-4.2859843814000032</v>
      </c>
      <c r="J47" s="139">
        <v>4.8537705770852719</v>
      </c>
      <c r="K47" s="139">
        <v>19623.087071012997</v>
      </c>
      <c r="L47" s="139">
        <v>37182.590610239</v>
      </c>
      <c r="M47" s="139">
        <v>35587.964000625005</v>
      </c>
      <c r="N47" s="139">
        <v>51516.648589009979</v>
      </c>
      <c r="O47" s="139">
        <v>54017.146141773977</v>
      </c>
      <c r="P47" s="139">
        <v>89.483868238896093</v>
      </c>
      <c r="Q47" s="139">
        <v>-4.2886469178182516</v>
      </c>
      <c r="R47" s="139">
        <v>4.8537705770852719</v>
      </c>
      <c r="S47" s="139">
        <v>0</v>
      </c>
      <c r="T47" s="139">
        <v>0</v>
      </c>
      <c r="U47" s="139">
        <v>0.98902661999999997</v>
      </c>
      <c r="V47" s="139">
        <v>0</v>
      </c>
      <c r="W47" s="139">
        <v>0</v>
      </c>
      <c r="X47" s="139">
        <v>0</v>
      </c>
      <c r="Y47" s="139">
        <v>0</v>
      </c>
      <c r="Z47" s="139">
        <v>0</v>
      </c>
      <c r="AA47" s="139">
        <v>0</v>
      </c>
      <c r="AB47" s="139">
        <v>0</v>
      </c>
      <c r="AC47" s="139">
        <v>0</v>
      </c>
      <c r="AD47" s="139">
        <v>0</v>
      </c>
      <c r="AE47" s="139">
        <v>0</v>
      </c>
      <c r="AF47" s="139">
        <v>0</v>
      </c>
      <c r="AG47" s="139">
        <v>0</v>
      </c>
      <c r="AH47" s="139">
        <v>0</v>
      </c>
    </row>
    <row r="48" spans="2:34" x14ac:dyDescent="0.55000000000000004">
      <c r="B48" s="161" t="s">
        <v>284</v>
      </c>
      <c r="C48" s="139">
        <v>879.53103901999987</v>
      </c>
      <c r="D48" s="139">
        <v>770.78117255000006</v>
      </c>
      <c r="E48" s="139">
        <v>1112.0585332400001</v>
      </c>
      <c r="F48" s="139">
        <v>5629.39034429</v>
      </c>
      <c r="G48" s="139">
        <v>5444.0021180499989</v>
      </c>
      <c r="H48" s="139">
        <v>-12.36455834366082</v>
      </c>
      <c r="I48" s="139">
        <v>44.277225667505647</v>
      </c>
      <c r="J48" s="139">
        <v>-3.2932520219775201</v>
      </c>
      <c r="K48" s="139">
        <v>879.53103901999987</v>
      </c>
      <c r="L48" s="139">
        <v>770.78117255000006</v>
      </c>
      <c r="M48" s="139">
        <v>1112.0585332400001</v>
      </c>
      <c r="N48" s="139">
        <v>5629.39034429</v>
      </c>
      <c r="O48" s="139">
        <v>5444.0021180499989</v>
      </c>
      <c r="P48" s="139">
        <v>-12.36455834366082</v>
      </c>
      <c r="Q48" s="139">
        <v>44.277225667505647</v>
      </c>
      <c r="R48" s="139">
        <v>-3.2932520219775201</v>
      </c>
      <c r="S48" s="139">
        <v>0</v>
      </c>
      <c r="T48" s="139">
        <v>0</v>
      </c>
      <c r="U48" s="139">
        <v>0</v>
      </c>
      <c r="V48" s="139">
        <v>0</v>
      </c>
      <c r="W48" s="139">
        <v>0</v>
      </c>
      <c r="X48" s="139">
        <v>0</v>
      </c>
      <c r="Y48" s="139">
        <v>0</v>
      </c>
      <c r="Z48" s="139">
        <v>0</v>
      </c>
      <c r="AA48" s="139">
        <v>0</v>
      </c>
      <c r="AB48" s="139">
        <v>0</v>
      </c>
      <c r="AC48" s="139">
        <v>0</v>
      </c>
      <c r="AD48" s="139">
        <v>0</v>
      </c>
      <c r="AE48" s="139">
        <v>0</v>
      </c>
      <c r="AF48" s="139">
        <v>0</v>
      </c>
      <c r="AG48" s="139">
        <v>0</v>
      </c>
      <c r="AH48" s="139">
        <v>0</v>
      </c>
    </row>
    <row r="49" spans="2:34" x14ac:dyDescent="0.55000000000000004">
      <c r="B49" s="161" t="s">
        <v>285</v>
      </c>
      <c r="C49" s="139">
        <v>18743.556031993001</v>
      </c>
      <c r="D49" s="139">
        <v>36411.809437689</v>
      </c>
      <c r="E49" s="139">
        <v>34476.894494005006</v>
      </c>
      <c r="F49" s="139">
        <v>45887.258244719982</v>
      </c>
      <c r="G49" s="139">
        <v>48573.14402372398</v>
      </c>
      <c r="H49" s="139">
        <v>94.263042879794412</v>
      </c>
      <c r="I49" s="139">
        <v>-5.3139901586875204</v>
      </c>
      <c r="J49" s="139">
        <v>5.8532150317974914</v>
      </c>
      <c r="K49" s="139">
        <v>18743.556031993001</v>
      </c>
      <c r="L49" s="139">
        <v>36411.809437689</v>
      </c>
      <c r="M49" s="139">
        <v>34475.905467385004</v>
      </c>
      <c r="N49" s="139">
        <v>45887.258244719982</v>
      </c>
      <c r="O49" s="139">
        <v>48573.14402372398</v>
      </c>
      <c r="P49" s="139">
        <v>94.263042879794412</v>
      </c>
      <c r="Q49" s="139">
        <v>-5.3166815931424294</v>
      </c>
      <c r="R49" s="139">
        <v>5.8532150317974914</v>
      </c>
      <c r="S49" s="139">
        <v>0</v>
      </c>
      <c r="T49" s="139">
        <v>0</v>
      </c>
      <c r="U49" s="139">
        <v>0.98902661999999997</v>
      </c>
      <c r="V49" s="139">
        <v>0</v>
      </c>
      <c r="W49" s="139">
        <v>0</v>
      </c>
      <c r="X49" s="139">
        <v>0</v>
      </c>
      <c r="Y49" s="139">
        <v>0</v>
      </c>
      <c r="Z49" s="139">
        <v>0</v>
      </c>
      <c r="AA49" s="139">
        <v>0</v>
      </c>
      <c r="AB49" s="139">
        <v>0</v>
      </c>
      <c r="AC49" s="139">
        <v>0</v>
      </c>
      <c r="AD49" s="139">
        <v>0</v>
      </c>
      <c r="AE49" s="139">
        <v>0</v>
      </c>
      <c r="AF49" s="139">
        <v>0</v>
      </c>
      <c r="AG49" s="139">
        <v>0</v>
      </c>
      <c r="AH49" s="139">
        <v>0</v>
      </c>
    </row>
    <row r="50" spans="2:34" x14ac:dyDescent="0.55000000000000004">
      <c r="B50" s="160" t="s">
        <v>286</v>
      </c>
      <c r="C50" s="139">
        <v>195088.39877143537</v>
      </c>
      <c r="D50" s="139">
        <v>195037.57595440737</v>
      </c>
      <c r="E50" s="139">
        <v>199590.12268206503</v>
      </c>
      <c r="F50" s="139">
        <v>197228.4133745202</v>
      </c>
      <c r="G50" s="139">
        <v>179420.35583522549</v>
      </c>
      <c r="H50" s="139">
        <v>-2.604972925094828E-2</v>
      </c>
      <c r="I50" s="139">
        <v>2.3341860578868996</v>
      </c>
      <c r="J50" s="139">
        <v>-9.0291505163987367</v>
      </c>
      <c r="K50" s="139">
        <v>142452.08951594977</v>
      </c>
      <c r="L50" s="139">
        <v>147129.61223292002</v>
      </c>
      <c r="M50" s="139">
        <v>152332.13082192998</v>
      </c>
      <c r="N50" s="139">
        <v>160740.72022239791</v>
      </c>
      <c r="O50" s="139">
        <v>147373.87425831298</v>
      </c>
      <c r="P50" s="139">
        <v>3.283574147630961</v>
      </c>
      <c r="Q50" s="139">
        <v>3.5360115479134477</v>
      </c>
      <c r="R50" s="139">
        <v>-8.3157833310688201</v>
      </c>
      <c r="S50" s="139">
        <v>45677.605870895575</v>
      </c>
      <c r="T50" s="139">
        <v>41526.169420307349</v>
      </c>
      <c r="U50" s="139">
        <v>40504.111790795076</v>
      </c>
      <c r="V50" s="139">
        <v>32109.591331352312</v>
      </c>
      <c r="W50" s="139">
        <v>29029.566454412463</v>
      </c>
      <c r="X50" s="139">
        <v>-9.0885665865617806</v>
      </c>
      <c r="Y50" s="139">
        <v>-2.461243114883934</v>
      </c>
      <c r="Z50" s="139">
        <v>-9.5922121708810373</v>
      </c>
      <c r="AA50" s="139">
        <v>6958.7033845900014</v>
      </c>
      <c r="AB50" s="139">
        <v>6381.7943011799816</v>
      </c>
      <c r="AC50" s="139">
        <v>6753.8800693399817</v>
      </c>
      <c r="AD50" s="139">
        <v>4378.1018207699817</v>
      </c>
      <c r="AE50" s="139">
        <v>3016.9151225000519</v>
      </c>
      <c r="AF50" s="139">
        <v>-8.2904852917930061</v>
      </c>
      <c r="AG50" s="139">
        <v>5.8304958326739076</v>
      </c>
      <c r="AH50" s="139">
        <v>-31.090655763915859</v>
      </c>
    </row>
    <row r="51" spans="2:34" x14ac:dyDescent="0.55000000000000004">
      <c r="B51" s="161" t="s">
        <v>287</v>
      </c>
      <c r="C51" s="139">
        <v>2306.5288628599997</v>
      </c>
      <c r="D51" s="139">
        <v>3129.3609811000006</v>
      </c>
      <c r="E51" s="139">
        <v>3144.6138702600006</v>
      </c>
      <c r="F51" s="139">
        <v>3151.1695327500006</v>
      </c>
      <c r="G51" s="139">
        <v>3125.4553169100009</v>
      </c>
      <c r="H51" s="139">
        <v>35.673934438312095</v>
      </c>
      <c r="I51" s="139">
        <v>0.48732009100902418</v>
      </c>
      <c r="J51" s="139">
        <v>-0.8158874322870564</v>
      </c>
      <c r="K51" s="139">
        <v>2237.3015267399996</v>
      </c>
      <c r="L51" s="139">
        <v>3064.9063027200009</v>
      </c>
      <c r="M51" s="139">
        <v>3087.2410209900004</v>
      </c>
      <c r="N51" s="139">
        <v>3090.6669024300004</v>
      </c>
      <c r="O51" s="139">
        <v>3064.9526865900007</v>
      </c>
      <c r="P51" s="139">
        <v>36.991462924060237</v>
      </c>
      <c r="Q51" s="139">
        <v>0.72856951753884869</v>
      </c>
      <c r="R51" s="139">
        <v>-0.83218201878557896</v>
      </c>
      <c r="S51" s="139">
        <v>29.425193329999999</v>
      </c>
      <c r="T51" s="139">
        <v>24.652535589999999</v>
      </c>
      <c r="U51" s="139">
        <v>17.547276879999998</v>
      </c>
      <c r="V51" s="139">
        <v>20.677057929999997</v>
      </c>
      <c r="W51" s="139">
        <v>20.677057929999997</v>
      </c>
      <c r="X51" s="139">
        <v>-16.241930003397897</v>
      </c>
      <c r="Y51" s="139">
        <v>-28.80324543610547</v>
      </c>
      <c r="Z51" s="139">
        <v>0</v>
      </c>
      <c r="AA51" s="139">
        <v>39.802142790000005</v>
      </c>
      <c r="AB51" s="139">
        <v>39.802142790000005</v>
      </c>
      <c r="AC51" s="139">
        <v>39.825572390000005</v>
      </c>
      <c r="AD51" s="139">
        <v>39.825572390000005</v>
      </c>
      <c r="AE51" s="139">
        <v>39.825572390000005</v>
      </c>
      <c r="AF51" s="139">
        <v>0</v>
      </c>
      <c r="AG51" s="139">
        <v>7.5376884422113419E-2</v>
      </c>
      <c r="AH51" s="139">
        <v>0</v>
      </c>
    </row>
    <row r="52" spans="2:34" x14ac:dyDescent="0.55000000000000004">
      <c r="B52" s="161" t="s">
        <v>288</v>
      </c>
      <c r="C52" s="139">
        <v>136840.50060087026</v>
      </c>
      <c r="D52" s="139">
        <v>127020.31552000996</v>
      </c>
      <c r="E52" s="139">
        <v>147144.30289026798</v>
      </c>
      <c r="F52" s="139">
        <v>148915.37338679799</v>
      </c>
      <c r="G52" s="139">
        <v>132573.06842184797</v>
      </c>
      <c r="H52" s="139">
        <v>-7.1763695689507072</v>
      </c>
      <c r="I52" s="139">
        <v>15.84311864432398</v>
      </c>
      <c r="J52" s="139">
        <v>-10.974219786715091</v>
      </c>
      <c r="K52" s="139">
        <v>106032.12004644002</v>
      </c>
      <c r="L52" s="139">
        <v>97517.921701319981</v>
      </c>
      <c r="M52" s="139">
        <v>112984.87683189</v>
      </c>
      <c r="N52" s="139">
        <v>121560.80739986002</v>
      </c>
      <c r="O52" s="139">
        <v>109636.31906672</v>
      </c>
      <c r="P52" s="139">
        <v>-8.0298309606560707</v>
      </c>
      <c r="Q52" s="139">
        <v>15.860633614826902</v>
      </c>
      <c r="R52" s="139">
        <v>-9.8094854748006295</v>
      </c>
      <c r="S52" s="139">
        <v>25283.552087710232</v>
      </c>
      <c r="T52" s="139">
        <v>24531.72130316</v>
      </c>
      <c r="U52" s="139">
        <v>28799.036965248008</v>
      </c>
      <c r="V52" s="139">
        <v>24497.154186307998</v>
      </c>
      <c r="W52" s="139">
        <v>21503.496768338002</v>
      </c>
      <c r="X52" s="139">
        <v>-2.9735935024946976</v>
      </c>
      <c r="Y52" s="139">
        <v>17.395111308950206</v>
      </c>
      <c r="Z52" s="139">
        <v>-12.220401148705058</v>
      </c>
      <c r="AA52" s="139">
        <v>5524.8284667200005</v>
      </c>
      <c r="AB52" s="139">
        <v>4970.6725155299819</v>
      </c>
      <c r="AC52" s="139">
        <v>5360.389093129982</v>
      </c>
      <c r="AD52" s="139">
        <v>2857.4118006299827</v>
      </c>
      <c r="AE52" s="139">
        <v>1433.2525867899824</v>
      </c>
      <c r="AF52" s="139">
        <v>-10.030353875141858</v>
      </c>
      <c r="AG52" s="139">
        <v>7.8403917379347305</v>
      </c>
      <c r="AH52" s="139">
        <v>-49.840939872121957</v>
      </c>
    </row>
    <row r="53" spans="2:34" x14ac:dyDescent="0.55000000000000004">
      <c r="B53" s="161" t="s">
        <v>289</v>
      </c>
      <c r="C53" s="139">
        <v>37037.201739675111</v>
      </c>
      <c r="D53" s="139">
        <v>41125.081904877181</v>
      </c>
      <c r="E53" s="139">
        <v>32724.426362939994</v>
      </c>
      <c r="F53" s="139">
        <v>31948.361685632106</v>
      </c>
      <c r="G53" s="139">
        <v>31911.888459857255</v>
      </c>
      <c r="H53" s="139">
        <v>11.037227436199295</v>
      </c>
      <c r="I53" s="139">
        <v>-20.427072725451236</v>
      </c>
      <c r="J53" s="139">
        <v>-0.11415296434621734</v>
      </c>
      <c r="K53" s="139">
        <v>21700.273904990001</v>
      </c>
      <c r="L53" s="139">
        <v>27919.498932470004</v>
      </c>
      <c r="M53" s="139">
        <v>22293.383158119988</v>
      </c>
      <c r="N53" s="139">
        <v>24003.337688927906</v>
      </c>
      <c r="O53" s="139">
        <v>23913.173728062993</v>
      </c>
      <c r="P53" s="139">
        <v>28.659689487734482</v>
      </c>
      <c r="Q53" s="139">
        <v>-20.151220473146005</v>
      </c>
      <c r="R53" s="139">
        <v>-0.37565605453241879</v>
      </c>
      <c r="S53" s="139">
        <v>13999.033126275111</v>
      </c>
      <c r="T53" s="139">
        <v>11873.316351207175</v>
      </c>
      <c r="U53" s="139">
        <v>9085.7467006500083</v>
      </c>
      <c r="V53" s="139">
        <v>6469.0328181841987</v>
      </c>
      <c r="W53" s="139">
        <v>6459.4750673341923</v>
      </c>
      <c r="X53" s="139">
        <v>-15.184694939577962</v>
      </c>
      <c r="Y53" s="139">
        <v>-23.477595146092249</v>
      </c>
      <c r="Z53" s="139">
        <v>-0.14762646022665193</v>
      </c>
      <c r="AA53" s="139">
        <v>1337.8947084100007</v>
      </c>
      <c r="AB53" s="139">
        <v>1332.2666212000017</v>
      </c>
      <c r="AC53" s="139">
        <v>1345.2965041699977</v>
      </c>
      <c r="AD53" s="139">
        <v>1475.9911785200004</v>
      </c>
      <c r="AE53" s="139">
        <v>1539.2396644600699</v>
      </c>
      <c r="AF53" s="139">
        <v>-0.42006442981112929</v>
      </c>
      <c r="AG53" s="139">
        <v>0.97802997890817722</v>
      </c>
      <c r="AH53" s="139">
        <v>4.2852593852261869</v>
      </c>
    </row>
    <row r="54" spans="2:34" x14ac:dyDescent="0.55000000000000004">
      <c r="B54" s="161" t="s">
        <v>290</v>
      </c>
      <c r="C54" s="139">
        <v>7417.7885523402174</v>
      </c>
      <c r="D54" s="139">
        <v>7239.0522379701715</v>
      </c>
      <c r="E54" s="139">
        <v>3388.4732598870537</v>
      </c>
      <c r="F54" s="139">
        <v>1202.837902040116</v>
      </c>
      <c r="G54" s="139">
        <v>1117.1113714602675</v>
      </c>
      <c r="H54" s="139">
        <v>-2.4096125665460977</v>
      </c>
      <c r="I54" s="139">
        <v>-53.191786215042036</v>
      </c>
      <c r="J54" s="139">
        <v>-7.1272987263476457</v>
      </c>
      <c r="K54" s="139">
        <v>1102.6548419899982</v>
      </c>
      <c r="L54" s="139">
        <v>2186.4191614499991</v>
      </c>
      <c r="M54" s="139">
        <v>813.39655501000004</v>
      </c>
      <c r="N54" s="139">
        <v>192.01985092000001</v>
      </c>
      <c r="O54" s="139">
        <v>182.73108124000001</v>
      </c>
      <c r="P54" s="139">
        <v>98.287761302317136</v>
      </c>
      <c r="Q54" s="139">
        <v>-62.79763265978174</v>
      </c>
      <c r="R54" s="139">
        <v>-4.8380377044058012</v>
      </c>
      <c r="S54" s="139">
        <v>6314.4451903502195</v>
      </c>
      <c r="T54" s="139">
        <v>5052.4306775701716</v>
      </c>
      <c r="U54" s="139">
        <v>2574.9319108570535</v>
      </c>
      <c r="V54" s="139">
        <v>1010.740351120116</v>
      </c>
      <c r="W54" s="139">
        <v>934.30259022026746</v>
      </c>
      <c r="X54" s="139">
        <v>-19.986222077932354</v>
      </c>
      <c r="Y54" s="139">
        <v>-49.035810491189395</v>
      </c>
      <c r="Z54" s="139">
        <v>-7.5627757880364932</v>
      </c>
      <c r="AA54" s="139">
        <v>0.68851999999999991</v>
      </c>
      <c r="AB54" s="139">
        <v>0.20239895000000002</v>
      </c>
      <c r="AC54" s="139">
        <v>0.14479402</v>
      </c>
      <c r="AD54" s="139">
        <v>7.7700000000000005E-2</v>
      </c>
      <c r="AE54" s="139">
        <v>7.7700000000000005E-2</v>
      </c>
      <c r="AF54" s="139">
        <v>-71.014492753623188</v>
      </c>
      <c r="AG54" s="139">
        <v>-30</v>
      </c>
      <c r="AH54" s="139">
        <v>0</v>
      </c>
    </row>
    <row r="55" spans="2:34" x14ac:dyDescent="0.55000000000000004">
      <c r="B55" s="162" t="s">
        <v>291</v>
      </c>
      <c r="C55" s="139">
        <v>1509.4774325100002</v>
      </c>
      <c r="D55" s="139">
        <v>455.22595573999996</v>
      </c>
      <c r="E55" s="139">
        <v>251.79655449000001</v>
      </c>
      <c r="F55" s="139">
        <v>128.92990799999998</v>
      </c>
      <c r="G55" s="139">
        <v>130.03115362</v>
      </c>
      <c r="H55" s="139">
        <v>-69.841932321064206</v>
      </c>
      <c r="I55" s="139">
        <v>-44.687300924807239</v>
      </c>
      <c r="J55" s="139">
        <v>0.85317614209260395</v>
      </c>
      <c r="K55" s="139">
        <v>1509.4774325100002</v>
      </c>
      <c r="L55" s="139">
        <v>455.22595573999996</v>
      </c>
      <c r="M55" s="139">
        <v>251.79655449000001</v>
      </c>
      <c r="N55" s="139">
        <v>128.92990799999998</v>
      </c>
      <c r="O55" s="139">
        <v>130.03115362</v>
      </c>
      <c r="P55" s="139">
        <v>-69.841932321064206</v>
      </c>
      <c r="Q55" s="139">
        <v>-44.687300924807239</v>
      </c>
      <c r="R55" s="139">
        <v>0.85317614209260395</v>
      </c>
      <c r="S55" s="139">
        <v>0</v>
      </c>
      <c r="T55" s="139">
        <v>0</v>
      </c>
      <c r="U55" s="139">
        <v>0</v>
      </c>
      <c r="V55" s="139">
        <v>0</v>
      </c>
      <c r="W55" s="139">
        <v>0</v>
      </c>
      <c r="X55" s="139">
        <v>0</v>
      </c>
      <c r="Y55" s="139">
        <v>0</v>
      </c>
      <c r="Z55" s="139">
        <v>0</v>
      </c>
      <c r="AA55" s="139">
        <v>0</v>
      </c>
      <c r="AB55" s="139">
        <v>0</v>
      </c>
      <c r="AC55" s="139">
        <v>0</v>
      </c>
      <c r="AD55" s="139">
        <v>0</v>
      </c>
      <c r="AE55" s="139">
        <v>0</v>
      </c>
      <c r="AF55" s="139">
        <v>0</v>
      </c>
      <c r="AG55" s="139">
        <v>0</v>
      </c>
      <c r="AH55" s="139">
        <v>0</v>
      </c>
    </row>
    <row r="56" spans="2:34" x14ac:dyDescent="0.55000000000000004">
      <c r="B56" s="161" t="s">
        <v>292</v>
      </c>
      <c r="C56" s="139">
        <v>9976.9015831797969</v>
      </c>
      <c r="D56" s="139">
        <v>16068.539354710005</v>
      </c>
      <c r="E56" s="139">
        <v>12936.50974422</v>
      </c>
      <c r="F56" s="139">
        <v>11881.740959300001</v>
      </c>
      <c r="G56" s="139">
        <v>10562.801111530003</v>
      </c>
      <c r="H56" s="139">
        <v>61.057442692619965</v>
      </c>
      <c r="I56" s="139">
        <v>-19.491689973077829</v>
      </c>
      <c r="J56" s="139">
        <v>-11.100562712195357</v>
      </c>
      <c r="K56" s="139">
        <v>9870.2617632797974</v>
      </c>
      <c r="L56" s="139">
        <v>15985.640179220005</v>
      </c>
      <c r="M56" s="139">
        <v>12901.436701429999</v>
      </c>
      <c r="N56" s="139">
        <v>11764.958472260003</v>
      </c>
      <c r="O56" s="139">
        <v>10446.666542080002</v>
      </c>
      <c r="P56" s="139">
        <v>61.957638400609497</v>
      </c>
      <c r="Q56" s="139">
        <v>-19.293565975462972</v>
      </c>
      <c r="R56" s="139">
        <v>-11.205222967183902</v>
      </c>
      <c r="S56" s="139">
        <v>51.150273229999996</v>
      </c>
      <c r="T56" s="139">
        <v>44.048552779999994</v>
      </c>
      <c r="U56" s="139">
        <v>26.848937159999998</v>
      </c>
      <c r="V56" s="139">
        <v>111.98691780999998</v>
      </c>
      <c r="W56" s="139">
        <v>111.61497058999998</v>
      </c>
      <c r="X56" s="139">
        <v>-13.880742913000979</v>
      </c>
      <c r="Y56" s="139">
        <v>-39.046538024971618</v>
      </c>
      <c r="Z56" s="139">
        <v>-0.33931601035806364</v>
      </c>
      <c r="AA56" s="139">
        <v>55.489546669999996</v>
      </c>
      <c r="AB56" s="139">
        <v>38.850622710000003</v>
      </c>
      <c r="AC56" s="139">
        <v>8.2241056300013327</v>
      </c>
      <c r="AD56" s="139">
        <v>4.7955692299990682</v>
      </c>
      <c r="AE56" s="139">
        <v>4.5195988600000812</v>
      </c>
      <c r="AF56" s="139">
        <v>-29.987385114435032</v>
      </c>
      <c r="AG56" s="139">
        <v>-78.841698841698857</v>
      </c>
      <c r="AH56" s="139">
        <v>-5.8333333333333384</v>
      </c>
    </row>
    <row r="57" spans="2:34" x14ac:dyDescent="0.55000000000000004">
      <c r="B57" s="160" t="s">
        <v>293</v>
      </c>
      <c r="C57" s="139">
        <v>3521.1950413227</v>
      </c>
      <c r="D57" s="139">
        <v>4527.7597351025424</v>
      </c>
      <c r="E57" s="139">
        <v>5678.3172427334484</v>
      </c>
      <c r="F57" s="139">
        <v>6222.669667278853</v>
      </c>
      <c r="G57" s="139">
        <v>6682.3717433889697</v>
      </c>
      <c r="H57" s="139">
        <v>28.585709417244136</v>
      </c>
      <c r="I57" s="139">
        <v>25.411240878491778</v>
      </c>
      <c r="J57" s="139">
        <v>7.3875040778315393</v>
      </c>
      <c r="K57" s="139">
        <v>3521.1950413227</v>
      </c>
      <c r="L57" s="139">
        <v>4524.1313442625424</v>
      </c>
      <c r="M57" s="139">
        <v>5662.2165590834484</v>
      </c>
      <c r="N57" s="139">
        <v>6205.6874469588529</v>
      </c>
      <c r="O57" s="139">
        <v>6664.1362882189696</v>
      </c>
      <c r="P57" s="139">
        <v>28.482619561513129</v>
      </c>
      <c r="Q57" s="139">
        <v>25.155996843592032</v>
      </c>
      <c r="R57" s="139">
        <v>7.3875749513752824</v>
      </c>
      <c r="S57" s="139">
        <v>0</v>
      </c>
      <c r="T57" s="139">
        <v>3.6283908400000002</v>
      </c>
      <c r="U57" s="139">
        <v>16.100683649999997</v>
      </c>
      <c r="V57" s="139">
        <v>16.98222032000001</v>
      </c>
      <c r="W57" s="139">
        <v>18.235455169999994</v>
      </c>
      <c r="X57" s="139">
        <v>0</v>
      </c>
      <c r="Y57" s="139">
        <v>343.52617079889814</v>
      </c>
      <c r="Z57" s="139">
        <v>7.420494699646631</v>
      </c>
      <c r="AA57" s="139">
        <v>0</v>
      </c>
      <c r="AB57" s="139">
        <v>0</v>
      </c>
      <c r="AC57" s="139">
        <v>0</v>
      </c>
      <c r="AD57" s="139">
        <v>0</v>
      </c>
      <c r="AE57" s="139">
        <v>0</v>
      </c>
      <c r="AF57" s="139">
        <v>0</v>
      </c>
      <c r="AG57" s="139">
        <v>0</v>
      </c>
      <c r="AH57" s="139">
        <v>0</v>
      </c>
    </row>
    <row r="58" spans="2:34" x14ac:dyDescent="0.55000000000000004">
      <c r="B58" s="160" t="s">
        <v>258</v>
      </c>
      <c r="C58" s="139">
        <v>195625.39122512366</v>
      </c>
      <c r="D58" s="139">
        <v>152948.3632960479</v>
      </c>
      <c r="E58" s="139">
        <v>118852.47773988552</v>
      </c>
      <c r="F58" s="139">
        <v>136269.31922987921</v>
      </c>
      <c r="G58" s="139">
        <v>137204.53848280953</v>
      </c>
      <c r="H58" s="139">
        <v>-21.815690693319524</v>
      </c>
      <c r="I58" s="139">
        <v>-22.292412942512097</v>
      </c>
      <c r="J58" s="139">
        <v>0.68630268353874602</v>
      </c>
      <c r="K58" s="139">
        <v>190400.59714137373</v>
      </c>
      <c r="L58" s="139">
        <v>148193.68627732788</v>
      </c>
      <c r="M58" s="139">
        <v>109512.06788509547</v>
      </c>
      <c r="N58" s="139">
        <v>124733.42220750447</v>
      </c>
      <c r="O58" s="139">
        <v>126847.91402764492</v>
      </c>
      <c r="P58" s="139">
        <v>-22.167424892568615</v>
      </c>
      <c r="Q58" s="139">
        <v>-26.102069528061548</v>
      </c>
      <c r="R58" s="139">
        <v>1.6952072668255269</v>
      </c>
      <c r="S58" s="139">
        <v>1653.9445726099339</v>
      </c>
      <c r="T58" s="139">
        <v>1785.0950709399997</v>
      </c>
      <c r="U58" s="139">
        <v>3446.433284360055</v>
      </c>
      <c r="V58" s="139">
        <v>6038.9855467347352</v>
      </c>
      <c r="W58" s="139">
        <v>4986.8171693346167</v>
      </c>
      <c r="X58" s="139">
        <v>7.9301546609913212</v>
      </c>
      <c r="Y58" s="139">
        <v>93.066494874236739</v>
      </c>
      <c r="Z58" s="139">
        <v>-17.422946552320834</v>
      </c>
      <c r="AA58" s="139">
        <v>3570.8495111399993</v>
      </c>
      <c r="AB58" s="139">
        <v>2969.5819477799973</v>
      </c>
      <c r="AC58" s="139">
        <v>5893.976570429998</v>
      </c>
      <c r="AD58" s="139">
        <v>5496.9114756399995</v>
      </c>
      <c r="AE58" s="139">
        <v>5369.8072858299965</v>
      </c>
      <c r="AF58" s="139">
        <v>-16.838287802624027</v>
      </c>
      <c r="AG58" s="139">
        <v>98.478572727456395</v>
      </c>
      <c r="AH58" s="139">
        <v>-2.3122081314774929</v>
      </c>
    </row>
    <row r="59" spans="2:34" x14ac:dyDescent="0.55000000000000004">
      <c r="B59" s="152" t="s">
        <v>94</v>
      </c>
      <c r="C59" s="146">
        <v>4709039.2624047371</v>
      </c>
      <c r="D59" s="146">
        <v>4879850.6416011732</v>
      </c>
      <c r="E59" s="146">
        <v>5167173.0546616809</v>
      </c>
      <c r="F59" s="146">
        <v>5591604.3717018981</v>
      </c>
      <c r="G59" s="146">
        <v>5574136.782529328</v>
      </c>
      <c r="H59" s="146">
        <v>3.6273084714099388</v>
      </c>
      <c r="I59" s="146">
        <v>5.8879345126841871</v>
      </c>
      <c r="J59" s="146">
        <v>-0.31238959061046462</v>
      </c>
      <c r="K59" s="146">
        <v>4175443.2777171684</v>
      </c>
      <c r="L59" s="146">
        <v>4315376.9670633944</v>
      </c>
      <c r="M59" s="146">
        <v>4569076.1421677331</v>
      </c>
      <c r="N59" s="146">
        <v>4963145.9006709959</v>
      </c>
      <c r="O59" s="146">
        <v>4952719.8423230406</v>
      </c>
      <c r="P59" s="146">
        <v>3.3513493206881724</v>
      </c>
      <c r="Q59" s="146">
        <v>5.8789573138960316</v>
      </c>
      <c r="R59" s="146">
        <v>-0.21006958509925169</v>
      </c>
      <c r="S59" s="146">
        <v>441782.89778605849</v>
      </c>
      <c r="T59" s="146">
        <v>471382.21286427841</v>
      </c>
      <c r="U59" s="146">
        <v>498615.08979530807</v>
      </c>
      <c r="V59" s="146">
        <v>524199.28464766213</v>
      </c>
      <c r="W59" s="146">
        <v>518518.82171651855</v>
      </c>
      <c r="X59" s="146">
        <v>6.6999673368978288</v>
      </c>
      <c r="Y59" s="146">
        <v>5.7772396629053953</v>
      </c>
      <c r="Z59" s="146">
        <v>-1.0836451358727583</v>
      </c>
      <c r="AA59" s="146">
        <v>91813.086901510018</v>
      </c>
      <c r="AB59" s="146">
        <v>93091.461673500002</v>
      </c>
      <c r="AC59" s="146">
        <v>99481.822698639691</v>
      </c>
      <c r="AD59" s="146">
        <v>104259.18638323971</v>
      </c>
      <c r="AE59" s="146">
        <v>102898.11848976972</v>
      </c>
      <c r="AF59" s="146">
        <v>1.3923613724361199</v>
      </c>
      <c r="AG59" s="146">
        <v>6.8646039067385987</v>
      </c>
      <c r="AH59" s="146">
        <v>-1.3054676523000102</v>
      </c>
    </row>
    <row r="61" spans="2:34" ht="47" x14ac:dyDescent="0.55000000000000004">
      <c r="B61" s="163" t="s">
        <v>294</v>
      </c>
      <c r="C61" s="164"/>
      <c r="D61" s="164"/>
      <c r="E61" s="164"/>
      <c r="F61" s="164"/>
      <c r="G61" s="164"/>
    </row>
    <row r="62" spans="2:34" ht="47" x14ac:dyDescent="0.55000000000000004">
      <c r="B62" s="163" t="s">
        <v>295</v>
      </c>
    </row>
    <row r="63" spans="2:34" ht="31.35" x14ac:dyDescent="0.55000000000000004">
      <c r="B63" s="163" t="s">
        <v>296</v>
      </c>
    </row>
  </sheetData>
  <mergeCells count="17">
    <mergeCell ref="X4:Z5"/>
    <mergeCell ref="AA4:AC4"/>
    <mergeCell ref="AF4:AH5"/>
    <mergeCell ref="B4:B5"/>
    <mergeCell ref="C4:E4"/>
    <mergeCell ref="H4:J5"/>
    <mergeCell ref="K4:M4"/>
    <mergeCell ref="P4:R5"/>
    <mergeCell ref="S4:U4"/>
    <mergeCell ref="C2:J2"/>
    <mergeCell ref="K2:R2"/>
    <mergeCell ref="S2:Z2"/>
    <mergeCell ref="AA2:AH2"/>
    <mergeCell ref="I3:J3"/>
    <mergeCell ref="Q3:R3"/>
    <mergeCell ref="Y3:Z3"/>
    <mergeCell ref="AG3:AH3"/>
  </mergeCells>
  <conditionalFormatting sqref="H23:J23 H37:J37">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7:R37">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7:Z37">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7:AH37">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30:B35" xr:uid="{97795017-E133-4D36-ADB7-81B82019B7D6}">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C4F9-0A85-4D71-8C4F-5358D9A3AC9B}">
  <sheetPr codeName="Sheet81"/>
  <dimension ref="B2:BE97"/>
  <sheetViews>
    <sheetView workbookViewId="0">
      <pane xSplit="3" ySplit="4" topLeftCell="D86"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87890625" style="34" bestFit="1" customWidth="1"/>
    <col min="3" max="3" width="37.1171875" style="34" bestFit="1" customWidth="1"/>
    <col min="4" max="24" width="12.703125" style="34" bestFit="1" customWidth="1"/>
    <col min="25" max="25" width="11.5859375" style="34" bestFit="1" customWidth="1"/>
    <col min="26" max="26" width="9.41015625" style="34" bestFit="1" customWidth="1"/>
    <col min="27" max="27" width="10.41015625" style="34" bestFit="1" customWidth="1"/>
    <col min="28" max="29" width="11.5859375" style="34" bestFit="1" customWidth="1"/>
    <col min="30" max="30" width="10.41015625" style="34" bestFit="1" customWidth="1"/>
    <col min="31" max="31" width="12.703125" style="34" bestFit="1" customWidth="1"/>
    <col min="32" max="33" width="11.5859375" style="34" bestFit="1" customWidth="1"/>
    <col min="34" max="34" width="10.41015625" style="34" bestFit="1" customWidth="1"/>
    <col min="35" max="37" width="11.5859375" style="34" bestFit="1" customWidth="1"/>
    <col min="38" max="42" width="10.41015625" style="34" bestFit="1" customWidth="1"/>
    <col min="43" max="43" width="11.1171875" style="34" bestFit="1" customWidth="1"/>
    <col min="44" max="45" width="11.5859375" style="34" bestFit="1" customWidth="1"/>
    <col min="46" max="46" width="10.41015625" style="34" customWidth="1"/>
    <col min="47" max="48" width="10.41015625" style="34" bestFit="1" customWidth="1"/>
    <col min="49" max="49" width="10.5859375" style="34" bestFit="1" customWidth="1"/>
    <col min="50" max="50" width="11.5859375" style="34" bestFit="1" customWidth="1"/>
    <col min="51" max="53" width="10.41015625" style="34" bestFit="1" customWidth="1"/>
    <col min="54" max="54" width="11.1171875" style="34" bestFit="1" customWidth="1"/>
    <col min="55" max="55" width="10.41015625" style="34" bestFit="1" customWidth="1"/>
    <col min="56" max="57" width="11.5859375" style="34" bestFit="1" customWidth="1"/>
    <col min="58" max="16384" width="9.1171875" style="34"/>
  </cols>
  <sheetData>
    <row r="2" spans="2:57" x14ac:dyDescent="0.55000000000000004">
      <c r="C2" s="113" t="s">
        <v>118</v>
      </c>
      <c r="D2" s="165"/>
    </row>
    <row r="3" spans="2:57" s="167" customFormat="1" ht="61.35" x14ac:dyDescent="0.55000000000000004">
      <c r="B3" s="119" t="s">
        <v>297</v>
      </c>
      <c r="C3" s="119" t="s">
        <v>298</v>
      </c>
      <c r="D3" s="166" t="s">
        <v>983</v>
      </c>
      <c r="E3" s="166" t="s">
        <v>984</v>
      </c>
      <c r="F3" s="166" t="s">
        <v>985</v>
      </c>
      <c r="G3" s="166" t="s">
        <v>986</v>
      </c>
      <c r="H3" s="166" t="s">
        <v>987</v>
      </c>
      <c r="I3" s="166" t="s">
        <v>988</v>
      </c>
      <c r="J3" s="166" t="s">
        <v>989</v>
      </c>
      <c r="K3" s="166" t="s">
        <v>990</v>
      </c>
      <c r="L3" s="166" t="s">
        <v>991</v>
      </c>
      <c r="M3" s="166" t="s">
        <v>992</v>
      </c>
      <c r="N3" s="166" t="s">
        <v>993</v>
      </c>
      <c r="O3" s="166" t="s">
        <v>994</v>
      </c>
      <c r="P3" s="166" t="s">
        <v>995</v>
      </c>
      <c r="Q3" s="166" t="s">
        <v>996</v>
      </c>
      <c r="R3" s="166" t="s">
        <v>997</v>
      </c>
      <c r="S3" s="166" t="s">
        <v>998</v>
      </c>
      <c r="T3" s="166" t="s">
        <v>999</v>
      </c>
      <c r="U3" s="166" t="s">
        <v>1000</v>
      </c>
      <c r="V3" s="166" t="s">
        <v>1001</v>
      </c>
      <c r="W3" s="166" t="s">
        <v>1002</v>
      </c>
      <c r="X3" s="166" t="s">
        <v>1003</v>
      </c>
      <c r="Y3" s="166" t="s">
        <v>1004</v>
      </c>
      <c r="Z3" s="166" t="s">
        <v>1005</v>
      </c>
      <c r="AA3" s="166" t="s">
        <v>1006</v>
      </c>
      <c r="AB3" s="166" t="s">
        <v>1007</v>
      </c>
      <c r="AC3" s="166" t="s">
        <v>1008</v>
      </c>
      <c r="AD3" s="166" t="s">
        <v>1009</v>
      </c>
      <c r="AE3" s="166" t="s">
        <v>1010</v>
      </c>
      <c r="AF3" s="166" t="s">
        <v>1011</v>
      </c>
      <c r="AG3" s="166" t="s">
        <v>1012</v>
      </c>
      <c r="AH3" s="166" t="s">
        <v>1013</v>
      </c>
      <c r="AI3" s="166" t="s">
        <v>1014</v>
      </c>
      <c r="AJ3" s="166" t="s">
        <v>1015</v>
      </c>
      <c r="AK3" s="166" t="s">
        <v>1016</v>
      </c>
      <c r="AL3" s="166" t="s">
        <v>1017</v>
      </c>
      <c r="AM3" s="166" t="s">
        <v>1018</v>
      </c>
      <c r="AN3" s="166" t="s">
        <v>1019</v>
      </c>
      <c r="AO3" s="166" t="s">
        <v>1020</v>
      </c>
      <c r="AP3" s="166" t="s">
        <v>1021</v>
      </c>
      <c r="AQ3" s="166" t="s">
        <v>1022</v>
      </c>
      <c r="AR3" s="166" t="s">
        <v>1023</v>
      </c>
      <c r="AS3" s="166" t="s">
        <v>1024</v>
      </c>
      <c r="AT3" s="166" t="s">
        <v>1025</v>
      </c>
      <c r="AU3" s="166" t="s">
        <v>1026</v>
      </c>
      <c r="AV3" s="166" t="s">
        <v>1027</v>
      </c>
      <c r="AW3" s="166" t="s">
        <v>1028</v>
      </c>
      <c r="AX3" s="166" t="s">
        <v>1029</v>
      </c>
      <c r="AY3" s="166" t="s">
        <v>1030</v>
      </c>
      <c r="AZ3" s="166" t="s">
        <v>1031</v>
      </c>
      <c r="BA3" s="166" t="s">
        <v>1032</v>
      </c>
      <c r="BB3" s="166" t="s">
        <v>1033</v>
      </c>
      <c r="BC3" s="166" t="s">
        <v>1034</v>
      </c>
      <c r="BD3" s="166" t="s">
        <v>1035</v>
      </c>
      <c r="BE3" s="166" t="s">
        <v>1036</v>
      </c>
    </row>
    <row r="4" spans="2:57" ht="16" thickBot="1" x14ac:dyDescent="0.6">
      <c r="B4" s="168"/>
      <c r="C4" s="169" t="s">
        <v>119</v>
      </c>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row>
    <row r="5" spans="2:57" ht="16" thickTop="1" x14ac:dyDescent="0.55000000000000004">
      <c r="B5" s="171">
        <v>1</v>
      </c>
      <c r="C5" s="172" t="s">
        <v>299</v>
      </c>
      <c r="D5" s="173">
        <v>38574.448413659651</v>
      </c>
      <c r="E5" s="173">
        <v>53416.282475431413</v>
      </c>
      <c r="F5" s="173">
        <v>63793.237432886934</v>
      </c>
      <c r="G5" s="173">
        <v>67361.675759710779</v>
      </c>
      <c r="H5" s="173">
        <v>21787.468225813638</v>
      </c>
      <c r="I5" s="173">
        <v>37571.700790662464</v>
      </c>
      <c r="J5" s="173">
        <v>20510.130854722869</v>
      </c>
      <c r="K5" s="173">
        <v>31931.829569575246</v>
      </c>
      <c r="L5" s="173">
        <v>29298.615274949996</v>
      </c>
      <c r="M5" s="173">
        <v>19035.18525368</v>
      </c>
      <c r="N5" s="173">
        <v>37289.766666672702</v>
      </c>
      <c r="O5" s="173">
        <v>45623.682600411354</v>
      </c>
      <c r="P5" s="173">
        <v>30948.633340694563</v>
      </c>
      <c r="Q5" s="173">
        <v>39158.965703230686</v>
      </c>
      <c r="R5" s="173">
        <v>67697.103412129945</v>
      </c>
      <c r="S5" s="173">
        <v>22951.96128037</v>
      </c>
      <c r="T5" s="173">
        <v>33705.57027589171</v>
      </c>
      <c r="U5" s="173">
        <v>32601.761219884553</v>
      </c>
      <c r="V5" s="173">
        <v>38054.705206704086</v>
      </c>
      <c r="W5" s="173">
        <v>23686.711898026497</v>
      </c>
      <c r="X5" s="173">
        <v>7440.7922635533696</v>
      </c>
      <c r="Y5" s="173">
        <v>-1.0740000000000001</v>
      </c>
      <c r="Z5" s="173">
        <v>-1208.2784647148999</v>
      </c>
      <c r="AA5" s="173">
        <v>5572.8551269385189</v>
      </c>
      <c r="AB5" s="173">
        <v>2091.3267190357592</v>
      </c>
      <c r="AC5" s="173">
        <v>1721.6374413688986</v>
      </c>
      <c r="AD5" s="173">
        <v>11976.461797700003</v>
      </c>
      <c r="AE5" s="173">
        <v>9317.1066994665653</v>
      </c>
      <c r="AF5" s="173">
        <v>6003.515537850737</v>
      </c>
      <c r="AG5" s="173">
        <v>721.73089671000002</v>
      </c>
      <c r="AH5" s="173">
        <v>6542.7912977393808</v>
      </c>
      <c r="AI5" s="173">
        <v>7343.8501616502535</v>
      </c>
      <c r="AJ5" s="173">
        <v>6918.9818798216575</v>
      </c>
      <c r="AK5" s="173">
        <v>515.86530303999996</v>
      </c>
      <c r="AL5" s="173">
        <v>368.25615885769997</v>
      </c>
      <c r="AM5" s="173">
        <v>582.48283836409996</v>
      </c>
      <c r="AN5" s="173">
        <v>742.55170063000003</v>
      </c>
      <c r="AO5" s="173">
        <v>1047.9026780906781</v>
      </c>
      <c r="AP5" s="173">
        <v>363.65130156000004</v>
      </c>
      <c r="AQ5" s="173">
        <v>1226.8113091089997</v>
      </c>
      <c r="AR5" s="173">
        <v>2121.0722544080236</v>
      </c>
      <c r="AS5" s="173">
        <v>1364.9094851228999</v>
      </c>
      <c r="AT5" s="173">
        <v>1112.4179999999999</v>
      </c>
      <c r="AU5" s="173">
        <v>678.05623700000001</v>
      </c>
      <c r="AV5" s="173">
        <v>-15.507584679999942</v>
      </c>
      <c r="AW5" s="173">
        <v>735.35596999999996</v>
      </c>
      <c r="AX5" s="173">
        <v>1157.5085084055968</v>
      </c>
      <c r="AY5" s="173">
        <v>764.98741938063768</v>
      </c>
      <c r="AZ5" s="173">
        <v>419.60114948000006</v>
      </c>
      <c r="BA5" s="173">
        <v>95.368054299999955</v>
      </c>
      <c r="BB5" s="173">
        <v>1554.2820920371828</v>
      </c>
      <c r="BC5" s="173">
        <v>2184.927427330741</v>
      </c>
      <c r="BD5" s="173">
        <v>2447.3627941048685</v>
      </c>
      <c r="BE5" s="173">
        <v>1234.5927943499998</v>
      </c>
    </row>
    <row r="6" spans="2:57" x14ac:dyDescent="0.55000000000000004">
      <c r="B6" s="174" t="s">
        <v>121</v>
      </c>
      <c r="C6" s="140" t="s">
        <v>122</v>
      </c>
      <c r="D6" s="173">
        <v>14694.02292799</v>
      </c>
      <c r="E6" s="173">
        <v>15637.377054</v>
      </c>
      <c r="F6" s="173">
        <v>27056.996728519996</v>
      </c>
      <c r="G6" s="173">
        <v>34128.59489652</v>
      </c>
      <c r="H6" s="173">
        <v>10042.368398000001</v>
      </c>
      <c r="I6" s="173">
        <v>22581.662531999998</v>
      </c>
      <c r="J6" s="173">
        <v>10899.158068000001</v>
      </c>
      <c r="K6" s="173">
        <v>12944.694267999999</v>
      </c>
      <c r="L6" s="173">
        <v>14917.566922</v>
      </c>
      <c r="M6" s="173">
        <v>11621.357273</v>
      </c>
      <c r="N6" s="173">
        <v>26225.861340160001</v>
      </c>
      <c r="O6" s="173">
        <v>24346.51223452</v>
      </c>
      <c r="P6" s="173">
        <v>14089.98018972</v>
      </c>
      <c r="Q6" s="173">
        <v>19287.936300279998</v>
      </c>
      <c r="R6" s="173">
        <v>38115.852615720003</v>
      </c>
      <c r="S6" s="173">
        <v>14769.01296593</v>
      </c>
      <c r="T6" s="173">
        <v>19402.575716159998</v>
      </c>
      <c r="U6" s="173">
        <v>18366.705959239996</v>
      </c>
      <c r="V6" s="173">
        <v>23542.489832220002</v>
      </c>
      <c r="W6" s="173">
        <v>13581.525414340002</v>
      </c>
      <c r="X6" s="173">
        <v>4296.4581579999995</v>
      </c>
      <c r="Y6" s="173">
        <v>262.46800000000002</v>
      </c>
      <c r="Z6" s="173">
        <v>502.83</v>
      </c>
      <c r="AA6" s="173">
        <v>3556.2557195499999</v>
      </c>
      <c r="AB6" s="173">
        <v>1249.6944709300001</v>
      </c>
      <c r="AC6" s="173">
        <v>1217.0999999999999</v>
      </c>
      <c r="AD6" s="173">
        <v>7046.9380490800004</v>
      </c>
      <c r="AE6" s="173">
        <v>5680.5173275700008</v>
      </c>
      <c r="AF6" s="173">
        <v>3510.8461953999999</v>
      </c>
      <c r="AG6" s="173">
        <v>525</v>
      </c>
      <c r="AH6" s="173">
        <v>4395.7858858999989</v>
      </c>
      <c r="AI6" s="173">
        <v>4875.7016795399995</v>
      </c>
      <c r="AJ6" s="173">
        <v>3623.6781619099997</v>
      </c>
      <c r="AK6" s="173">
        <v>557.45606728999996</v>
      </c>
      <c r="AL6" s="173">
        <v>350</v>
      </c>
      <c r="AM6" s="173">
        <v>834.33843167999999</v>
      </c>
      <c r="AN6" s="173">
        <v>538.72199999999998</v>
      </c>
      <c r="AO6" s="173">
        <v>759.44674679999991</v>
      </c>
      <c r="AP6" s="173">
        <v>233.33283</v>
      </c>
      <c r="AQ6" s="173">
        <v>867.99380000000008</v>
      </c>
      <c r="AR6" s="173">
        <v>946.11519999999996</v>
      </c>
      <c r="AS6" s="173">
        <v>1000</v>
      </c>
      <c r="AT6" s="173">
        <v>890.42399999999998</v>
      </c>
      <c r="AU6" s="173">
        <v>848.10599999999999</v>
      </c>
      <c r="AV6" s="173">
        <v>690.47280000000001</v>
      </c>
      <c r="AW6" s="173">
        <v>1082.5566100000001</v>
      </c>
      <c r="AX6" s="173">
        <v>948.875</v>
      </c>
      <c r="AY6" s="173">
        <v>610.20000000000005</v>
      </c>
      <c r="AZ6" s="173">
        <v>818.91140000000007</v>
      </c>
      <c r="BA6" s="173">
        <v>935.06949999999995</v>
      </c>
      <c r="BB6" s="173">
        <v>1012.176</v>
      </c>
      <c r="BC6" s="173">
        <v>1183.4709599999999</v>
      </c>
      <c r="BD6" s="173">
        <v>1351.55284794</v>
      </c>
      <c r="BE6" s="173">
        <v>1121.4517303499999</v>
      </c>
    </row>
    <row r="7" spans="2:57" x14ac:dyDescent="0.55000000000000004">
      <c r="B7" s="174"/>
      <c r="C7" s="140" t="s">
        <v>300</v>
      </c>
      <c r="D7" s="173">
        <v>0</v>
      </c>
      <c r="E7" s="173">
        <v>0</v>
      </c>
      <c r="F7" s="173">
        <v>0</v>
      </c>
      <c r="G7" s="173">
        <v>0</v>
      </c>
      <c r="H7" s="173">
        <v>0</v>
      </c>
      <c r="I7" s="173">
        <v>0</v>
      </c>
      <c r="J7" s="173">
        <v>0</v>
      </c>
      <c r="K7" s="173">
        <v>0</v>
      </c>
      <c r="L7" s="173">
        <v>0</v>
      </c>
      <c r="M7" s="173">
        <v>0</v>
      </c>
      <c r="N7" s="173">
        <v>0</v>
      </c>
      <c r="O7" s="173">
        <v>0</v>
      </c>
      <c r="P7" s="173">
        <v>0</v>
      </c>
      <c r="Q7" s="173">
        <v>0</v>
      </c>
      <c r="R7" s="173">
        <v>0</v>
      </c>
      <c r="S7" s="173">
        <v>0</v>
      </c>
      <c r="T7" s="173">
        <v>0</v>
      </c>
      <c r="U7" s="173">
        <v>0</v>
      </c>
      <c r="V7" s="173">
        <v>0</v>
      </c>
      <c r="W7" s="173">
        <v>0</v>
      </c>
      <c r="X7" s="173">
        <v>0</v>
      </c>
      <c r="Y7" s="173">
        <v>87.087999999999994</v>
      </c>
      <c r="Z7" s="173">
        <v>0</v>
      </c>
      <c r="AA7" s="173">
        <v>0</v>
      </c>
      <c r="AB7" s="173">
        <v>0</v>
      </c>
      <c r="AC7" s="173">
        <v>0</v>
      </c>
      <c r="AD7" s="173">
        <v>0</v>
      </c>
      <c r="AE7" s="173">
        <v>0</v>
      </c>
      <c r="AF7" s="173">
        <v>0</v>
      </c>
      <c r="AG7" s="173">
        <v>0</v>
      </c>
      <c r="AH7" s="173">
        <v>0</v>
      </c>
      <c r="AI7" s="173">
        <v>0</v>
      </c>
      <c r="AJ7" s="173">
        <v>0</v>
      </c>
      <c r="AK7" s="173">
        <v>0</v>
      </c>
      <c r="AL7" s="173">
        <v>0</v>
      </c>
      <c r="AM7" s="173">
        <v>0</v>
      </c>
      <c r="AN7" s="173">
        <v>0</v>
      </c>
      <c r="AO7" s="173">
        <v>48.364100000000001</v>
      </c>
      <c r="AP7" s="173">
        <v>0</v>
      </c>
      <c r="AQ7" s="173">
        <v>0</v>
      </c>
      <c r="AR7" s="173">
        <v>0</v>
      </c>
      <c r="AS7" s="173">
        <v>0</v>
      </c>
      <c r="AT7" s="173">
        <v>0</v>
      </c>
      <c r="AU7" s="173">
        <v>0</v>
      </c>
      <c r="AV7" s="173">
        <v>0</v>
      </c>
      <c r="AW7" s="173">
        <v>0</v>
      </c>
      <c r="AX7" s="173">
        <v>0</v>
      </c>
      <c r="AY7" s="173">
        <v>0</v>
      </c>
      <c r="AZ7" s="173">
        <v>0</v>
      </c>
      <c r="BA7" s="173">
        <v>0</v>
      </c>
      <c r="BB7" s="173">
        <v>0</v>
      </c>
      <c r="BC7" s="173">
        <v>0</v>
      </c>
      <c r="BD7" s="173">
        <v>0</v>
      </c>
      <c r="BE7" s="173">
        <v>0</v>
      </c>
    </row>
    <row r="8" spans="2:57" x14ac:dyDescent="0.55000000000000004">
      <c r="B8" s="174"/>
      <c r="C8" s="140" t="s">
        <v>301</v>
      </c>
      <c r="D8" s="173">
        <v>0</v>
      </c>
      <c r="E8" s="173">
        <v>0</v>
      </c>
      <c r="F8" s="173">
        <v>0</v>
      </c>
      <c r="G8" s="173">
        <v>0</v>
      </c>
      <c r="H8" s="173">
        <v>0</v>
      </c>
      <c r="I8" s="173">
        <v>0</v>
      </c>
      <c r="J8" s="173">
        <v>0</v>
      </c>
      <c r="K8" s="173">
        <v>0</v>
      </c>
      <c r="L8" s="173">
        <v>0</v>
      </c>
      <c r="M8" s="173">
        <v>0</v>
      </c>
      <c r="N8" s="173">
        <v>0</v>
      </c>
      <c r="O8" s="173">
        <v>0</v>
      </c>
      <c r="P8" s="173">
        <v>0</v>
      </c>
      <c r="Q8" s="173">
        <v>0</v>
      </c>
      <c r="R8" s="173">
        <v>0</v>
      </c>
      <c r="S8" s="173">
        <v>0</v>
      </c>
      <c r="T8" s="173">
        <v>0</v>
      </c>
      <c r="U8" s="173">
        <v>0</v>
      </c>
      <c r="V8" s="173">
        <v>0</v>
      </c>
      <c r="W8" s="173">
        <v>0</v>
      </c>
      <c r="X8" s="173">
        <v>0</v>
      </c>
      <c r="Y8" s="173">
        <v>0</v>
      </c>
      <c r="Z8" s="173">
        <v>0</v>
      </c>
      <c r="AA8" s="173">
        <v>0</v>
      </c>
      <c r="AB8" s="173">
        <v>0</v>
      </c>
      <c r="AC8" s="173">
        <v>0</v>
      </c>
      <c r="AD8" s="173">
        <v>0</v>
      </c>
      <c r="AE8" s="173">
        <v>0</v>
      </c>
      <c r="AF8" s="173">
        <v>0</v>
      </c>
      <c r="AG8" s="173">
        <v>0</v>
      </c>
      <c r="AH8" s="173">
        <v>0</v>
      </c>
      <c r="AI8" s="173">
        <v>0</v>
      </c>
      <c r="AJ8" s="173">
        <v>0</v>
      </c>
      <c r="AK8" s="173">
        <v>0</v>
      </c>
      <c r="AL8" s="173">
        <v>0</v>
      </c>
      <c r="AM8" s="173">
        <v>0</v>
      </c>
      <c r="AN8" s="173">
        <v>0</v>
      </c>
      <c r="AO8" s="173">
        <v>0</v>
      </c>
      <c r="AP8" s="173">
        <v>0</v>
      </c>
      <c r="AQ8" s="173">
        <v>0</v>
      </c>
      <c r="AR8" s="173">
        <v>0</v>
      </c>
      <c r="AS8" s="173">
        <v>0</v>
      </c>
      <c r="AT8" s="173">
        <v>0</v>
      </c>
      <c r="AU8" s="173">
        <v>0</v>
      </c>
      <c r="AV8" s="173">
        <v>0</v>
      </c>
      <c r="AW8" s="173">
        <v>0</v>
      </c>
      <c r="AX8" s="173">
        <v>0</v>
      </c>
      <c r="AY8" s="173">
        <v>0</v>
      </c>
      <c r="AZ8" s="173">
        <v>0</v>
      </c>
      <c r="BA8" s="173">
        <v>0</v>
      </c>
      <c r="BB8" s="173">
        <v>0</v>
      </c>
      <c r="BC8" s="173">
        <v>0</v>
      </c>
      <c r="BD8" s="173">
        <v>0</v>
      </c>
      <c r="BE8" s="173">
        <v>0</v>
      </c>
    </row>
    <row r="9" spans="2:57" x14ac:dyDescent="0.55000000000000004">
      <c r="B9" s="174" t="s">
        <v>121</v>
      </c>
      <c r="C9" s="140" t="s">
        <v>302</v>
      </c>
      <c r="D9" s="173">
        <v>8823.4513316569646</v>
      </c>
      <c r="E9" s="173">
        <v>12716.708831514252</v>
      </c>
      <c r="F9" s="173">
        <v>16588.110005533195</v>
      </c>
      <c r="G9" s="173">
        <v>13726.479925592894</v>
      </c>
      <c r="H9" s="173">
        <v>7189.1728917208038</v>
      </c>
      <c r="I9" s="173">
        <v>7491.9573979999996</v>
      </c>
      <c r="J9" s="173">
        <v>4541.0114331176928</v>
      </c>
      <c r="K9" s="173">
        <v>7716.2473860816754</v>
      </c>
      <c r="L9" s="173">
        <v>5662.9882842400002</v>
      </c>
      <c r="M9" s="173">
        <v>3301.8344830000001</v>
      </c>
      <c r="N9" s="173">
        <v>6233.1522205339124</v>
      </c>
      <c r="O9" s="173">
        <v>7316.2621904093821</v>
      </c>
      <c r="P9" s="173">
        <v>5805.2072686917809</v>
      </c>
      <c r="Q9" s="173">
        <v>10467.775290329837</v>
      </c>
      <c r="R9" s="173">
        <v>13800.595063764351</v>
      </c>
      <c r="S9" s="173">
        <v>3925.49195637</v>
      </c>
      <c r="T9" s="173">
        <v>6280.5295987313812</v>
      </c>
      <c r="U9" s="173">
        <v>6066.4682989659932</v>
      </c>
      <c r="V9" s="173">
        <v>5314.0789490668185</v>
      </c>
      <c r="W9" s="173">
        <v>3869.3270000000002</v>
      </c>
      <c r="X9" s="173">
        <v>1506.5528500919738</v>
      </c>
      <c r="Y9" s="173">
        <v>108.17400000000001</v>
      </c>
      <c r="Z9" s="173">
        <v>17.24759916</v>
      </c>
      <c r="AA9" s="173">
        <v>896.78569746120638</v>
      </c>
      <c r="AB9" s="173">
        <v>267.63882939435177</v>
      </c>
      <c r="AC9" s="173">
        <v>316.72335334589428</v>
      </c>
      <c r="AD9" s="173">
        <v>2019.8845740900001</v>
      </c>
      <c r="AE9" s="173">
        <v>1596.8682576433268</v>
      </c>
      <c r="AF9" s="173">
        <v>991.68199688252184</v>
      </c>
      <c r="AG9" s="173">
        <v>75.003856990000003</v>
      </c>
      <c r="AH9" s="173">
        <v>839.49817632516022</v>
      </c>
      <c r="AI9" s="173">
        <v>1270.05062701</v>
      </c>
      <c r="AJ9" s="173">
        <v>1142.7918583399999</v>
      </c>
      <c r="AK9" s="173">
        <v>83.603277860000006</v>
      </c>
      <c r="AL9" s="173">
        <v>9.6195830400000002</v>
      </c>
      <c r="AM9" s="173">
        <v>64.645026669999993</v>
      </c>
      <c r="AN9" s="173">
        <v>25.845620699999998</v>
      </c>
      <c r="AO9" s="173">
        <v>247.22526437530001</v>
      </c>
      <c r="AP9" s="173">
        <v>246.84820999999999</v>
      </c>
      <c r="AQ9" s="173">
        <v>431.87694581999995</v>
      </c>
      <c r="AR9" s="173">
        <v>260.9544829552413</v>
      </c>
      <c r="AS9" s="173">
        <v>285.98450347057997</v>
      </c>
      <c r="AT9" s="173">
        <v>243.126</v>
      </c>
      <c r="AU9" s="173">
        <v>75.246015999999997</v>
      </c>
      <c r="AV9" s="173">
        <v>184.34872772</v>
      </c>
      <c r="AW9" s="173">
        <v>267.14715999999999</v>
      </c>
      <c r="AX9" s="173">
        <v>194.64104260515501</v>
      </c>
      <c r="AY9" s="173">
        <v>24.885319414036008</v>
      </c>
      <c r="AZ9" s="173">
        <v>97.164621949999997</v>
      </c>
      <c r="BA9" s="173">
        <v>343.19716</v>
      </c>
      <c r="BB9" s="173">
        <v>213.74087181945305</v>
      </c>
      <c r="BC9" s="173">
        <v>447.95299</v>
      </c>
      <c r="BD9" s="173">
        <v>423.51047553117132</v>
      </c>
      <c r="BE9" s="173">
        <v>172.600785</v>
      </c>
    </row>
    <row r="10" spans="2:57" x14ac:dyDescent="0.55000000000000004">
      <c r="B10" s="174"/>
      <c r="C10" s="140" t="s">
        <v>303</v>
      </c>
      <c r="D10" s="173">
        <v>0</v>
      </c>
      <c r="E10" s="173">
        <v>0</v>
      </c>
      <c r="F10" s="173">
        <v>0</v>
      </c>
      <c r="G10" s="173">
        <v>0</v>
      </c>
      <c r="H10" s="173">
        <v>0</v>
      </c>
      <c r="I10" s="173">
        <v>527.27673300000004</v>
      </c>
      <c r="J10" s="173">
        <v>0</v>
      </c>
      <c r="K10" s="173">
        <v>238.46988368999999</v>
      </c>
      <c r="L10" s="173">
        <v>0</v>
      </c>
      <c r="M10" s="173">
        <v>30.88176468</v>
      </c>
      <c r="N10" s="173">
        <v>0</v>
      </c>
      <c r="O10" s="173">
        <v>0</v>
      </c>
      <c r="P10" s="173">
        <v>0</v>
      </c>
      <c r="Q10" s="173">
        <v>0</v>
      </c>
      <c r="R10" s="173">
        <v>0</v>
      </c>
      <c r="S10" s="173">
        <v>0</v>
      </c>
      <c r="T10" s="173">
        <v>0</v>
      </c>
      <c r="U10" s="173">
        <v>0</v>
      </c>
      <c r="V10" s="173">
        <v>0</v>
      </c>
      <c r="W10" s="173">
        <v>0</v>
      </c>
      <c r="X10" s="173">
        <v>0</v>
      </c>
      <c r="Y10" s="173">
        <v>10.101000000000001</v>
      </c>
      <c r="Z10" s="173">
        <v>0</v>
      </c>
      <c r="AA10" s="173">
        <v>0</v>
      </c>
      <c r="AB10" s="173">
        <v>9.075470150000001</v>
      </c>
      <c r="AC10" s="173">
        <v>0</v>
      </c>
      <c r="AD10" s="173">
        <v>0</v>
      </c>
      <c r="AE10" s="173">
        <v>0</v>
      </c>
      <c r="AF10" s="173">
        <v>0</v>
      </c>
      <c r="AG10" s="173">
        <v>23.921253760000003</v>
      </c>
      <c r="AH10" s="173">
        <v>0</v>
      </c>
      <c r="AI10" s="173">
        <v>0</v>
      </c>
      <c r="AJ10" s="173">
        <v>0</v>
      </c>
      <c r="AK10" s="173">
        <v>0</v>
      </c>
      <c r="AL10" s="173">
        <v>0</v>
      </c>
      <c r="AM10" s="173">
        <v>0</v>
      </c>
      <c r="AN10" s="173">
        <v>1.80858E-3</v>
      </c>
      <c r="AO10" s="173">
        <v>51.100366889999997</v>
      </c>
      <c r="AP10" s="173">
        <v>2.4773400000000003</v>
      </c>
      <c r="AQ10" s="173">
        <v>22.399272109999998</v>
      </c>
      <c r="AR10" s="173">
        <v>2.4755479999999999</v>
      </c>
      <c r="AS10" s="173">
        <v>0</v>
      </c>
      <c r="AT10" s="173">
        <v>14.948</v>
      </c>
      <c r="AU10" s="173">
        <v>0</v>
      </c>
      <c r="AV10" s="173">
        <v>0</v>
      </c>
      <c r="AW10" s="173">
        <v>0</v>
      </c>
      <c r="AX10" s="173">
        <v>0.443</v>
      </c>
      <c r="AY10" s="173">
        <v>10.54071946</v>
      </c>
      <c r="AZ10" s="173">
        <v>19.70328554</v>
      </c>
      <c r="BA10" s="173">
        <v>2.6115599999999999</v>
      </c>
      <c r="BB10" s="173">
        <v>0</v>
      </c>
      <c r="BC10" s="173">
        <v>0</v>
      </c>
      <c r="BD10" s="173">
        <v>0</v>
      </c>
      <c r="BE10" s="173">
        <v>1.140765</v>
      </c>
    </row>
    <row r="11" spans="2:57" x14ac:dyDescent="0.55000000000000004">
      <c r="B11" s="174"/>
      <c r="C11" s="140" t="s">
        <v>304</v>
      </c>
      <c r="D11" s="173">
        <v>-339.62980073726021</v>
      </c>
      <c r="E11" s="173">
        <v>-487.64387720229649</v>
      </c>
      <c r="F11" s="173">
        <v>4773.0589112421039</v>
      </c>
      <c r="G11" s="173">
        <v>491.35646187566948</v>
      </c>
      <c r="H11" s="173">
        <v>1993.3262024831492</v>
      </c>
      <c r="I11" s="173">
        <v>-7097.5492898549319</v>
      </c>
      <c r="J11" s="173">
        <v>1174.0955248535674</v>
      </c>
      <c r="K11" s="173">
        <v>4889.9362438246308</v>
      </c>
      <c r="L11" s="173">
        <v>-2648.3128873200003</v>
      </c>
      <c r="M11" s="173">
        <v>1072.935776</v>
      </c>
      <c r="N11" s="173">
        <v>-2794.0206145593816</v>
      </c>
      <c r="O11" s="173">
        <v>3005.3720530349788</v>
      </c>
      <c r="P11" s="173">
        <v>1862.7872457199212</v>
      </c>
      <c r="Q11" s="173">
        <v>2877.9756163352445</v>
      </c>
      <c r="R11" s="173">
        <v>5381.2283101350922</v>
      </c>
      <c r="S11" s="173">
        <v>775.45220610000001</v>
      </c>
      <c r="T11" s="173">
        <v>2780.8116445592791</v>
      </c>
      <c r="U11" s="173">
        <v>1909.5738319085913</v>
      </c>
      <c r="V11" s="173">
        <v>1045.1075597048778</v>
      </c>
      <c r="W11" s="173">
        <v>4115.7625064099993</v>
      </c>
      <c r="X11" s="173">
        <v>769.08787003489545</v>
      </c>
      <c r="Y11" s="173">
        <v>-481.16300000000001</v>
      </c>
      <c r="Z11" s="173">
        <v>-1761.9503375549</v>
      </c>
      <c r="AA11" s="173">
        <v>298.30276144339643</v>
      </c>
      <c r="AB11" s="173">
        <v>26.067970612016182</v>
      </c>
      <c r="AC11" s="173">
        <v>154.80438479748071</v>
      </c>
      <c r="AD11" s="173">
        <v>1462.501585452311</v>
      </c>
      <c r="AE11" s="173">
        <v>714.97828452631359</v>
      </c>
      <c r="AF11" s="173">
        <v>607.59491321432813</v>
      </c>
      <c r="AG11" s="173">
        <v>-23.690265509999989</v>
      </c>
      <c r="AH11" s="173">
        <v>-780.45546375199513</v>
      </c>
      <c r="AI11" s="173">
        <v>680.46081814000001</v>
      </c>
      <c r="AJ11" s="173">
        <v>431.44438000000002</v>
      </c>
      <c r="AK11" s="173">
        <v>-193.24676033628401</v>
      </c>
      <c r="AL11" s="173">
        <v>-8.4379159999999995</v>
      </c>
      <c r="AM11" s="173">
        <v>-463.24972349590007</v>
      </c>
      <c r="AN11" s="173">
        <v>152.57094923</v>
      </c>
      <c r="AO11" s="173">
        <v>-287.96431886779703</v>
      </c>
      <c r="AP11" s="173">
        <v>-1929.3388584400002</v>
      </c>
      <c r="AQ11" s="173">
        <v>-572.37772361000009</v>
      </c>
      <c r="AR11" s="173">
        <v>-264.915480422793</v>
      </c>
      <c r="AS11" s="173">
        <v>62.800232894231783</v>
      </c>
      <c r="AT11" s="173">
        <v>-309.51499999999999</v>
      </c>
      <c r="AU11" s="173">
        <v>-425.76407</v>
      </c>
      <c r="AV11" s="173">
        <v>-1136.8918138699999</v>
      </c>
      <c r="AW11" s="173">
        <v>-1560.1283600000002</v>
      </c>
      <c r="AX11" s="173">
        <v>-371.03726357289162</v>
      </c>
      <c r="AY11" s="173">
        <v>12.109239779999999</v>
      </c>
      <c r="AZ11" s="173">
        <v>-613.57750648999991</v>
      </c>
      <c r="BA11" s="173">
        <v>-1185.5101657</v>
      </c>
      <c r="BB11" s="173">
        <v>-1.7095497433117999</v>
      </c>
      <c r="BC11" s="173">
        <v>238.85688007814113</v>
      </c>
      <c r="BD11" s="173">
        <v>317.43034143312121</v>
      </c>
      <c r="BE11" s="173">
        <v>-199.04204999999999</v>
      </c>
    </row>
    <row r="12" spans="2:57" x14ac:dyDescent="0.55000000000000004">
      <c r="B12" s="174"/>
      <c r="C12" s="140" t="s">
        <v>305</v>
      </c>
      <c r="D12" s="173">
        <v>15396.603954749953</v>
      </c>
      <c r="E12" s="173">
        <v>25549.840467121325</v>
      </c>
      <c r="F12" s="173">
        <v>15375.071787591633</v>
      </c>
      <c r="G12" s="173">
        <v>19015.244475478321</v>
      </c>
      <c r="H12" s="173">
        <v>2562.6007336054631</v>
      </c>
      <c r="I12" s="173">
        <v>14068.353418912171</v>
      </c>
      <c r="J12" s="173">
        <v>3895.8658287592352</v>
      </c>
      <c r="K12" s="173">
        <v>6142.4817884379081</v>
      </c>
      <c r="L12" s="173">
        <v>11366.372956029998</v>
      </c>
      <c r="M12" s="173">
        <v>3008.1759569999999</v>
      </c>
      <c r="N12" s="173">
        <v>7624.7737205381727</v>
      </c>
      <c r="O12" s="173">
        <v>10955.536122446993</v>
      </c>
      <c r="P12" s="173">
        <v>9190.6555334708955</v>
      </c>
      <c r="Q12" s="173">
        <v>6525.2784962843834</v>
      </c>
      <c r="R12" s="173">
        <v>10399.427422576979</v>
      </c>
      <c r="S12" s="173">
        <v>3482.004152329956</v>
      </c>
      <c r="T12" s="173">
        <v>5241.653319934614</v>
      </c>
      <c r="U12" s="173">
        <v>6259.0131297699681</v>
      </c>
      <c r="V12" s="173">
        <v>8153.0288657680376</v>
      </c>
      <c r="W12" s="173">
        <v>2120.0969771456448</v>
      </c>
      <c r="X12" s="173">
        <v>868.69338542650041</v>
      </c>
      <c r="Y12" s="173">
        <v>12.257999999999999</v>
      </c>
      <c r="Z12" s="173">
        <v>33.594269589999122</v>
      </c>
      <c r="AA12" s="173">
        <v>821.5109484839162</v>
      </c>
      <c r="AB12" s="173">
        <v>538.84997797869039</v>
      </c>
      <c r="AC12" s="173">
        <v>33.009703325527269</v>
      </c>
      <c r="AD12" s="173">
        <v>1447.1375890776915</v>
      </c>
      <c r="AE12" s="173">
        <v>1324.7428294818158</v>
      </c>
      <c r="AF12" s="173">
        <v>893.39243224643428</v>
      </c>
      <c r="AG12" s="173">
        <v>121.49605147002424</v>
      </c>
      <c r="AH12" s="173">
        <v>2087.9626992662165</v>
      </c>
      <c r="AI12" s="173">
        <v>517.63703520064939</v>
      </c>
      <c r="AJ12" s="173">
        <v>1721.0674725690067</v>
      </c>
      <c r="AK12" s="173">
        <v>68.052718236283624</v>
      </c>
      <c r="AL12" s="173">
        <v>17.074488923699843</v>
      </c>
      <c r="AM12" s="173">
        <v>146.74910368239898</v>
      </c>
      <c r="AN12" s="173">
        <v>25.411322119999998</v>
      </c>
      <c r="AO12" s="173">
        <v>229.73051886317899</v>
      </c>
      <c r="AP12" s="173">
        <v>1810.331780690002</v>
      </c>
      <c r="AQ12" s="173">
        <v>476.91901479067263</v>
      </c>
      <c r="AR12" s="173">
        <v>1176.4425045766993</v>
      </c>
      <c r="AS12" s="173">
        <v>16.124749563061968</v>
      </c>
      <c r="AT12" s="173">
        <v>273.435</v>
      </c>
      <c r="AU12" s="173">
        <v>180.46829391520171</v>
      </c>
      <c r="AV12" s="173">
        <v>246.56270144999891</v>
      </c>
      <c r="AW12" s="173">
        <v>945.78056000000004</v>
      </c>
      <c r="AX12" s="173">
        <v>384.58672587983807</v>
      </c>
      <c r="AY12" s="173">
        <v>107.25213632130399</v>
      </c>
      <c r="AZ12" s="173">
        <v>97.399354533300595</v>
      </c>
      <c r="BA12" s="173">
        <v>-4.1999998502433302E-6</v>
      </c>
      <c r="BB12" s="173">
        <v>330.07476996104151</v>
      </c>
      <c r="BC12" s="173">
        <v>314.64659719817348</v>
      </c>
      <c r="BD12" s="173">
        <v>354.86912667589462</v>
      </c>
      <c r="BE12" s="173">
        <v>138.44156707418222</v>
      </c>
    </row>
    <row r="13" spans="2:57" x14ac:dyDescent="0.55000000000000004">
      <c r="B13" s="175">
        <v>2</v>
      </c>
      <c r="C13" s="176" t="s">
        <v>126</v>
      </c>
      <c r="D13" s="173">
        <v>3495.6313648307109</v>
      </c>
      <c r="E13" s="173">
        <v>5060</v>
      </c>
      <c r="F13" s="173">
        <v>12214.308000000001</v>
      </c>
      <c r="G13" s="173">
        <v>12835</v>
      </c>
      <c r="H13" s="173">
        <v>2400</v>
      </c>
      <c r="I13" s="173">
        <v>8048.9799249399994</v>
      </c>
      <c r="J13" s="173">
        <v>13278.214572659999</v>
      </c>
      <c r="K13" s="173">
        <v>6603.6132823400003</v>
      </c>
      <c r="L13" s="173">
        <v>12752.258</v>
      </c>
      <c r="M13" s="173">
        <v>7425.0460000000003</v>
      </c>
      <c r="N13" s="173">
        <v>24401</v>
      </c>
      <c r="O13" s="173">
        <v>8567.1799918699999</v>
      </c>
      <c r="P13" s="173">
        <v>20431.520812077266</v>
      </c>
      <c r="Q13" s="173">
        <v>23734.823275487659</v>
      </c>
      <c r="R13" s="173">
        <v>24088.984844910003</v>
      </c>
      <c r="S13" s="173">
        <v>6012.6661106300007</v>
      </c>
      <c r="T13" s="173">
        <v>12369.406735940609</v>
      </c>
      <c r="U13" s="173">
        <v>15974.842056039999</v>
      </c>
      <c r="V13" s="173">
        <v>8542.1694078799992</v>
      </c>
      <c r="W13" s="173">
        <v>11508.616</v>
      </c>
      <c r="X13" s="173">
        <v>995.08374673999992</v>
      </c>
      <c r="Y13" s="173">
        <v>0</v>
      </c>
      <c r="Z13" s="173">
        <v>0</v>
      </c>
      <c r="AA13" s="173">
        <v>747.21203812703391</v>
      </c>
      <c r="AB13" s="173">
        <v>0</v>
      </c>
      <c r="AC13" s="173">
        <v>0</v>
      </c>
      <c r="AD13" s="173">
        <v>1667.7129141400001</v>
      </c>
      <c r="AE13" s="173">
        <v>997.06299157647516</v>
      </c>
      <c r="AF13" s="173">
        <v>997.10893851251842</v>
      </c>
      <c r="AG13" s="173">
        <v>0</v>
      </c>
      <c r="AH13" s="173">
        <v>1500</v>
      </c>
      <c r="AI13" s="173">
        <v>1000.3656781200001</v>
      </c>
      <c r="AJ13" s="173">
        <v>999.58898398999997</v>
      </c>
      <c r="AK13" s="173">
        <v>1.6666666399999999</v>
      </c>
      <c r="AL13" s="173">
        <v>0</v>
      </c>
      <c r="AM13" s="173">
        <v>0</v>
      </c>
      <c r="AN13" s="173">
        <v>17.083333700000001</v>
      </c>
      <c r="AO13" s="173">
        <v>0</v>
      </c>
      <c r="AP13" s="173">
        <v>0</v>
      </c>
      <c r="AQ13" s="173">
        <v>0</v>
      </c>
      <c r="AR13" s="173">
        <v>248.73083893</v>
      </c>
      <c r="AS13" s="173">
        <v>0</v>
      </c>
      <c r="AT13" s="173">
        <v>0</v>
      </c>
      <c r="AU13" s="173">
        <v>0</v>
      </c>
      <c r="AV13" s="173">
        <v>0</v>
      </c>
      <c r="AW13" s="173">
        <v>0</v>
      </c>
      <c r="AX13" s="173">
        <v>0</v>
      </c>
      <c r="AY13" s="173">
        <v>0</v>
      </c>
      <c r="AZ13" s="173">
        <v>0</v>
      </c>
      <c r="BA13" s="173">
        <v>0</v>
      </c>
      <c r="BB13" s="173">
        <v>0</v>
      </c>
      <c r="BC13" s="173">
        <v>486.76004090830975</v>
      </c>
      <c r="BD13" s="173">
        <v>500</v>
      </c>
      <c r="BE13" s="173">
        <v>0</v>
      </c>
    </row>
    <row r="14" spans="2:57" x14ac:dyDescent="0.55000000000000004">
      <c r="B14" s="174" t="s">
        <v>121</v>
      </c>
      <c r="C14" s="140" t="s">
        <v>127</v>
      </c>
      <c r="D14" s="173">
        <v>0</v>
      </c>
      <c r="E14" s="173">
        <v>0</v>
      </c>
      <c r="F14" s="173">
        <v>0</v>
      </c>
      <c r="G14" s="173">
        <v>0</v>
      </c>
      <c r="H14" s="173">
        <v>0</v>
      </c>
      <c r="I14" s="173">
        <v>0</v>
      </c>
      <c r="J14" s="173">
        <v>0</v>
      </c>
      <c r="K14" s="173">
        <v>0</v>
      </c>
      <c r="L14" s="173">
        <v>0</v>
      </c>
      <c r="M14" s="173">
        <v>0</v>
      </c>
      <c r="N14" s="173">
        <v>0</v>
      </c>
      <c r="O14" s="173">
        <v>0</v>
      </c>
      <c r="P14" s="173">
        <v>391.92278722000003</v>
      </c>
      <c r="Q14" s="173">
        <v>0</v>
      </c>
      <c r="R14" s="173">
        <v>0</v>
      </c>
      <c r="S14" s="173">
        <v>41.439070869999995</v>
      </c>
      <c r="T14" s="173">
        <v>0</v>
      </c>
      <c r="U14" s="173">
        <v>0</v>
      </c>
      <c r="V14" s="173">
        <v>0</v>
      </c>
      <c r="W14" s="173">
        <v>0</v>
      </c>
      <c r="X14" s="173">
        <v>0</v>
      </c>
      <c r="Y14" s="173">
        <v>0</v>
      </c>
      <c r="Z14" s="173">
        <v>0</v>
      </c>
      <c r="AA14" s="173">
        <v>0</v>
      </c>
      <c r="AB14" s="173">
        <v>0</v>
      </c>
      <c r="AC14" s="173">
        <v>0</v>
      </c>
      <c r="AD14" s="173">
        <v>0</v>
      </c>
      <c r="AE14" s="173">
        <v>0</v>
      </c>
      <c r="AF14" s="173">
        <v>0</v>
      </c>
      <c r="AG14" s="173">
        <v>0</v>
      </c>
      <c r="AH14" s="173">
        <v>0</v>
      </c>
      <c r="AI14" s="173">
        <v>0</v>
      </c>
      <c r="AJ14" s="173">
        <v>0</v>
      </c>
      <c r="AK14" s="173">
        <v>0</v>
      </c>
      <c r="AL14" s="173">
        <v>0</v>
      </c>
      <c r="AM14" s="173">
        <v>0</v>
      </c>
      <c r="AN14" s="173">
        <v>0</v>
      </c>
      <c r="AO14" s="173">
        <v>0</v>
      </c>
      <c r="AP14" s="173">
        <v>0</v>
      </c>
      <c r="AQ14" s="173">
        <v>0</v>
      </c>
      <c r="AR14" s="173">
        <v>0</v>
      </c>
      <c r="AS14" s="173">
        <v>0</v>
      </c>
      <c r="AT14" s="173">
        <v>0</v>
      </c>
      <c r="AU14" s="173">
        <v>0</v>
      </c>
      <c r="AV14" s="173">
        <v>0</v>
      </c>
      <c r="AW14" s="173">
        <v>0</v>
      </c>
      <c r="AX14" s="173">
        <v>0</v>
      </c>
      <c r="AY14" s="173">
        <v>0</v>
      </c>
      <c r="AZ14" s="173">
        <v>0</v>
      </c>
      <c r="BA14" s="173">
        <v>0</v>
      </c>
      <c r="BB14" s="173">
        <v>0</v>
      </c>
      <c r="BC14" s="173">
        <v>0</v>
      </c>
      <c r="BD14" s="173">
        <v>0</v>
      </c>
      <c r="BE14" s="173">
        <v>0</v>
      </c>
    </row>
    <row r="15" spans="2:57" x14ac:dyDescent="0.55000000000000004">
      <c r="B15" s="174"/>
      <c r="C15" s="140" t="s">
        <v>306</v>
      </c>
      <c r="D15" s="173">
        <v>0</v>
      </c>
      <c r="E15" s="173">
        <v>0</v>
      </c>
      <c r="F15" s="173">
        <v>0</v>
      </c>
      <c r="G15" s="173">
        <v>0</v>
      </c>
      <c r="H15" s="173">
        <v>0</v>
      </c>
      <c r="I15" s="173">
        <v>0</v>
      </c>
      <c r="J15" s="173">
        <v>300</v>
      </c>
      <c r="K15" s="173">
        <v>2.8233999999999996E-4</v>
      </c>
      <c r="L15" s="173">
        <v>0</v>
      </c>
      <c r="M15" s="173">
        <v>70.05</v>
      </c>
      <c r="N15" s="173">
        <v>9000</v>
      </c>
      <c r="O15" s="173">
        <v>1008.72</v>
      </c>
      <c r="P15" s="173">
        <v>0</v>
      </c>
      <c r="Q15" s="173">
        <v>448.32</v>
      </c>
      <c r="R15" s="173">
        <v>0</v>
      </c>
      <c r="S15" s="173">
        <v>500</v>
      </c>
      <c r="T15" s="173">
        <v>400</v>
      </c>
      <c r="U15" s="173">
        <v>0</v>
      </c>
      <c r="V15" s="173">
        <v>0</v>
      </c>
      <c r="W15" s="173">
        <v>0</v>
      </c>
      <c r="X15" s="173">
        <v>0</v>
      </c>
      <c r="Y15" s="173">
        <v>0</v>
      </c>
      <c r="Z15" s="173">
        <v>0</v>
      </c>
      <c r="AA15" s="173">
        <v>0</v>
      </c>
      <c r="AB15" s="173">
        <v>0</v>
      </c>
      <c r="AC15" s="173">
        <v>0</v>
      </c>
      <c r="AD15" s="173">
        <v>0</v>
      </c>
      <c r="AE15" s="173">
        <v>0</v>
      </c>
      <c r="AF15" s="173">
        <v>0</v>
      </c>
      <c r="AG15" s="173">
        <v>0</v>
      </c>
      <c r="AH15" s="173">
        <v>0</v>
      </c>
      <c r="AI15" s="173">
        <v>0</v>
      </c>
      <c r="AJ15" s="173">
        <v>0</v>
      </c>
      <c r="AK15" s="173">
        <v>0</v>
      </c>
      <c r="AL15" s="173">
        <v>0</v>
      </c>
      <c r="AM15" s="173">
        <v>0</v>
      </c>
      <c r="AN15" s="173">
        <v>0</v>
      </c>
      <c r="AO15" s="173">
        <v>0</v>
      </c>
      <c r="AP15" s="173">
        <v>0</v>
      </c>
      <c r="AQ15" s="173">
        <v>0</v>
      </c>
      <c r="AR15" s="173">
        <v>0</v>
      </c>
      <c r="AS15" s="173">
        <v>0</v>
      </c>
      <c r="AT15" s="173">
        <v>0</v>
      </c>
      <c r="AU15" s="173">
        <v>0</v>
      </c>
      <c r="AV15" s="173">
        <v>0</v>
      </c>
      <c r="AW15" s="173">
        <v>0</v>
      </c>
      <c r="AX15" s="173">
        <v>0</v>
      </c>
      <c r="AY15" s="173">
        <v>0</v>
      </c>
      <c r="AZ15" s="173">
        <v>0</v>
      </c>
      <c r="BA15" s="173">
        <v>0</v>
      </c>
      <c r="BB15" s="173">
        <v>0</v>
      </c>
      <c r="BC15" s="173">
        <v>0</v>
      </c>
      <c r="BD15" s="173">
        <v>0</v>
      </c>
      <c r="BE15" s="173">
        <v>0</v>
      </c>
    </row>
    <row r="16" spans="2:57" x14ac:dyDescent="0.55000000000000004">
      <c r="B16" s="177"/>
      <c r="C16" s="140" t="s">
        <v>129</v>
      </c>
      <c r="D16" s="173">
        <v>0</v>
      </c>
      <c r="E16" s="173">
        <v>0</v>
      </c>
      <c r="F16" s="173">
        <v>0</v>
      </c>
      <c r="G16" s="173">
        <v>2795</v>
      </c>
      <c r="H16" s="173">
        <v>0</v>
      </c>
      <c r="I16" s="173">
        <v>0</v>
      </c>
      <c r="J16" s="173">
        <v>0</v>
      </c>
      <c r="K16" s="173">
        <v>0</v>
      </c>
      <c r="L16" s="173">
        <v>0</v>
      </c>
      <c r="M16" s="173">
        <v>2101.5</v>
      </c>
      <c r="N16" s="173">
        <v>1401</v>
      </c>
      <c r="O16" s="173">
        <v>558.45999186999995</v>
      </c>
      <c r="P16" s="173">
        <v>5868.2408168572647</v>
      </c>
      <c r="Q16" s="173">
        <v>0</v>
      </c>
      <c r="R16" s="173">
        <v>13063.324686</v>
      </c>
      <c r="S16" s="173">
        <v>0</v>
      </c>
      <c r="T16" s="173">
        <v>2802</v>
      </c>
      <c r="U16" s="173">
        <v>4062.90005604</v>
      </c>
      <c r="V16" s="173">
        <v>0</v>
      </c>
      <c r="W16" s="173">
        <v>2101.5</v>
      </c>
      <c r="X16" s="173">
        <v>0</v>
      </c>
      <c r="Y16" s="173">
        <v>0</v>
      </c>
      <c r="Z16" s="173">
        <v>0</v>
      </c>
      <c r="AA16" s="173">
        <v>0</v>
      </c>
      <c r="AB16" s="173">
        <v>0</v>
      </c>
      <c r="AC16" s="173">
        <v>0</v>
      </c>
      <c r="AD16" s="173">
        <v>0</v>
      </c>
      <c r="AE16" s="173">
        <v>0</v>
      </c>
      <c r="AF16" s="173">
        <v>0</v>
      </c>
      <c r="AG16" s="173">
        <v>0</v>
      </c>
      <c r="AH16" s="173">
        <v>0</v>
      </c>
      <c r="AI16" s="173">
        <v>0</v>
      </c>
      <c r="AJ16" s="173">
        <v>0</v>
      </c>
      <c r="AK16" s="173">
        <v>0</v>
      </c>
      <c r="AL16" s="173">
        <v>0</v>
      </c>
      <c r="AM16" s="173">
        <v>0</v>
      </c>
      <c r="AN16" s="173">
        <v>0</v>
      </c>
      <c r="AO16" s="173">
        <v>0</v>
      </c>
      <c r="AP16" s="173">
        <v>0</v>
      </c>
      <c r="AQ16" s="173">
        <v>0</v>
      </c>
      <c r="AR16" s="173">
        <v>0</v>
      </c>
      <c r="AS16" s="173">
        <v>0</v>
      </c>
      <c r="AT16" s="173">
        <v>0</v>
      </c>
      <c r="AU16" s="173">
        <v>0</v>
      </c>
      <c r="AV16" s="173">
        <v>0</v>
      </c>
      <c r="AW16" s="173">
        <v>0</v>
      </c>
      <c r="AX16" s="173">
        <v>0</v>
      </c>
      <c r="AY16" s="173">
        <v>0</v>
      </c>
      <c r="AZ16" s="173">
        <v>0</v>
      </c>
      <c r="BA16" s="173">
        <v>0</v>
      </c>
      <c r="BB16" s="173">
        <v>0</v>
      </c>
      <c r="BC16" s="173">
        <v>0</v>
      </c>
      <c r="BD16" s="173">
        <v>0</v>
      </c>
      <c r="BE16" s="173">
        <v>0</v>
      </c>
    </row>
    <row r="17" spans="2:57" x14ac:dyDescent="0.55000000000000004">
      <c r="B17" s="177"/>
      <c r="C17" s="140" t="s">
        <v>130</v>
      </c>
      <c r="D17" s="173">
        <v>0</v>
      </c>
      <c r="E17" s="173">
        <v>60</v>
      </c>
      <c r="F17" s="173">
        <v>7.2</v>
      </c>
      <c r="G17" s="173">
        <v>0</v>
      </c>
      <c r="H17" s="173">
        <v>0</v>
      </c>
      <c r="I17" s="173">
        <v>0</v>
      </c>
      <c r="J17" s="173">
        <v>4132.95</v>
      </c>
      <c r="K17" s="173">
        <v>0</v>
      </c>
      <c r="L17" s="173">
        <v>0</v>
      </c>
      <c r="M17" s="173">
        <v>0</v>
      </c>
      <c r="N17" s="173">
        <v>0</v>
      </c>
      <c r="O17" s="173">
        <v>0</v>
      </c>
      <c r="P17" s="173">
        <v>8.7982080000001588</v>
      </c>
      <c r="Q17" s="173">
        <v>2804.6570629999997</v>
      </c>
      <c r="R17" s="173">
        <v>338.34364864000054</v>
      </c>
      <c r="S17" s="173">
        <v>0</v>
      </c>
      <c r="T17" s="173">
        <v>0</v>
      </c>
      <c r="U17" s="173">
        <v>0</v>
      </c>
      <c r="V17" s="173">
        <v>700.5</v>
      </c>
      <c r="W17" s="173">
        <v>0</v>
      </c>
      <c r="X17" s="173">
        <v>0</v>
      </c>
      <c r="Y17" s="173">
        <v>0</v>
      </c>
      <c r="Z17" s="173">
        <v>0</v>
      </c>
      <c r="AA17" s="173">
        <v>0</v>
      </c>
      <c r="AB17" s="173">
        <v>0</v>
      </c>
      <c r="AC17" s="173">
        <v>0</v>
      </c>
      <c r="AD17" s="173">
        <v>417.71291414000001</v>
      </c>
      <c r="AE17" s="173">
        <v>0</v>
      </c>
      <c r="AF17" s="173">
        <v>0</v>
      </c>
      <c r="AG17" s="173">
        <v>0</v>
      </c>
      <c r="AH17" s="173">
        <v>0</v>
      </c>
      <c r="AI17" s="173">
        <v>0.36567812</v>
      </c>
      <c r="AJ17" s="173">
        <v>0</v>
      </c>
      <c r="AK17" s="173">
        <v>1.6666666399999999</v>
      </c>
      <c r="AL17" s="173">
        <v>0</v>
      </c>
      <c r="AM17" s="173">
        <v>0</v>
      </c>
      <c r="AN17" s="173">
        <v>17.083333700000001</v>
      </c>
      <c r="AO17" s="173">
        <v>0</v>
      </c>
      <c r="AP17" s="173">
        <v>0</v>
      </c>
      <c r="AQ17" s="173">
        <v>0</v>
      </c>
      <c r="AR17" s="173">
        <v>0</v>
      </c>
      <c r="AS17" s="173">
        <v>0</v>
      </c>
      <c r="AT17" s="173">
        <v>0</v>
      </c>
      <c r="AU17" s="173">
        <v>0</v>
      </c>
      <c r="AV17" s="173">
        <v>0</v>
      </c>
      <c r="AW17" s="173">
        <v>0</v>
      </c>
      <c r="AX17" s="173" t="s">
        <v>121</v>
      </c>
      <c r="AY17" s="173">
        <v>0</v>
      </c>
      <c r="AZ17" s="173">
        <v>0</v>
      </c>
      <c r="BA17" s="173">
        <v>0</v>
      </c>
      <c r="BB17" s="173">
        <v>0</v>
      </c>
      <c r="BC17" s="173">
        <v>0</v>
      </c>
      <c r="BD17" s="173">
        <v>0</v>
      </c>
      <c r="BE17" s="173">
        <v>0</v>
      </c>
    </row>
    <row r="18" spans="2:57" x14ac:dyDescent="0.55000000000000004">
      <c r="B18" s="177"/>
      <c r="C18" s="140" t="s">
        <v>131</v>
      </c>
      <c r="D18" s="173">
        <v>3495.6313648307109</v>
      </c>
      <c r="E18" s="173">
        <v>5000</v>
      </c>
      <c r="F18" s="173">
        <v>12207.108</v>
      </c>
      <c r="G18" s="173">
        <v>10040</v>
      </c>
      <c r="H18" s="173">
        <v>2400</v>
      </c>
      <c r="I18" s="173">
        <v>8048.9799249399994</v>
      </c>
      <c r="J18" s="173">
        <v>8845.2645726600003</v>
      </c>
      <c r="K18" s="173">
        <v>6603.6130000000003</v>
      </c>
      <c r="L18" s="173">
        <v>12752.258</v>
      </c>
      <c r="M18" s="173">
        <v>5253.4960000000001</v>
      </c>
      <c r="N18" s="173">
        <v>14000</v>
      </c>
      <c r="O18" s="173">
        <v>7000</v>
      </c>
      <c r="P18" s="173">
        <v>14162.558999999999</v>
      </c>
      <c r="Q18" s="173">
        <v>20481.846212487661</v>
      </c>
      <c r="R18" s="173">
        <v>10687.31651027</v>
      </c>
      <c r="S18" s="173">
        <v>5471.2270397600005</v>
      </c>
      <c r="T18" s="173">
        <v>9167.406735940609</v>
      </c>
      <c r="U18" s="173">
        <v>11911.941999999999</v>
      </c>
      <c r="V18" s="173">
        <v>7841.6694078800001</v>
      </c>
      <c r="W18" s="173">
        <v>9407.116</v>
      </c>
      <c r="X18" s="173">
        <v>995.08374673999992</v>
      </c>
      <c r="Y18" s="173">
        <v>0</v>
      </c>
      <c r="Z18" s="173">
        <v>0</v>
      </c>
      <c r="AA18" s="173">
        <v>747.21203812703391</v>
      </c>
      <c r="AB18" s="173">
        <v>0</v>
      </c>
      <c r="AC18" s="173">
        <v>0</v>
      </c>
      <c r="AD18" s="173">
        <v>1250</v>
      </c>
      <c r="AE18" s="173">
        <v>997.06299157647516</v>
      </c>
      <c r="AF18" s="173">
        <v>997.10893851251842</v>
      </c>
      <c r="AG18" s="173">
        <v>0</v>
      </c>
      <c r="AH18" s="173">
        <v>1500</v>
      </c>
      <c r="AI18" s="173">
        <v>1000</v>
      </c>
      <c r="AJ18" s="173">
        <v>999.58898398999997</v>
      </c>
      <c r="AK18" s="173">
        <v>0</v>
      </c>
      <c r="AL18" s="173">
        <v>0</v>
      </c>
      <c r="AM18" s="173">
        <v>0</v>
      </c>
      <c r="AN18" s="173">
        <v>0</v>
      </c>
      <c r="AO18" s="173">
        <v>0</v>
      </c>
      <c r="AP18" s="173">
        <v>0</v>
      </c>
      <c r="AQ18" s="173">
        <v>0</v>
      </c>
      <c r="AR18" s="173">
        <v>248.73083893</v>
      </c>
      <c r="AS18" s="173">
        <v>0</v>
      </c>
      <c r="AT18" s="173">
        <v>0</v>
      </c>
      <c r="AU18" s="173">
        <v>0</v>
      </c>
      <c r="AV18" s="173">
        <v>0</v>
      </c>
      <c r="AW18" s="173">
        <v>0</v>
      </c>
      <c r="AX18" s="173">
        <v>0</v>
      </c>
      <c r="AY18" s="173">
        <v>0</v>
      </c>
      <c r="AZ18" s="173">
        <v>0</v>
      </c>
      <c r="BA18" s="173">
        <v>0</v>
      </c>
      <c r="BB18" s="173">
        <v>0</v>
      </c>
      <c r="BC18" s="173">
        <v>486.76004090830975</v>
      </c>
      <c r="BD18" s="173">
        <v>500</v>
      </c>
      <c r="BE18" s="173">
        <v>0</v>
      </c>
    </row>
    <row r="19" spans="2:57" x14ac:dyDescent="0.55000000000000004">
      <c r="B19" s="175">
        <v>3</v>
      </c>
      <c r="C19" s="176" t="s">
        <v>132</v>
      </c>
      <c r="D19" s="173">
        <v>326891.30560625438</v>
      </c>
      <c r="E19" s="173">
        <v>497776.7602473725</v>
      </c>
      <c r="F19" s="173">
        <v>536999.97887344949</v>
      </c>
      <c r="G19" s="173">
        <v>474178.5188038206</v>
      </c>
      <c r="H19" s="173">
        <v>129390.25570415461</v>
      </c>
      <c r="I19" s="173">
        <v>317725.47411726502</v>
      </c>
      <c r="J19" s="173">
        <v>200583.94699636148</v>
      </c>
      <c r="K19" s="173">
        <v>300930.99748400995</v>
      </c>
      <c r="L19" s="173">
        <v>321085.18026930001</v>
      </c>
      <c r="M19" s="173">
        <v>182850.05800484066</v>
      </c>
      <c r="N19" s="173">
        <v>363309.1742469864</v>
      </c>
      <c r="O19" s="173">
        <v>369089.25120401086</v>
      </c>
      <c r="P19" s="173">
        <v>265973.99588081811</v>
      </c>
      <c r="Q19" s="173">
        <v>293105.22812108009</v>
      </c>
      <c r="R19" s="173">
        <v>583009.1876767244</v>
      </c>
      <c r="S19" s="173">
        <v>212209.17932289999</v>
      </c>
      <c r="T19" s="173">
        <v>263414.97917465068</v>
      </c>
      <c r="U19" s="173">
        <v>281384.74653924129</v>
      </c>
      <c r="V19" s="173">
        <v>341284.98036023002</v>
      </c>
      <c r="W19" s="173">
        <v>225242.89590329651</v>
      </c>
      <c r="X19" s="173">
        <v>54380.053476769994</v>
      </c>
      <c r="Y19" s="173">
        <v>412.685</v>
      </c>
      <c r="Z19" s="173">
        <v>4324.0586154219</v>
      </c>
      <c r="AA19" s="173">
        <v>54476.087792516213</v>
      </c>
      <c r="AB19" s="173">
        <v>16281.977231211164</v>
      </c>
      <c r="AC19" s="173">
        <v>6850.1126261500003</v>
      </c>
      <c r="AD19" s="173">
        <v>117424.0115655767</v>
      </c>
      <c r="AE19" s="173">
        <v>90976.029423750981</v>
      </c>
      <c r="AF19" s="173">
        <v>63647.804793167685</v>
      </c>
      <c r="AG19" s="173">
        <v>2030.8817483199782</v>
      </c>
      <c r="AH19" s="173">
        <v>61621.186624300215</v>
      </c>
      <c r="AI19" s="173">
        <v>71882.255502209984</v>
      </c>
      <c r="AJ19" s="173">
        <v>58109.273386338667</v>
      </c>
      <c r="AK19" s="173">
        <v>5589.13543192</v>
      </c>
      <c r="AL19" s="173">
        <v>1382.3219050300002</v>
      </c>
      <c r="AM19" s="173">
        <v>7287.0214808300007</v>
      </c>
      <c r="AN19" s="173">
        <v>6385.3280000000004</v>
      </c>
      <c r="AO19" s="173">
        <v>3942.3185517699999</v>
      </c>
      <c r="AP19" s="173">
        <v>251.93059999999997</v>
      </c>
      <c r="AQ19" s="173">
        <v>9318.4296811201039</v>
      </c>
      <c r="AR19" s="173">
        <v>12118.956969999999</v>
      </c>
      <c r="AS19" s="173">
        <v>8086.5117445700253</v>
      </c>
      <c r="AT19" s="173">
        <v>5906.6620000000003</v>
      </c>
      <c r="AU19" s="173">
        <v>7262.1779900000001</v>
      </c>
      <c r="AV19" s="173">
        <v>2881.0071923100004</v>
      </c>
      <c r="AW19" s="173">
        <v>7262.0410000000002</v>
      </c>
      <c r="AX19" s="173">
        <v>7626.1386890191998</v>
      </c>
      <c r="AY19" s="173">
        <v>3218.3408528</v>
      </c>
      <c r="AZ19" s="173">
        <v>2823.1391460399996</v>
      </c>
      <c r="BA19" s="173">
        <v>27.032217599999999</v>
      </c>
      <c r="BB19" s="173">
        <v>8267.0999043000029</v>
      </c>
      <c r="BC19" s="173">
        <v>20631.35398489</v>
      </c>
      <c r="BD19" s="173">
        <v>23403.663762687287</v>
      </c>
      <c r="BE19" s="173">
        <v>8707.3535900000024</v>
      </c>
    </row>
    <row r="20" spans="2:57" x14ac:dyDescent="0.55000000000000004">
      <c r="B20" s="174"/>
      <c r="C20" s="140" t="s">
        <v>133</v>
      </c>
      <c r="D20" s="173">
        <v>24033.197990842404</v>
      </c>
      <c r="E20" s="173">
        <v>36378.371659630015</v>
      </c>
      <c r="F20" s="173">
        <v>47592.771279978675</v>
      </c>
      <c r="G20" s="173">
        <v>29731.035765341898</v>
      </c>
      <c r="H20" s="173">
        <v>24103.833959268009</v>
      </c>
      <c r="I20" s="173">
        <v>16989.733696999989</v>
      </c>
      <c r="J20" s="173">
        <v>10012.657576530006</v>
      </c>
      <c r="K20" s="173">
        <v>17038.02671188</v>
      </c>
      <c r="L20" s="173">
        <v>10918.778774639997</v>
      </c>
      <c r="M20" s="173">
        <v>9396.1768817086959</v>
      </c>
      <c r="N20" s="173">
        <v>24371.617832318971</v>
      </c>
      <c r="O20" s="173">
        <v>15921.951905280002</v>
      </c>
      <c r="P20" s="173">
        <v>15077.813251328402</v>
      </c>
      <c r="Q20" s="173">
        <v>17708.403910919998</v>
      </c>
      <c r="R20" s="173">
        <v>35196.480209413443</v>
      </c>
      <c r="S20" s="173">
        <v>9112.9580638099997</v>
      </c>
      <c r="T20" s="173">
        <v>7630.5231239774002</v>
      </c>
      <c r="U20" s="173">
        <v>15764.751252835222</v>
      </c>
      <c r="V20" s="173">
        <v>16886.244299579997</v>
      </c>
      <c r="W20" s="173">
        <v>15326.274910607563</v>
      </c>
      <c r="X20" s="173">
        <v>1119.7930131586077</v>
      </c>
      <c r="Y20" s="173">
        <v>15.218999999999999</v>
      </c>
      <c r="Z20" s="173">
        <v>268.94591501999997</v>
      </c>
      <c r="AA20" s="173">
        <v>803.94597632069974</v>
      </c>
      <c r="AB20" s="173">
        <v>750.8849155116003</v>
      </c>
      <c r="AC20" s="173">
        <v>168.93721642</v>
      </c>
      <c r="AD20" s="173">
        <v>2749.0629090341977</v>
      </c>
      <c r="AE20" s="173">
        <v>1572.197624145</v>
      </c>
      <c r="AF20" s="173">
        <v>1240.7689472499994</v>
      </c>
      <c r="AG20" s="173">
        <v>35.554621949999991</v>
      </c>
      <c r="AH20" s="173">
        <v>1700.3174248728001</v>
      </c>
      <c r="AI20" s="173">
        <v>1075.6709722100002</v>
      </c>
      <c r="AJ20" s="173">
        <v>1054.8603102390005</v>
      </c>
      <c r="AK20" s="173">
        <v>101.86936143999999</v>
      </c>
      <c r="AL20" s="173">
        <v>41.990867000000001</v>
      </c>
      <c r="AM20" s="173">
        <v>165.28741790999996</v>
      </c>
      <c r="AN20" s="173">
        <v>102.05200000000001</v>
      </c>
      <c r="AO20" s="173">
        <v>102.28256211999999</v>
      </c>
      <c r="AP20" s="173">
        <v>0</v>
      </c>
      <c r="AQ20" s="173">
        <v>105.08595974000019</v>
      </c>
      <c r="AR20" s="173">
        <v>18.753350000000001</v>
      </c>
      <c r="AS20" s="173">
        <v>20.950962310000005</v>
      </c>
      <c r="AT20" s="173">
        <v>74.980999999999995</v>
      </c>
      <c r="AU20" s="173">
        <v>203.91990334000002</v>
      </c>
      <c r="AV20" s="173">
        <v>14.139491420000006</v>
      </c>
      <c r="AW20" s="173">
        <v>77.168489999999991</v>
      </c>
      <c r="AX20" s="173">
        <v>24.758887959999996</v>
      </c>
      <c r="AY20" s="173">
        <v>62.082298639999991</v>
      </c>
      <c r="AZ20" s="173">
        <v>96.72707247000001</v>
      </c>
      <c r="BA20" s="173">
        <v>0</v>
      </c>
      <c r="BB20" s="173">
        <v>67.16386</v>
      </c>
      <c r="BC20" s="173">
        <v>227.13321725000003</v>
      </c>
      <c r="BD20" s="173">
        <v>314.17202955199974</v>
      </c>
      <c r="BE20" s="173">
        <v>92.055089999999993</v>
      </c>
    </row>
    <row r="21" spans="2:57" x14ac:dyDescent="0.55000000000000004">
      <c r="B21" s="174"/>
      <c r="C21" s="140" t="s">
        <v>307</v>
      </c>
      <c r="D21" s="173">
        <v>23681.496640463403</v>
      </c>
      <c r="E21" s="173">
        <v>36210.016561510012</v>
      </c>
      <c r="F21" s="173">
        <v>40964.823264669998</v>
      </c>
      <c r="G21" s="173">
        <v>24948.509483059999</v>
      </c>
      <c r="H21" s="173">
        <v>16621.077688470006</v>
      </c>
      <c r="I21" s="173">
        <v>12873.137862269989</v>
      </c>
      <c r="J21" s="173">
        <v>9432.210543740006</v>
      </c>
      <c r="K21" s="173">
        <v>16215.516523189999</v>
      </c>
      <c r="L21" s="173">
        <v>10617.210947799997</v>
      </c>
      <c r="M21" s="173">
        <v>9127.8148863099959</v>
      </c>
      <c r="N21" s="173">
        <v>24127.898038919971</v>
      </c>
      <c r="O21" s="173">
        <v>14042.848984140002</v>
      </c>
      <c r="P21" s="173">
        <v>14578.397157410001</v>
      </c>
      <c r="Q21" s="173">
        <v>17322.206884809999</v>
      </c>
      <c r="R21" s="173">
        <v>32667.499658420013</v>
      </c>
      <c r="S21" s="173">
        <v>8784.733132469999</v>
      </c>
      <c r="T21" s="173">
        <v>7277.5296109974006</v>
      </c>
      <c r="U21" s="173">
        <v>14799.010399149998</v>
      </c>
      <c r="V21" s="173">
        <v>16564.184664439996</v>
      </c>
      <c r="W21" s="173">
        <v>14747.198044679963</v>
      </c>
      <c r="X21" s="173">
        <v>1119.7930131586077</v>
      </c>
      <c r="Y21" s="173">
        <v>15.218999999999999</v>
      </c>
      <c r="Z21" s="173">
        <v>268.94591501999997</v>
      </c>
      <c r="AA21" s="173">
        <v>803.94597632069974</v>
      </c>
      <c r="AB21" s="173">
        <v>750.8849155116003</v>
      </c>
      <c r="AC21" s="173">
        <v>168.93721642</v>
      </c>
      <c r="AD21" s="173">
        <v>2749.0249587441976</v>
      </c>
      <c r="AE21" s="173">
        <v>1572.197624145</v>
      </c>
      <c r="AF21" s="173">
        <v>1240.7689472499994</v>
      </c>
      <c r="AG21" s="173">
        <v>35.554621949999991</v>
      </c>
      <c r="AH21" s="173">
        <v>1693.1819094928001</v>
      </c>
      <c r="AI21" s="173">
        <v>1075.6709722100002</v>
      </c>
      <c r="AJ21" s="173">
        <v>1054.8526047390005</v>
      </c>
      <c r="AK21" s="173">
        <v>101.86936143999999</v>
      </c>
      <c r="AL21" s="173">
        <v>41.990867000000001</v>
      </c>
      <c r="AM21" s="173">
        <v>165.28741790999996</v>
      </c>
      <c r="AN21" s="173">
        <v>102.05200000000001</v>
      </c>
      <c r="AO21" s="173">
        <v>102.28256211999999</v>
      </c>
      <c r="AP21" s="173">
        <v>0</v>
      </c>
      <c r="AQ21" s="173">
        <v>105.08595974000019</v>
      </c>
      <c r="AR21" s="173">
        <v>18.753350000000001</v>
      </c>
      <c r="AS21" s="173">
        <v>20.950962310000005</v>
      </c>
      <c r="AT21" s="173">
        <v>74.980999999999995</v>
      </c>
      <c r="AU21" s="173">
        <v>203.91990334000002</v>
      </c>
      <c r="AV21" s="173">
        <v>14.139491420000006</v>
      </c>
      <c r="AW21" s="173">
        <v>77.168489999999991</v>
      </c>
      <c r="AX21" s="173">
        <v>24.758887959999996</v>
      </c>
      <c r="AY21" s="173">
        <v>62.082298639999991</v>
      </c>
      <c r="AZ21" s="173">
        <v>96.72707247000001</v>
      </c>
      <c r="BA21" s="173">
        <v>0</v>
      </c>
      <c r="BB21" s="173">
        <v>67.16386</v>
      </c>
      <c r="BC21" s="173">
        <v>227.13321725000003</v>
      </c>
      <c r="BD21" s="173">
        <v>314.17202955199974</v>
      </c>
      <c r="BE21" s="173">
        <v>92.055089999999993</v>
      </c>
    </row>
    <row r="22" spans="2:57" x14ac:dyDescent="0.55000000000000004">
      <c r="B22" s="174"/>
      <c r="C22" s="140" t="s">
        <v>308</v>
      </c>
      <c r="D22" s="173">
        <v>351.70135037900008</v>
      </c>
      <c r="E22" s="173">
        <v>168.35509812000004</v>
      </c>
      <c r="F22" s="173">
        <v>6627.9480153086797</v>
      </c>
      <c r="G22" s="173">
        <v>4782.5262822818995</v>
      </c>
      <c r="H22" s="173">
        <v>7482.7562707980023</v>
      </c>
      <c r="I22" s="173">
        <v>4116.5958347300002</v>
      </c>
      <c r="J22" s="173">
        <v>580.44703278999998</v>
      </c>
      <c r="K22" s="173">
        <v>822.51018869000006</v>
      </c>
      <c r="L22" s="173">
        <v>301.56782683999995</v>
      </c>
      <c r="M22" s="173">
        <v>268.3619953987</v>
      </c>
      <c r="N22" s="173">
        <v>243.71979339900003</v>
      </c>
      <c r="O22" s="173">
        <v>1879.1029211399998</v>
      </c>
      <c r="P22" s="173">
        <v>499.41609391840007</v>
      </c>
      <c r="Q22" s="173">
        <v>386.19702611000002</v>
      </c>
      <c r="R22" s="173">
        <v>2528.9805509934295</v>
      </c>
      <c r="S22" s="173">
        <v>328.22493134000001</v>
      </c>
      <c r="T22" s="173">
        <v>352.99351297999999</v>
      </c>
      <c r="U22" s="173">
        <v>965.74085368522435</v>
      </c>
      <c r="V22" s="173">
        <v>322.05963514000001</v>
      </c>
      <c r="W22" s="173">
        <v>579.07686592760001</v>
      </c>
      <c r="X22" s="173">
        <v>0</v>
      </c>
      <c r="Y22" s="173">
        <v>0</v>
      </c>
      <c r="Z22" s="173">
        <v>0</v>
      </c>
      <c r="AA22" s="173">
        <v>0</v>
      </c>
      <c r="AB22" s="173">
        <v>0</v>
      </c>
      <c r="AC22" s="173">
        <v>0</v>
      </c>
      <c r="AD22" s="173">
        <v>3.7950290000000005E-2</v>
      </c>
      <c r="AE22" s="173">
        <v>0</v>
      </c>
      <c r="AF22" s="173">
        <v>0</v>
      </c>
      <c r="AG22" s="173">
        <v>0</v>
      </c>
      <c r="AH22" s="173">
        <v>7.1355153800000002</v>
      </c>
      <c r="AI22" s="173">
        <v>0</v>
      </c>
      <c r="AJ22" s="173">
        <v>7.7054999999999997E-3</v>
      </c>
      <c r="AK22" s="173">
        <v>0</v>
      </c>
      <c r="AL22" s="173">
        <v>0</v>
      </c>
      <c r="AM22" s="173">
        <v>0</v>
      </c>
      <c r="AN22" s="173">
        <v>0</v>
      </c>
      <c r="AO22" s="173">
        <v>0</v>
      </c>
      <c r="AP22" s="173">
        <v>0</v>
      </c>
      <c r="AQ22" s="173">
        <v>0</v>
      </c>
      <c r="AR22" s="173">
        <v>0</v>
      </c>
      <c r="AS22" s="173">
        <v>0</v>
      </c>
      <c r="AT22" s="173">
        <v>0</v>
      </c>
      <c r="AU22" s="173">
        <v>0</v>
      </c>
      <c r="AV22" s="173">
        <v>0</v>
      </c>
      <c r="AW22" s="173">
        <v>0</v>
      </c>
      <c r="AX22" s="173">
        <v>0</v>
      </c>
      <c r="AY22" s="173">
        <v>0</v>
      </c>
      <c r="AZ22" s="173">
        <v>0</v>
      </c>
      <c r="BA22" s="173">
        <v>0</v>
      </c>
      <c r="BB22" s="173">
        <v>0</v>
      </c>
      <c r="BC22" s="173">
        <v>0</v>
      </c>
      <c r="BD22" s="173">
        <v>0</v>
      </c>
      <c r="BE22" s="173">
        <v>0</v>
      </c>
    </row>
    <row r="23" spans="2:57" x14ac:dyDescent="0.55000000000000004">
      <c r="B23" s="174"/>
      <c r="C23" s="140" t="s">
        <v>134</v>
      </c>
      <c r="D23" s="173">
        <v>163968.67499598998</v>
      </c>
      <c r="E23" s="173">
        <v>241963.20339089012</v>
      </c>
      <c r="F23" s="173">
        <v>201063.55159372685</v>
      </c>
      <c r="G23" s="173">
        <v>141005.5585651721</v>
      </c>
      <c r="H23" s="173">
        <v>59985.100418926908</v>
      </c>
      <c r="I23" s="173">
        <v>99772.321525355248</v>
      </c>
      <c r="J23" s="173">
        <v>63436.875416899988</v>
      </c>
      <c r="K23" s="173">
        <v>86147.049462549898</v>
      </c>
      <c r="L23" s="173">
        <v>120155.84275255998</v>
      </c>
      <c r="M23" s="173">
        <v>86003.460605318556</v>
      </c>
      <c r="N23" s="173">
        <v>120445.02759713678</v>
      </c>
      <c r="O23" s="173">
        <v>155631.16205625079</v>
      </c>
      <c r="P23" s="173">
        <v>102873.20976337911</v>
      </c>
      <c r="Q23" s="173">
        <v>102230.83235929003</v>
      </c>
      <c r="R23" s="173">
        <v>219482.68849227956</v>
      </c>
      <c r="S23" s="173">
        <v>76869.869114640009</v>
      </c>
      <c r="T23" s="173">
        <v>58031.840525494234</v>
      </c>
      <c r="U23" s="173">
        <v>106807.28379948169</v>
      </c>
      <c r="V23" s="173">
        <v>129562.87069147007</v>
      </c>
      <c r="W23" s="173">
        <v>83849.018803949002</v>
      </c>
      <c r="X23" s="173">
        <v>25271.435219751387</v>
      </c>
      <c r="Y23" s="173">
        <v>72.819999999999993</v>
      </c>
      <c r="Z23" s="173">
        <v>2641.6436541119001</v>
      </c>
      <c r="AA23" s="173">
        <v>21105.460238635496</v>
      </c>
      <c r="AB23" s="173">
        <v>6847.3995042215693</v>
      </c>
      <c r="AC23" s="173">
        <v>2362.2640871799995</v>
      </c>
      <c r="AD23" s="173">
        <v>45561.960151632542</v>
      </c>
      <c r="AE23" s="173">
        <v>41802.732824865998</v>
      </c>
      <c r="AF23" s="173">
        <v>22708.978833467696</v>
      </c>
      <c r="AG23" s="173">
        <v>290.13849367997852</v>
      </c>
      <c r="AH23" s="173">
        <v>29997.05016362742</v>
      </c>
      <c r="AI23" s="173">
        <v>31411.976930000001</v>
      </c>
      <c r="AJ23" s="173">
        <v>18973.843913589717</v>
      </c>
      <c r="AK23" s="173">
        <v>1750.0191353400005</v>
      </c>
      <c r="AL23" s="173">
        <v>467.17433876000001</v>
      </c>
      <c r="AM23" s="173">
        <v>2282.3940037299999</v>
      </c>
      <c r="AN23" s="173">
        <v>1424.712</v>
      </c>
      <c r="AO23" s="173">
        <v>784.69001398</v>
      </c>
      <c r="AP23" s="173">
        <v>32.435970000000005</v>
      </c>
      <c r="AQ23" s="173">
        <v>2353.4246525601125</v>
      </c>
      <c r="AR23" s="173">
        <v>2956.6252000000004</v>
      </c>
      <c r="AS23" s="173">
        <v>1721.2484392300275</v>
      </c>
      <c r="AT23" s="173">
        <v>1767.925</v>
      </c>
      <c r="AU23" s="173">
        <v>1649.3093266600001</v>
      </c>
      <c r="AV23" s="173">
        <v>1143.4082774100023</v>
      </c>
      <c r="AW23" s="173">
        <v>1925.59906</v>
      </c>
      <c r="AX23" s="173">
        <v>1968.0612627892001</v>
      </c>
      <c r="AY23" s="173">
        <v>844.70385162999992</v>
      </c>
      <c r="AZ23" s="173">
        <v>694.1680921699998</v>
      </c>
      <c r="BA23" s="173">
        <v>22.3071603</v>
      </c>
      <c r="BB23" s="173">
        <v>1767.1813599999998</v>
      </c>
      <c r="BC23" s="173">
        <v>5829.0823081899998</v>
      </c>
      <c r="BD23" s="173">
        <v>4010.0066524352828</v>
      </c>
      <c r="BE23" s="173">
        <v>2121.14608</v>
      </c>
    </row>
    <row r="24" spans="2:57" x14ac:dyDescent="0.55000000000000004">
      <c r="B24" s="174"/>
      <c r="C24" s="140" t="s">
        <v>307</v>
      </c>
      <c r="D24" s="173">
        <v>163941.64640378999</v>
      </c>
      <c r="E24" s="173">
        <v>241924.32515115011</v>
      </c>
      <c r="F24" s="173">
        <v>196940.5984323</v>
      </c>
      <c r="G24" s="173">
        <v>138998.26191497</v>
      </c>
      <c r="H24" s="173">
        <v>55886.048085341004</v>
      </c>
      <c r="I24" s="173">
        <v>98141.254830625257</v>
      </c>
      <c r="J24" s="173">
        <v>62887.426833483391</v>
      </c>
      <c r="K24" s="173">
        <v>85928.168456511892</v>
      </c>
      <c r="L24" s="173">
        <v>120104.46288708998</v>
      </c>
      <c r="M24" s="173">
        <v>85779.676082949954</v>
      </c>
      <c r="N24" s="173">
        <v>119858.94429487188</v>
      </c>
      <c r="O24" s="173">
        <v>154597.15534905079</v>
      </c>
      <c r="P24" s="173">
        <v>102582.35805648981</v>
      </c>
      <c r="Q24" s="173">
        <v>102228.91398822003</v>
      </c>
      <c r="R24" s="173">
        <v>218714.43045129068</v>
      </c>
      <c r="S24" s="173">
        <v>76548.831342450008</v>
      </c>
      <c r="T24" s="173">
        <v>57963.867130564235</v>
      </c>
      <c r="U24" s="173">
        <v>106459.48462278002</v>
      </c>
      <c r="V24" s="173">
        <v>129457.80798876008</v>
      </c>
      <c r="W24" s="173">
        <v>81539.081735287997</v>
      </c>
      <c r="X24" s="173">
        <v>25262.871721191386</v>
      </c>
      <c r="Y24" s="173">
        <v>72.819999999999993</v>
      </c>
      <c r="Z24" s="173">
        <v>2641.6436541119001</v>
      </c>
      <c r="AA24" s="173">
        <v>21105.460238635496</v>
      </c>
      <c r="AB24" s="173">
        <v>6847.3995042215693</v>
      </c>
      <c r="AC24" s="173">
        <v>2362.2640871799995</v>
      </c>
      <c r="AD24" s="173">
        <v>45557.773987192544</v>
      </c>
      <c r="AE24" s="173">
        <v>41802.732824865998</v>
      </c>
      <c r="AF24" s="173">
        <v>22708.978833467696</v>
      </c>
      <c r="AG24" s="173">
        <v>290.13849367997852</v>
      </c>
      <c r="AH24" s="173">
        <v>29995.331205247421</v>
      </c>
      <c r="AI24" s="173">
        <v>31411.976930000001</v>
      </c>
      <c r="AJ24" s="173">
        <v>18973.843913589717</v>
      </c>
      <c r="AK24" s="173">
        <v>1750.0191353400005</v>
      </c>
      <c r="AL24" s="173">
        <v>467.17433876000001</v>
      </c>
      <c r="AM24" s="173">
        <v>2282.3940037299999</v>
      </c>
      <c r="AN24" s="173">
        <v>1424.712</v>
      </c>
      <c r="AO24" s="173">
        <v>784.69001398</v>
      </c>
      <c r="AP24" s="173">
        <v>32.435970000000005</v>
      </c>
      <c r="AQ24" s="173">
        <v>2353.4246525601125</v>
      </c>
      <c r="AR24" s="173">
        <v>2956.6252000000004</v>
      </c>
      <c r="AS24" s="173">
        <v>1721.2484392300275</v>
      </c>
      <c r="AT24" s="173">
        <v>1767.925</v>
      </c>
      <c r="AU24" s="173">
        <v>1649.3093266600001</v>
      </c>
      <c r="AV24" s="173">
        <v>1143.4082774100023</v>
      </c>
      <c r="AW24" s="173">
        <v>1925.59906</v>
      </c>
      <c r="AX24" s="173">
        <v>1968.0612627892001</v>
      </c>
      <c r="AY24" s="173">
        <v>844.70385162999992</v>
      </c>
      <c r="AZ24" s="173">
        <v>694.1680921699998</v>
      </c>
      <c r="BA24" s="173">
        <v>22.3071603</v>
      </c>
      <c r="BB24" s="173">
        <v>1767.1813599999998</v>
      </c>
      <c r="BC24" s="173">
        <v>5829.0823081899998</v>
      </c>
      <c r="BD24" s="173">
        <v>4010.0066524352828</v>
      </c>
      <c r="BE24" s="173">
        <v>2121.14608</v>
      </c>
    </row>
    <row r="25" spans="2:57" x14ac:dyDescent="0.55000000000000004">
      <c r="B25" s="174"/>
      <c r="C25" s="140" t="s">
        <v>308</v>
      </c>
      <c r="D25" s="173">
        <v>27.028592199999999</v>
      </c>
      <c r="E25" s="173">
        <v>38.878239739999998</v>
      </c>
      <c r="F25" s="173">
        <v>4122.9531614268599</v>
      </c>
      <c r="G25" s="173">
        <v>2007.2966502021002</v>
      </c>
      <c r="H25" s="173">
        <v>4099.0523335859007</v>
      </c>
      <c r="I25" s="173">
        <v>1631.066694729996</v>
      </c>
      <c r="J25" s="173">
        <v>549.44858341660006</v>
      </c>
      <c r="K25" s="173">
        <v>218.88100603800001</v>
      </c>
      <c r="L25" s="173">
        <v>51.37986547000407</v>
      </c>
      <c r="M25" s="173">
        <v>223.78452236859997</v>
      </c>
      <c r="N25" s="173">
        <v>586.0833022649</v>
      </c>
      <c r="O25" s="173">
        <v>1034.0067071999986</v>
      </c>
      <c r="P25" s="173">
        <v>290.85170688929998</v>
      </c>
      <c r="Q25" s="173">
        <v>1.9183710700000001</v>
      </c>
      <c r="R25" s="173">
        <v>768.25804098887374</v>
      </c>
      <c r="S25" s="173">
        <v>321.03777219</v>
      </c>
      <c r="T25" s="173">
        <v>67.973394929999998</v>
      </c>
      <c r="U25" s="173">
        <v>347.79917670168328</v>
      </c>
      <c r="V25" s="173">
        <v>105.06270271</v>
      </c>
      <c r="W25" s="173">
        <v>2309.9370686610005</v>
      </c>
      <c r="X25" s="173">
        <v>8.5634985599999993</v>
      </c>
      <c r="Y25" s="173">
        <v>0</v>
      </c>
      <c r="Z25" s="173">
        <v>0</v>
      </c>
      <c r="AA25" s="173">
        <v>0</v>
      </c>
      <c r="AB25" s="173">
        <v>0</v>
      </c>
      <c r="AC25" s="173">
        <v>0</v>
      </c>
      <c r="AD25" s="173">
        <v>4.1861644400000051</v>
      </c>
      <c r="AE25" s="173">
        <v>0</v>
      </c>
      <c r="AF25" s="173">
        <v>0</v>
      </c>
      <c r="AG25" s="173">
        <v>0</v>
      </c>
      <c r="AH25" s="173">
        <v>1.7189583800000001</v>
      </c>
      <c r="AI25" s="173">
        <v>0</v>
      </c>
      <c r="AJ25" s="173">
        <v>0</v>
      </c>
      <c r="AK25" s="173">
        <v>0</v>
      </c>
      <c r="AL25" s="173">
        <v>0</v>
      </c>
      <c r="AM25" s="173">
        <v>0</v>
      </c>
      <c r="AN25" s="173">
        <v>0</v>
      </c>
      <c r="AO25" s="173">
        <v>0</v>
      </c>
      <c r="AP25" s="173">
        <v>0</v>
      </c>
      <c r="AQ25" s="173">
        <v>0</v>
      </c>
      <c r="AR25" s="173">
        <v>0</v>
      </c>
      <c r="AS25" s="173">
        <v>0</v>
      </c>
      <c r="AT25" s="173">
        <v>0</v>
      </c>
      <c r="AU25" s="173">
        <v>0</v>
      </c>
      <c r="AV25" s="173">
        <v>0</v>
      </c>
      <c r="AW25" s="173">
        <v>0</v>
      </c>
      <c r="AX25" s="173">
        <v>0</v>
      </c>
      <c r="AY25" s="173">
        <v>0</v>
      </c>
      <c r="AZ25" s="173">
        <v>0</v>
      </c>
      <c r="BA25" s="173">
        <v>0</v>
      </c>
      <c r="BB25" s="173">
        <v>0</v>
      </c>
      <c r="BC25" s="173">
        <v>0</v>
      </c>
      <c r="BD25" s="173">
        <v>0</v>
      </c>
      <c r="BE25" s="173">
        <v>0</v>
      </c>
    </row>
    <row r="26" spans="2:57" x14ac:dyDescent="0.55000000000000004">
      <c r="B26" s="174"/>
      <c r="C26" s="140" t="s">
        <v>135</v>
      </c>
      <c r="D26" s="173">
        <v>114328.992641006</v>
      </c>
      <c r="E26" s="173">
        <v>188234.02238601024</v>
      </c>
      <c r="F26" s="173">
        <v>239820.16794349198</v>
      </c>
      <c r="G26" s="173">
        <v>251023.089670485</v>
      </c>
      <c r="H26" s="173">
        <v>33270.454027307605</v>
      </c>
      <c r="I26" s="173">
        <v>164189.50343843974</v>
      </c>
      <c r="J26" s="173">
        <v>110112.78728916</v>
      </c>
      <c r="K26" s="173">
        <v>169697.51548159</v>
      </c>
      <c r="L26" s="173">
        <v>165871.33829150003</v>
      </c>
      <c r="M26" s="173">
        <v>72960.970247884019</v>
      </c>
      <c r="N26" s="173">
        <v>181459.16035651442</v>
      </c>
      <c r="O26" s="173">
        <v>164390.50004034003</v>
      </c>
      <c r="P26" s="173">
        <v>123292.973454978</v>
      </c>
      <c r="Q26" s="173">
        <v>154332.46516941002</v>
      </c>
      <c r="R26" s="173">
        <v>281319.24604660313</v>
      </c>
      <c r="S26" s="173">
        <v>106826.03499855999</v>
      </c>
      <c r="T26" s="173">
        <v>174352.46144164377</v>
      </c>
      <c r="U26" s="173">
        <v>127812.34067449927</v>
      </c>
      <c r="V26" s="173">
        <v>168670.90334449997</v>
      </c>
      <c r="W26" s="173">
        <v>107398.61436543844</v>
      </c>
      <c r="X26" s="173">
        <v>23611.608511989998</v>
      </c>
      <c r="Y26" s="173">
        <v>266.54300000000001</v>
      </c>
      <c r="Z26" s="173">
        <v>859.71590657999991</v>
      </c>
      <c r="AA26" s="173">
        <v>27614.069688270018</v>
      </c>
      <c r="AB26" s="173">
        <v>6379.8325979399933</v>
      </c>
      <c r="AC26" s="173">
        <v>3905.6144465000002</v>
      </c>
      <c r="AD26" s="173">
        <v>60007.991006169977</v>
      </c>
      <c r="AE26" s="173">
        <v>37461.210008419999</v>
      </c>
      <c r="AF26" s="173">
        <v>35291.071742729997</v>
      </c>
      <c r="AG26" s="173">
        <v>1496.9736012999997</v>
      </c>
      <c r="AH26" s="173">
        <v>23474.640983769998</v>
      </c>
      <c r="AI26" s="173">
        <v>35537.953750000001</v>
      </c>
      <c r="AJ26" s="173">
        <v>32784.664098879948</v>
      </c>
      <c r="AK26" s="173">
        <v>3024.0882749000002</v>
      </c>
      <c r="AL26" s="173">
        <v>787.85808700999996</v>
      </c>
      <c r="AM26" s="173">
        <v>3560.3694514200001</v>
      </c>
      <c r="AN26" s="173">
        <v>4355.3609999999999</v>
      </c>
      <c r="AO26" s="173">
        <v>2746.9729482399998</v>
      </c>
      <c r="AP26" s="173">
        <v>0</v>
      </c>
      <c r="AQ26" s="173">
        <v>5816.6543326499896</v>
      </c>
      <c r="AR26" s="173">
        <v>8452.7873600000003</v>
      </c>
      <c r="AS26" s="173">
        <v>5880.571001389997</v>
      </c>
      <c r="AT26" s="173">
        <v>3669.2849999999999</v>
      </c>
      <c r="AU26" s="173">
        <v>4374.7770199999995</v>
      </c>
      <c r="AV26" s="173">
        <v>1652.4671929299977</v>
      </c>
      <c r="AW26" s="173">
        <v>4898.4162100000003</v>
      </c>
      <c r="AX26" s="173">
        <v>4911.22284717</v>
      </c>
      <c r="AY26" s="173">
        <v>1971.4448613300001</v>
      </c>
      <c r="AZ26" s="173">
        <v>1762.2918361099996</v>
      </c>
      <c r="BA26" s="173">
        <v>0</v>
      </c>
      <c r="BB26" s="173">
        <v>5200.546219300003</v>
      </c>
      <c r="BC26" s="173">
        <v>13055.097009900001</v>
      </c>
      <c r="BD26" s="173">
        <v>16263.784940960004</v>
      </c>
      <c r="BE26" s="173">
        <v>5354.7017300000007</v>
      </c>
    </row>
    <row r="27" spans="2:57" x14ac:dyDescent="0.55000000000000004">
      <c r="B27" s="174"/>
      <c r="C27" s="140" t="s">
        <v>307</v>
      </c>
      <c r="D27" s="173">
        <v>113133.70264100601</v>
      </c>
      <c r="E27" s="173">
        <v>183701.92238601024</v>
      </c>
      <c r="F27" s="173">
        <v>235027.72181750997</v>
      </c>
      <c r="G27" s="173">
        <v>240994.47269877</v>
      </c>
      <c r="H27" s="173">
        <v>30497.256343750007</v>
      </c>
      <c r="I27" s="173">
        <v>149570.61950711976</v>
      </c>
      <c r="J27" s="173">
        <v>100862.75567976</v>
      </c>
      <c r="K27" s="173">
        <v>165331.91585352001</v>
      </c>
      <c r="L27" s="173">
        <v>165865.65387410001</v>
      </c>
      <c r="M27" s="173">
        <v>71704.090450980017</v>
      </c>
      <c r="N27" s="173">
        <v>173420.50323711042</v>
      </c>
      <c r="O27" s="173">
        <v>161130.87517342003</v>
      </c>
      <c r="P27" s="173">
        <v>122917.56350127999</v>
      </c>
      <c r="Q27" s="173">
        <v>154332.46516941002</v>
      </c>
      <c r="R27" s="173">
        <v>277239.13479046023</v>
      </c>
      <c r="S27" s="173">
        <v>103743.82945965999</v>
      </c>
      <c r="T27" s="173">
        <v>169953.79202352377</v>
      </c>
      <c r="U27" s="173">
        <v>123982.63506387027</v>
      </c>
      <c r="V27" s="173">
        <v>167674.56608299995</v>
      </c>
      <c r="W27" s="173">
        <v>106195.55591845044</v>
      </c>
      <c r="X27" s="173">
        <v>23611.608511989998</v>
      </c>
      <c r="Y27" s="173">
        <v>266.54300000000001</v>
      </c>
      <c r="Z27" s="173">
        <v>859.71590657999991</v>
      </c>
      <c r="AA27" s="173">
        <v>27614.069688270018</v>
      </c>
      <c r="AB27" s="173">
        <v>6379.8325979399933</v>
      </c>
      <c r="AC27" s="173">
        <v>3905.6144465000002</v>
      </c>
      <c r="AD27" s="173">
        <v>60007.991006169977</v>
      </c>
      <c r="AE27" s="173">
        <v>37461.210008419999</v>
      </c>
      <c r="AF27" s="173">
        <v>35291.071742729997</v>
      </c>
      <c r="AG27" s="173">
        <v>1496.9736012999997</v>
      </c>
      <c r="AH27" s="173">
        <v>23474.640983769998</v>
      </c>
      <c r="AI27" s="173">
        <v>35537.953750000001</v>
      </c>
      <c r="AJ27" s="173">
        <v>32784.664098879948</v>
      </c>
      <c r="AK27" s="173">
        <v>3024.0882749000002</v>
      </c>
      <c r="AL27" s="173">
        <v>787.85808700999996</v>
      </c>
      <c r="AM27" s="173">
        <v>3560.3694514200001</v>
      </c>
      <c r="AN27" s="173">
        <v>4355.3609999999999</v>
      </c>
      <c r="AO27" s="173">
        <v>2746.9729482399998</v>
      </c>
      <c r="AP27" s="173">
        <v>0</v>
      </c>
      <c r="AQ27" s="173">
        <v>5816.6543326499896</v>
      </c>
      <c r="AR27" s="173">
        <v>8452.7873600000003</v>
      </c>
      <c r="AS27" s="173">
        <v>5880.571001389997</v>
      </c>
      <c r="AT27" s="173">
        <v>3669.2849999999999</v>
      </c>
      <c r="AU27" s="173">
        <v>4374.7770199999995</v>
      </c>
      <c r="AV27" s="173">
        <v>1652.4671929299977</v>
      </c>
      <c r="AW27" s="173">
        <v>4898.4162100000003</v>
      </c>
      <c r="AX27" s="173">
        <v>4911.22284717</v>
      </c>
      <c r="AY27" s="173">
        <v>1971.4448613300001</v>
      </c>
      <c r="AZ27" s="173">
        <v>1762.2918361099996</v>
      </c>
      <c r="BA27" s="173">
        <v>0</v>
      </c>
      <c r="BB27" s="173">
        <v>5200.546219300003</v>
      </c>
      <c r="BC27" s="173">
        <v>13055.097009900001</v>
      </c>
      <c r="BD27" s="173">
        <v>16263.784940960004</v>
      </c>
      <c r="BE27" s="173">
        <v>5354.7017300000007</v>
      </c>
    </row>
    <row r="28" spans="2:57" x14ac:dyDescent="0.55000000000000004">
      <c r="B28" s="174"/>
      <c r="C28" s="140" t="s">
        <v>308</v>
      </c>
      <c r="D28" s="173">
        <v>1195.29</v>
      </c>
      <c r="E28" s="173">
        <v>4532.1000000000004</v>
      </c>
      <c r="F28" s="173">
        <v>4792.446125982</v>
      </c>
      <c r="G28" s="173">
        <v>10028.616971715001</v>
      </c>
      <c r="H28" s="173">
        <v>2773.1976835575997</v>
      </c>
      <c r="I28" s="173">
        <v>14618.883931320001</v>
      </c>
      <c r="J28" s="173">
        <v>9250.0316093999991</v>
      </c>
      <c r="K28" s="173">
        <v>4365.5996280700001</v>
      </c>
      <c r="L28" s="173">
        <v>5.684417400000001</v>
      </c>
      <c r="M28" s="173">
        <v>1256.8797969039997</v>
      </c>
      <c r="N28" s="173">
        <v>8038.6571194039998</v>
      </c>
      <c r="O28" s="173">
        <v>3259.6248669200004</v>
      </c>
      <c r="P28" s="173">
        <v>375.40995369799998</v>
      </c>
      <c r="Q28" s="173">
        <v>0</v>
      </c>
      <c r="R28" s="173">
        <v>4080.1112561429004</v>
      </c>
      <c r="S28" s="173">
        <v>3082.2055388999997</v>
      </c>
      <c r="T28" s="173">
        <v>4398.66941812</v>
      </c>
      <c r="U28" s="173">
        <v>3829.7056106290006</v>
      </c>
      <c r="V28" s="173">
        <v>996.33726149999995</v>
      </c>
      <c r="W28" s="173">
        <v>1203.058446988</v>
      </c>
      <c r="X28" s="173">
        <v>0</v>
      </c>
      <c r="Y28" s="173">
        <v>0</v>
      </c>
      <c r="Z28" s="173">
        <v>0</v>
      </c>
      <c r="AA28" s="173">
        <v>0</v>
      </c>
      <c r="AB28" s="173">
        <v>0</v>
      </c>
      <c r="AC28" s="173">
        <v>0</v>
      </c>
      <c r="AD28" s="173">
        <v>0</v>
      </c>
      <c r="AE28" s="173">
        <v>0</v>
      </c>
      <c r="AF28" s="173">
        <v>0</v>
      </c>
      <c r="AG28" s="173">
        <v>0</v>
      </c>
      <c r="AH28" s="173">
        <v>0</v>
      </c>
      <c r="AI28" s="173">
        <v>0</v>
      </c>
      <c r="AJ28" s="173">
        <v>0</v>
      </c>
      <c r="AK28" s="173">
        <v>0</v>
      </c>
      <c r="AL28" s="173">
        <v>0</v>
      </c>
      <c r="AM28" s="173">
        <v>0</v>
      </c>
      <c r="AN28" s="173">
        <v>0</v>
      </c>
      <c r="AO28" s="173">
        <v>0</v>
      </c>
      <c r="AP28" s="173">
        <v>0</v>
      </c>
      <c r="AQ28" s="173">
        <v>0</v>
      </c>
      <c r="AR28" s="173">
        <v>0</v>
      </c>
      <c r="AS28" s="173">
        <v>0</v>
      </c>
      <c r="AT28" s="173">
        <v>0</v>
      </c>
      <c r="AU28" s="173">
        <v>0</v>
      </c>
      <c r="AV28" s="173">
        <v>0</v>
      </c>
      <c r="AW28" s="173">
        <v>0</v>
      </c>
      <c r="AX28" s="173">
        <v>0</v>
      </c>
      <c r="AY28" s="173">
        <v>0</v>
      </c>
      <c r="AZ28" s="173">
        <v>0</v>
      </c>
      <c r="BA28" s="173">
        <v>0</v>
      </c>
      <c r="BB28" s="173">
        <v>0</v>
      </c>
      <c r="BC28" s="173">
        <v>0</v>
      </c>
      <c r="BD28" s="173">
        <v>0</v>
      </c>
      <c r="BE28" s="173">
        <v>0</v>
      </c>
    </row>
    <row r="29" spans="2:57" x14ac:dyDescent="0.55000000000000004">
      <c r="B29" s="174"/>
      <c r="C29" s="140" t="s">
        <v>136</v>
      </c>
      <c r="D29" s="173">
        <v>21663.391795889998</v>
      </c>
      <c r="E29" s="173">
        <v>29440.559719019981</v>
      </c>
      <c r="F29" s="173">
        <v>44745.113879946599</v>
      </c>
      <c r="G29" s="173">
        <v>47918.900167527594</v>
      </c>
      <c r="H29" s="173">
        <v>10619.539884759002</v>
      </c>
      <c r="I29" s="173">
        <v>33748.167430089998</v>
      </c>
      <c r="J29" s="173">
        <v>15183.694308829996</v>
      </c>
      <c r="K29" s="173">
        <v>25150.550030079998</v>
      </c>
      <c r="L29" s="173">
        <v>23950.459724790002</v>
      </c>
      <c r="M29" s="173">
        <v>12679.863318795598</v>
      </c>
      <c r="N29" s="173">
        <v>34631.269511302424</v>
      </c>
      <c r="O29" s="173">
        <v>30610.649939450002</v>
      </c>
      <c r="P29" s="173">
        <v>22955.707794032598</v>
      </c>
      <c r="Q29" s="173">
        <v>17886.518172890002</v>
      </c>
      <c r="R29" s="173">
        <v>42776.515078359247</v>
      </c>
      <c r="S29" s="173">
        <v>18250.702847919998</v>
      </c>
      <c r="T29" s="173">
        <v>20496.56695412899</v>
      </c>
      <c r="U29" s="173">
        <v>27856.65415487907</v>
      </c>
      <c r="V29" s="173">
        <v>23439.714170009993</v>
      </c>
      <c r="W29" s="173">
        <v>17397.560190351502</v>
      </c>
      <c r="X29" s="173">
        <v>3821.6450209999989</v>
      </c>
      <c r="Y29" s="173">
        <v>56.725000000000001</v>
      </c>
      <c r="Z29" s="173">
        <v>553.75313971000003</v>
      </c>
      <c r="AA29" s="173">
        <v>4933.4643160999985</v>
      </c>
      <c r="AB29" s="173">
        <v>2288.1700557880013</v>
      </c>
      <c r="AC29" s="173">
        <v>413.22875144999995</v>
      </c>
      <c r="AD29" s="173">
        <v>9018.0300799199958</v>
      </c>
      <c r="AE29" s="173">
        <v>10116.999654220001</v>
      </c>
      <c r="AF29" s="173">
        <v>4406.9852697199967</v>
      </c>
      <c r="AG29" s="173">
        <v>206.28443639000002</v>
      </c>
      <c r="AH29" s="173">
        <v>6375.4439432500021</v>
      </c>
      <c r="AI29" s="173">
        <v>3843.9461000000006</v>
      </c>
      <c r="AJ29" s="173">
        <v>5271.8800650800031</v>
      </c>
      <c r="AK29" s="173">
        <v>713.03366024000002</v>
      </c>
      <c r="AL29" s="173">
        <v>85.298612260000013</v>
      </c>
      <c r="AM29" s="173">
        <v>1276.97060777</v>
      </c>
      <c r="AN29" s="173">
        <v>503.20299999999997</v>
      </c>
      <c r="AO29" s="173">
        <v>307.96652742999999</v>
      </c>
      <c r="AP29" s="173">
        <v>185.70170999999999</v>
      </c>
      <c r="AQ29" s="173">
        <v>1043.2647361700006</v>
      </c>
      <c r="AR29" s="173">
        <v>687.59066000000007</v>
      </c>
      <c r="AS29" s="173">
        <v>463.74134163999997</v>
      </c>
      <c r="AT29" s="173">
        <v>394.471</v>
      </c>
      <c r="AU29" s="173">
        <v>1028.6315099999999</v>
      </c>
      <c r="AV29" s="173">
        <v>70.992230550000002</v>
      </c>
      <c r="AW29" s="173">
        <v>360.81850000000009</v>
      </c>
      <c r="AX29" s="173">
        <v>722.09569109999984</v>
      </c>
      <c r="AY29" s="173">
        <v>340.10984119999995</v>
      </c>
      <c r="AZ29" s="173">
        <v>269.95214529000003</v>
      </c>
      <c r="BA29" s="173">
        <v>0</v>
      </c>
      <c r="BB29" s="173">
        <v>1232.0084649999999</v>
      </c>
      <c r="BC29" s="173">
        <v>1498.87087157</v>
      </c>
      <c r="BD29" s="173">
        <v>2815.6526397399994</v>
      </c>
      <c r="BE29" s="173">
        <v>1128.03889</v>
      </c>
    </row>
    <row r="30" spans="2:57" x14ac:dyDescent="0.55000000000000004">
      <c r="B30" s="174"/>
      <c r="C30" s="140" t="s">
        <v>307</v>
      </c>
      <c r="D30" s="173">
        <v>21639.379792629999</v>
      </c>
      <c r="E30" s="173">
        <v>26424.619719019982</v>
      </c>
      <c r="F30" s="173">
        <v>43360.483934160002</v>
      </c>
      <c r="G30" s="173">
        <v>42819.156770669993</v>
      </c>
      <c r="H30" s="173">
        <v>7314.6928749000017</v>
      </c>
      <c r="I30" s="173">
        <v>29932.04927462</v>
      </c>
      <c r="J30" s="173">
        <v>9941.3099325379972</v>
      </c>
      <c r="K30" s="173">
        <v>24439.002803969997</v>
      </c>
      <c r="L30" s="173">
        <v>23879.040793670003</v>
      </c>
      <c r="M30" s="173">
        <v>11867.306902159999</v>
      </c>
      <c r="N30" s="173">
        <v>34106.212173610023</v>
      </c>
      <c r="O30" s="173">
        <v>30210.407118660001</v>
      </c>
      <c r="P30" s="173">
        <v>22657.100538639999</v>
      </c>
      <c r="Q30" s="173">
        <v>17886.518172890002</v>
      </c>
      <c r="R30" s="173">
        <v>42509.381417889985</v>
      </c>
      <c r="S30" s="173">
        <v>18153.219778569997</v>
      </c>
      <c r="T30" s="173">
        <v>20415.384068738989</v>
      </c>
      <c r="U30" s="173">
        <v>23513.340604390007</v>
      </c>
      <c r="V30" s="173">
        <v>23312.922644699993</v>
      </c>
      <c r="W30" s="173">
        <v>15277.119287620002</v>
      </c>
      <c r="X30" s="173">
        <v>3821.6450209999989</v>
      </c>
      <c r="Y30" s="173">
        <v>54.904000000000003</v>
      </c>
      <c r="Z30" s="173">
        <v>553.75313971000003</v>
      </c>
      <c r="AA30" s="173">
        <v>4933.4643160999985</v>
      </c>
      <c r="AB30" s="173">
        <v>2288.1700557880013</v>
      </c>
      <c r="AC30" s="173">
        <v>413.22875144999995</v>
      </c>
      <c r="AD30" s="173">
        <v>9018.0300799199958</v>
      </c>
      <c r="AE30" s="173">
        <v>10116.999654220001</v>
      </c>
      <c r="AF30" s="173">
        <v>4406.9852697199967</v>
      </c>
      <c r="AG30" s="173">
        <v>206.28443639000002</v>
      </c>
      <c r="AH30" s="173">
        <v>6375.4439432500021</v>
      </c>
      <c r="AI30" s="173">
        <v>3843.9461000000006</v>
      </c>
      <c r="AJ30" s="173">
        <v>5271.8800650800031</v>
      </c>
      <c r="AK30" s="173">
        <v>713.03366024000002</v>
      </c>
      <c r="AL30" s="173">
        <v>85.298612260000013</v>
      </c>
      <c r="AM30" s="173">
        <v>1276.97060777</v>
      </c>
      <c r="AN30" s="173">
        <v>503.20299999999997</v>
      </c>
      <c r="AO30" s="173">
        <v>307.96652742999999</v>
      </c>
      <c r="AP30" s="173">
        <v>185.70170999999999</v>
      </c>
      <c r="AQ30" s="173">
        <v>1043.2647361700006</v>
      </c>
      <c r="AR30" s="173">
        <v>687.59066000000007</v>
      </c>
      <c r="AS30" s="173">
        <v>463.74134163999997</v>
      </c>
      <c r="AT30" s="173">
        <v>394.471</v>
      </c>
      <c r="AU30" s="173">
        <v>1028.6315099999999</v>
      </c>
      <c r="AV30" s="173">
        <v>70.992230550000002</v>
      </c>
      <c r="AW30" s="173">
        <v>360.81850000000009</v>
      </c>
      <c r="AX30" s="173">
        <v>722.09569109999984</v>
      </c>
      <c r="AY30" s="173">
        <v>340.10984119999995</v>
      </c>
      <c r="AZ30" s="173">
        <v>269.95214529000003</v>
      </c>
      <c r="BA30" s="173">
        <v>0</v>
      </c>
      <c r="BB30" s="173">
        <v>1232.0084649999999</v>
      </c>
      <c r="BC30" s="173">
        <v>1498.87087157</v>
      </c>
      <c r="BD30" s="173">
        <v>2815.6526397399994</v>
      </c>
      <c r="BE30" s="173">
        <v>1128.03889</v>
      </c>
    </row>
    <row r="31" spans="2:57" x14ac:dyDescent="0.55000000000000004">
      <c r="B31" s="174"/>
      <c r="C31" s="140" t="s">
        <v>308</v>
      </c>
      <c r="D31" s="173">
        <v>24.01200326</v>
      </c>
      <c r="E31" s="173">
        <v>3015.94</v>
      </c>
      <c r="F31" s="173">
        <v>1384.6299457866003</v>
      </c>
      <c r="G31" s="173">
        <v>5099.7433968576006</v>
      </c>
      <c r="H31" s="173">
        <v>3304.8470098590005</v>
      </c>
      <c r="I31" s="173">
        <v>3816.1181554699997</v>
      </c>
      <c r="J31" s="173">
        <v>5242.3843762919996</v>
      </c>
      <c r="K31" s="173">
        <v>711.54722611</v>
      </c>
      <c r="L31" s="173">
        <v>71.418931120000025</v>
      </c>
      <c r="M31" s="173">
        <v>812.55641663560004</v>
      </c>
      <c r="N31" s="173">
        <v>525.05733769239998</v>
      </c>
      <c r="O31" s="173">
        <v>400.24282079</v>
      </c>
      <c r="P31" s="173">
        <v>298.6072553926</v>
      </c>
      <c r="Q31" s="173">
        <v>0</v>
      </c>
      <c r="R31" s="173">
        <v>267.13366046926507</v>
      </c>
      <c r="S31" s="173">
        <v>97.483069349999994</v>
      </c>
      <c r="T31" s="173">
        <v>81.182885389999996</v>
      </c>
      <c r="U31" s="173">
        <v>4343.3135504890633</v>
      </c>
      <c r="V31" s="173">
        <v>126.79152531000001</v>
      </c>
      <c r="W31" s="173">
        <v>2120.4409027315</v>
      </c>
      <c r="X31" s="173">
        <v>0</v>
      </c>
      <c r="Y31" s="173">
        <v>1.821</v>
      </c>
      <c r="Z31" s="173">
        <v>0</v>
      </c>
      <c r="AA31" s="173">
        <v>0</v>
      </c>
      <c r="AB31" s="173">
        <v>0</v>
      </c>
      <c r="AC31" s="173">
        <v>0</v>
      </c>
      <c r="AD31" s="173">
        <v>0</v>
      </c>
      <c r="AE31" s="173">
        <v>0</v>
      </c>
      <c r="AF31" s="173">
        <v>0</v>
      </c>
      <c r="AG31" s="173">
        <v>0</v>
      </c>
      <c r="AH31" s="173">
        <v>0</v>
      </c>
      <c r="AI31" s="173">
        <v>0</v>
      </c>
      <c r="AJ31" s="173">
        <v>0</v>
      </c>
      <c r="AK31" s="173">
        <v>0</v>
      </c>
      <c r="AL31" s="173">
        <v>0</v>
      </c>
      <c r="AM31" s="173">
        <v>0</v>
      </c>
      <c r="AN31" s="173">
        <v>0</v>
      </c>
      <c r="AO31" s="173">
        <v>0</v>
      </c>
      <c r="AP31" s="173">
        <v>0</v>
      </c>
      <c r="AQ31" s="173">
        <v>0</v>
      </c>
      <c r="AR31" s="173">
        <v>0</v>
      </c>
      <c r="AS31" s="173">
        <v>0</v>
      </c>
      <c r="AT31" s="173">
        <v>0</v>
      </c>
      <c r="AU31" s="173">
        <v>0</v>
      </c>
      <c r="AV31" s="173">
        <v>0</v>
      </c>
      <c r="AW31" s="173">
        <v>0</v>
      </c>
      <c r="AX31" s="173">
        <v>0</v>
      </c>
      <c r="AY31" s="173">
        <v>0</v>
      </c>
      <c r="AZ31" s="173">
        <v>0</v>
      </c>
      <c r="BA31" s="173">
        <v>0</v>
      </c>
      <c r="BB31" s="173">
        <v>0</v>
      </c>
      <c r="BC31" s="173">
        <v>0</v>
      </c>
      <c r="BD31" s="173">
        <v>0</v>
      </c>
      <c r="BE31" s="173">
        <v>0</v>
      </c>
    </row>
    <row r="32" spans="2:57" x14ac:dyDescent="0.55000000000000004">
      <c r="B32" s="174"/>
      <c r="C32" s="140" t="s">
        <v>137</v>
      </c>
      <c r="D32" s="173">
        <v>2897.0481825259999</v>
      </c>
      <c r="E32" s="173">
        <v>1760.603091822119</v>
      </c>
      <c r="F32" s="173">
        <v>3778.3741763053999</v>
      </c>
      <c r="G32" s="173">
        <v>4499.9346352940001</v>
      </c>
      <c r="H32" s="173">
        <v>1411.3274138931001</v>
      </c>
      <c r="I32" s="173">
        <v>3025.7480263799998</v>
      </c>
      <c r="J32" s="173">
        <v>1837.9324049415</v>
      </c>
      <c r="K32" s="173">
        <v>2897.8557979099996</v>
      </c>
      <c r="L32" s="173">
        <v>188.76072581</v>
      </c>
      <c r="M32" s="173">
        <v>1809.586951133804</v>
      </c>
      <c r="N32" s="173">
        <v>2402.0989497138016</v>
      </c>
      <c r="O32" s="173">
        <v>2534.9872626900001</v>
      </c>
      <c r="P32" s="173">
        <v>1774.2916170999999</v>
      </c>
      <c r="Q32" s="173">
        <v>947.00850856999989</v>
      </c>
      <c r="R32" s="173">
        <v>4234.2578500689924</v>
      </c>
      <c r="S32" s="173">
        <v>1149.6142979700001</v>
      </c>
      <c r="T32" s="173">
        <v>2903.5871294063004</v>
      </c>
      <c r="U32" s="173">
        <v>3143.7166575459987</v>
      </c>
      <c r="V32" s="173">
        <v>2725.2478546699995</v>
      </c>
      <c r="W32" s="173">
        <v>1271.4276329500001</v>
      </c>
      <c r="X32" s="173">
        <v>555.5717108700004</v>
      </c>
      <c r="Y32" s="173">
        <v>1.3779999999999999</v>
      </c>
      <c r="Z32" s="173">
        <v>0</v>
      </c>
      <c r="AA32" s="173">
        <v>19.147573189999957</v>
      </c>
      <c r="AB32" s="173">
        <v>15.690157749999997</v>
      </c>
      <c r="AC32" s="173">
        <v>6.8124600000000007E-2</v>
      </c>
      <c r="AD32" s="173">
        <v>86.967418819999992</v>
      </c>
      <c r="AE32" s="173">
        <v>22.889312099999998</v>
      </c>
      <c r="AF32" s="173">
        <v>0</v>
      </c>
      <c r="AG32" s="173">
        <v>1.9305950000000001</v>
      </c>
      <c r="AH32" s="173">
        <v>73.734108780000014</v>
      </c>
      <c r="AI32" s="173">
        <v>12.707750000000001</v>
      </c>
      <c r="AJ32" s="173">
        <v>24.024998549999999</v>
      </c>
      <c r="AK32" s="173">
        <v>0.125</v>
      </c>
      <c r="AL32" s="173">
        <v>0</v>
      </c>
      <c r="AM32" s="173">
        <v>2</v>
      </c>
      <c r="AN32" s="173">
        <v>0</v>
      </c>
      <c r="AO32" s="173">
        <v>0.40649999999999997</v>
      </c>
      <c r="AP32" s="173">
        <v>33.792919999999995</v>
      </c>
      <c r="AQ32" s="173">
        <v>0</v>
      </c>
      <c r="AR32" s="173">
        <v>3.2003999999999997</v>
      </c>
      <c r="AS32" s="173">
        <v>0</v>
      </c>
      <c r="AT32" s="173">
        <v>0</v>
      </c>
      <c r="AU32" s="173">
        <v>5.5402299999999993</v>
      </c>
      <c r="AV32" s="173">
        <v>0</v>
      </c>
      <c r="AW32" s="173">
        <v>3.8740000000000004E-2</v>
      </c>
      <c r="AX32" s="173">
        <v>0</v>
      </c>
      <c r="AY32" s="173">
        <v>0</v>
      </c>
      <c r="AZ32" s="173">
        <v>0</v>
      </c>
      <c r="BA32" s="173">
        <v>4.7250573000000005</v>
      </c>
      <c r="BB32" s="173">
        <v>0.2</v>
      </c>
      <c r="BC32" s="173">
        <v>21.170577980000001</v>
      </c>
      <c r="BD32" s="173">
        <v>4.7500000000000001E-2</v>
      </c>
      <c r="BE32" s="173">
        <v>11.411799999999999</v>
      </c>
    </row>
    <row r="33" spans="2:57" x14ac:dyDescent="0.55000000000000004">
      <c r="B33" s="174"/>
      <c r="C33" s="140" t="s">
        <v>307</v>
      </c>
      <c r="D33" s="173">
        <v>2136.008475096</v>
      </c>
      <c r="E33" s="173">
        <v>1760.603091822119</v>
      </c>
      <c r="F33" s="173">
        <v>3759.3624594799999</v>
      </c>
      <c r="G33" s="173">
        <v>3963.0836993000003</v>
      </c>
      <c r="H33" s="173">
        <v>1323.8679609200001</v>
      </c>
      <c r="I33" s="173">
        <v>2230.1975928499996</v>
      </c>
      <c r="J33" s="173">
        <v>1367.2978979699999</v>
      </c>
      <c r="K33" s="173">
        <v>2897.2253479099995</v>
      </c>
      <c r="L33" s="173">
        <v>181.09032224000001</v>
      </c>
      <c r="M33" s="173">
        <v>1802.6998902700016</v>
      </c>
      <c r="N33" s="173">
        <v>2386.4933276000015</v>
      </c>
      <c r="O33" s="173">
        <v>2528.33828481</v>
      </c>
      <c r="P33" s="173">
        <v>1774.2916170999999</v>
      </c>
      <c r="Q33" s="173">
        <v>947.00850856999989</v>
      </c>
      <c r="R33" s="173">
        <v>4071.0487403600032</v>
      </c>
      <c r="S33" s="173">
        <v>1149.6142979700001</v>
      </c>
      <c r="T33" s="173">
        <v>2701.3807994063004</v>
      </c>
      <c r="U33" s="173">
        <v>2940.0237320499987</v>
      </c>
      <c r="V33" s="173">
        <v>2725.2478546699995</v>
      </c>
      <c r="W33" s="173">
        <v>1246.4716199500001</v>
      </c>
      <c r="X33" s="173">
        <v>555.5717108700004</v>
      </c>
      <c r="Y33" s="173">
        <v>1.3779999999999999</v>
      </c>
      <c r="Z33" s="173">
        <v>0</v>
      </c>
      <c r="AA33" s="173">
        <v>19.147573189999957</v>
      </c>
      <c r="AB33" s="173">
        <v>15.690157749999997</v>
      </c>
      <c r="AC33" s="173">
        <v>6.8124600000000007E-2</v>
      </c>
      <c r="AD33" s="173">
        <v>86.967418819999992</v>
      </c>
      <c r="AE33" s="173">
        <v>22.889312099999998</v>
      </c>
      <c r="AF33" s="173">
        <v>0</v>
      </c>
      <c r="AG33" s="173">
        <v>1.9305950000000001</v>
      </c>
      <c r="AH33" s="173">
        <v>73.734108780000014</v>
      </c>
      <c r="AI33" s="173">
        <v>12.707750000000001</v>
      </c>
      <c r="AJ33" s="173">
        <v>24.024998549999999</v>
      </c>
      <c r="AK33" s="173">
        <v>0.125</v>
      </c>
      <c r="AL33" s="173">
        <v>0</v>
      </c>
      <c r="AM33" s="173">
        <v>2</v>
      </c>
      <c r="AN33" s="173">
        <v>0</v>
      </c>
      <c r="AO33" s="173">
        <v>0.40649999999999997</v>
      </c>
      <c r="AP33" s="173">
        <v>33.792919999999995</v>
      </c>
      <c r="AQ33" s="173">
        <v>0</v>
      </c>
      <c r="AR33" s="173">
        <v>3.2003999999999997</v>
      </c>
      <c r="AS33" s="173">
        <v>0</v>
      </c>
      <c r="AT33" s="173">
        <v>0</v>
      </c>
      <c r="AU33" s="173">
        <v>5.5402299999999993</v>
      </c>
      <c r="AV33" s="173">
        <v>0</v>
      </c>
      <c r="AW33" s="173">
        <v>3.8740000000000004E-2</v>
      </c>
      <c r="AX33" s="173">
        <v>0</v>
      </c>
      <c r="AY33" s="173">
        <v>0</v>
      </c>
      <c r="AZ33" s="173">
        <v>0</v>
      </c>
      <c r="BA33" s="173">
        <v>4.7250573000000005</v>
      </c>
      <c r="BB33" s="173">
        <v>0.2</v>
      </c>
      <c r="BC33" s="173">
        <v>21.170577980000001</v>
      </c>
      <c r="BD33" s="173">
        <v>4.7500000000000001E-2</v>
      </c>
      <c r="BE33" s="173">
        <v>11.411799999999999</v>
      </c>
    </row>
    <row r="34" spans="2:57" x14ac:dyDescent="0.55000000000000004">
      <c r="B34" s="174"/>
      <c r="C34" s="140" t="s">
        <v>308</v>
      </c>
      <c r="D34" s="173">
        <v>761.03970743000002</v>
      </c>
      <c r="E34" s="173">
        <v>0</v>
      </c>
      <c r="F34" s="173">
        <v>19.011716825400001</v>
      </c>
      <c r="G34" s="173">
        <v>536.850935994</v>
      </c>
      <c r="H34" s="173">
        <v>87.459452973100014</v>
      </c>
      <c r="I34" s="173">
        <v>795.55043353000019</v>
      </c>
      <c r="J34" s="173">
        <v>470.6345069715</v>
      </c>
      <c r="K34" s="173">
        <v>0.63044999999999995</v>
      </c>
      <c r="L34" s="173">
        <v>7.6704035700000004</v>
      </c>
      <c r="M34" s="173">
        <v>6.8870608638024997</v>
      </c>
      <c r="N34" s="173">
        <v>15.605622113799999</v>
      </c>
      <c r="O34" s="173">
        <v>6.6489778799999995</v>
      </c>
      <c r="P34" s="173">
        <v>0</v>
      </c>
      <c r="Q34" s="173">
        <v>0</v>
      </c>
      <c r="R34" s="173">
        <v>163.20910970898899</v>
      </c>
      <c r="S34" s="173">
        <v>0</v>
      </c>
      <c r="T34" s="173">
        <v>202.20633000000001</v>
      </c>
      <c r="U34" s="173">
        <v>203.69292549599999</v>
      </c>
      <c r="V34" s="173">
        <v>0</v>
      </c>
      <c r="W34" s="173">
        <v>24.956012999999995</v>
      </c>
      <c r="X34" s="173">
        <v>0</v>
      </c>
      <c r="Y34" s="173">
        <v>0</v>
      </c>
      <c r="Z34" s="173">
        <v>0</v>
      </c>
      <c r="AA34" s="173">
        <v>0</v>
      </c>
      <c r="AB34" s="173">
        <v>0</v>
      </c>
      <c r="AC34" s="173">
        <v>0</v>
      </c>
      <c r="AD34" s="173">
        <v>0</v>
      </c>
      <c r="AE34" s="173">
        <v>0</v>
      </c>
      <c r="AF34" s="173">
        <v>0</v>
      </c>
      <c r="AG34" s="173">
        <v>0</v>
      </c>
      <c r="AH34" s="173">
        <v>0</v>
      </c>
      <c r="AI34" s="173">
        <v>0</v>
      </c>
      <c r="AJ34" s="173">
        <v>0</v>
      </c>
      <c r="AK34" s="173">
        <v>0</v>
      </c>
      <c r="AL34" s="173">
        <v>0</v>
      </c>
      <c r="AM34" s="173">
        <v>0</v>
      </c>
      <c r="AN34" s="173">
        <v>0</v>
      </c>
      <c r="AO34" s="173">
        <v>0</v>
      </c>
      <c r="AP34" s="173">
        <v>0</v>
      </c>
      <c r="AQ34" s="173">
        <v>0</v>
      </c>
      <c r="AR34" s="173">
        <v>0</v>
      </c>
      <c r="AS34" s="173">
        <v>0</v>
      </c>
      <c r="AT34" s="173">
        <v>0</v>
      </c>
      <c r="AU34" s="173">
        <v>0</v>
      </c>
      <c r="AV34" s="173">
        <v>0</v>
      </c>
      <c r="AW34" s="173">
        <v>0</v>
      </c>
      <c r="AX34" s="173">
        <v>0</v>
      </c>
      <c r="AY34" s="173">
        <v>0</v>
      </c>
      <c r="AZ34" s="173">
        <v>0</v>
      </c>
      <c r="BA34" s="173">
        <v>0</v>
      </c>
      <c r="BB34" s="173">
        <v>0</v>
      </c>
      <c r="BC34" s="173">
        <v>0</v>
      </c>
      <c r="BD34" s="173">
        <v>0</v>
      </c>
      <c r="BE34" s="173">
        <v>0</v>
      </c>
    </row>
    <row r="35" spans="2:57" x14ac:dyDescent="0.55000000000000004">
      <c r="B35" s="178">
        <v>4</v>
      </c>
      <c r="C35" s="138" t="s">
        <v>138</v>
      </c>
      <c r="D35" s="173">
        <v>16.423457940000002</v>
      </c>
      <c r="E35" s="173">
        <v>188.61737207030001</v>
      </c>
      <c r="F35" s="173">
        <v>1602.1978226241001</v>
      </c>
      <c r="G35" s="173">
        <v>30.390588799999996</v>
      </c>
      <c r="H35" s="173">
        <v>413.02529061480004</v>
      </c>
      <c r="I35" s="173">
        <v>53.092300000000002</v>
      </c>
      <c r="J35" s="173">
        <v>257.53471803999997</v>
      </c>
      <c r="K35" s="173">
        <v>144.89353151</v>
      </c>
      <c r="L35" s="173">
        <v>60.183726720000003</v>
      </c>
      <c r="M35" s="173">
        <v>277.31190118800026</v>
      </c>
      <c r="N35" s="173">
        <v>200.39450068534302</v>
      </c>
      <c r="O35" s="173">
        <v>40.330608409999996</v>
      </c>
      <c r="P35" s="173">
        <v>0</v>
      </c>
      <c r="Q35" s="173">
        <v>0</v>
      </c>
      <c r="R35" s="173">
        <v>15.428862880000001</v>
      </c>
      <c r="S35" s="173">
        <v>208.54261787999997</v>
      </c>
      <c r="T35" s="173">
        <v>50.088406210000002</v>
      </c>
      <c r="U35" s="173">
        <v>10.347332438820001</v>
      </c>
      <c r="V35" s="173">
        <v>0</v>
      </c>
      <c r="W35" s="173">
        <v>6.3153831799999995</v>
      </c>
      <c r="X35" s="173">
        <v>7.2242146399999996</v>
      </c>
      <c r="Y35" s="173">
        <v>0</v>
      </c>
      <c r="Z35" s="173">
        <v>0</v>
      </c>
      <c r="AA35" s="173">
        <v>7.3515526000000007</v>
      </c>
      <c r="AB35" s="173">
        <v>0</v>
      </c>
      <c r="AC35" s="173">
        <v>0</v>
      </c>
      <c r="AD35" s="173">
        <v>0.18858790000000045</v>
      </c>
      <c r="AE35" s="173">
        <v>5.4746000000000003E-2</v>
      </c>
      <c r="AF35" s="173">
        <v>0</v>
      </c>
      <c r="AG35" s="173">
        <v>0</v>
      </c>
      <c r="AH35" s="173">
        <v>0</v>
      </c>
      <c r="AI35" s="173">
        <v>0</v>
      </c>
      <c r="AJ35" s="173">
        <v>0.66306712000000001</v>
      </c>
      <c r="AK35" s="173">
        <v>0</v>
      </c>
      <c r="AL35" s="173">
        <v>0</v>
      </c>
      <c r="AM35" s="173">
        <v>0</v>
      </c>
      <c r="AN35" s="173">
        <v>0</v>
      </c>
      <c r="AO35" s="173">
        <v>0</v>
      </c>
      <c r="AP35" s="173">
        <v>0</v>
      </c>
      <c r="AQ35" s="173">
        <v>0</v>
      </c>
      <c r="AR35" s="173">
        <v>0</v>
      </c>
      <c r="AS35" s="173">
        <v>0</v>
      </c>
      <c r="AT35" s="173">
        <v>0</v>
      </c>
      <c r="AU35" s="173">
        <v>0</v>
      </c>
      <c r="AV35" s="173">
        <v>0</v>
      </c>
      <c r="AW35" s="173">
        <v>6.3600000000000002E-3</v>
      </c>
      <c r="AX35" s="173">
        <v>0</v>
      </c>
      <c r="AY35" s="173">
        <v>0</v>
      </c>
      <c r="AZ35" s="173">
        <v>0</v>
      </c>
      <c r="BA35" s="173">
        <v>0</v>
      </c>
      <c r="BB35" s="173">
        <v>0</v>
      </c>
      <c r="BC35" s="173">
        <v>1.8365659999999999E-2</v>
      </c>
      <c r="BD35" s="173">
        <v>0</v>
      </c>
      <c r="BE35" s="173">
        <v>0</v>
      </c>
    </row>
    <row r="36" spans="2:57" x14ac:dyDescent="0.55000000000000004">
      <c r="B36" s="178">
        <v>5</v>
      </c>
      <c r="C36" s="138" t="s">
        <v>139</v>
      </c>
      <c r="D36" s="173">
        <v>39142.316510383782</v>
      </c>
      <c r="E36" s="173">
        <v>38552.487807834281</v>
      </c>
      <c r="F36" s="173">
        <v>57740.47201215582</v>
      </c>
      <c r="G36" s="173">
        <v>66317.057154558483</v>
      </c>
      <c r="H36" s="173">
        <v>9170.7511994128727</v>
      </c>
      <c r="I36" s="173">
        <v>36098.602095368864</v>
      </c>
      <c r="J36" s="173">
        <v>15267.576006235431</v>
      </c>
      <c r="K36" s="173">
        <v>18838.592709741413</v>
      </c>
      <c r="L36" s="173">
        <v>42283.389933248363</v>
      </c>
      <c r="M36" s="173">
        <v>9817.7526795896629</v>
      </c>
      <c r="N36" s="173">
        <v>48456.851825308993</v>
      </c>
      <c r="O36" s="173">
        <v>27808.615951389387</v>
      </c>
      <c r="P36" s="173">
        <v>30845.84178143504</v>
      </c>
      <c r="Q36" s="173">
        <v>44389.598912715082</v>
      </c>
      <c r="R36" s="173">
        <v>54306.111603762562</v>
      </c>
      <c r="S36" s="173">
        <v>21164.425644079998</v>
      </c>
      <c r="T36" s="173">
        <v>23478.34655324748</v>
      </c>
      <c r="U36" s="173">
        <v>30669.15235809506</v>
      </c>
      <c r="V36" s="173">
        <v>30729.251950338723</v>
      </c>
      <c r="W36" s="173">
        <v>10516.901617779069</v>
      </c>
      <c r="X36" s="173">
        <v>4519.1008373407994</v>
      </c>
      <c r="Y36" s="173">
        <v>254.68100000000001</v>
      </c>
      <c r="Z36" s="173">
        <v>3210.9756092680004</v>
      </c>
      <c r="AA36" s="173">
        <v>3526.6584638434338</v>
      </c>
      <c r="AB36" s="173">
        <v>1323.5091211537804</v>
      </c>
      <c r="AC36" s="173">
        <v>139.51990914509418</v>
      </c>
      <c r="AD36" s="173">
        <v>7498.4294151871336</v>
      </c>
      <c r="AE36" s="173">
        <v>5866.2676408193502</v>
      </c>
      <c r="AF36" s="173">
        <v>3582.1427993876559</v>
      </c>
      <c r="AG36" s="173">
        <v>268.26247588000007</v>
      </c>
      <c r="AH36" s="173">
        <v>5222.255490187179</v>
      </c>
      <c r="AI36" s="173">
        <v>3515.0634557298868</v>
      </c>
      <c r="AJ36" s="173">
        <v>6325.3936240286321</v>
      </c>
      <c r="AK36" s="173">
        <v>538.44544502999997</v>
      </c>
      <c r="AL36" s="173">
        <v>69.080009886300004</v>
      </c>
      <c r="AM36" s="173">
        <v>1099.7289833003092</v>
      </c>
      <c r="AN36" s="173">
        <v>317.39267841610126</v>
      </c>
      <c r="AO36" s="173">
        <v>846.72544573153311</v>
      </c>
      <c r="AP36" s="173">
        <v>8096.0873599999995</v>
      </c>
      <c r="AQ36" s="173">
        <v>1712.2265732638411</v>
      </c>
      <c r="AR36" s="173">
        <v>1756.2916147208232</v>
      </c>
      <c r="AS36" s="173">
        <v>320.06297167500003</v>
      </c>
      <c r="AT36" s="173">
        <v>466.43599999999998</v>
      </c>
      <c r="AU36" s="173">
        <v>527.68307401480001</v>
      </c>
      <c r="AV36" s="173">
        <v>1921.4565536465</v>
      </c>
      <c r="AW36" s="173">
        <v>1761.7203</v>
      </c>
      <c r="AX36" s="173">
        <v>755.26750837669999</v>
      </c>
      <c r="AY36" s="173">
        <v>58.31105384144012</v>
      </c>
      <c r="AZ36" s="173">
        <v>358.68362016670005</v>
      </c>
      <c r="BA36" s="173">
        <v>3978.1949179000003</v>
      </c>
      <c r="BB36" s="173">
        <v>608.38814573837851</v>
      </c>
      <c r="BC36" s="173">
        <v>740.27182779366217</v>
      </c>
      <c r="BD36" s="173">
        <v>1495.7311427445154</v>
      </c>
      <c r="BE36" s="173">
        <v>678.91973408000001</v>
      </c>
    </row>
    <row r="37" spans="2:57" x14ac:dyDescent="0.55000000000000004">
      <c r="B37" s="178"/>
      <c r="C37" s="140" t="s">
        <v>309</v>
      </c>
      <c r="D37" s="173">
        <v>832.78596956241677</v>
      </c>
      <c r="E37" s="173">
        <v>1712.817120384</v>
      </c>
      <c r="F37" s="173">
        <v>27648.951200314157</v>
      </c>
      <c r="G37" s="173">
        <v>6419.8981849158299</v>
      </c>
      <c r="H37" s="173">
        <v>563.13169514354786</v>
      </c>
      <c r="I37" s="173">
        <v>151.71975800000001</v>
      </c>
      <c r="J37" s="173">
        <v>2498.8627611053844</v>
      </c>
      <c r="K37" s="173">
        <v>1877.2280868291916</v>
      </c>
      <c r="L37" s="173">
        <v>14126.993787043755</v>
      </c>
      <c r="M37" s="173">
        <v>1664.2112313379303</v>
      </c>
      <c r="N37" s="173">
        <v>13565.945103751093</v>
      </c>
      <c r="O37" s="173">
        <v>46.581934079999996</v>
      </c>
      <c r="P37" s="173">
        <v>5461.9206841849937</v>
      </c>
      <c r="Q37" s="173">
        <v>9946.9062757073843</v>
      </c>
      <c r="R37" s="173">
        <v>3509.7815498028317</v>
      </c>
      <c r="S37" s="173">
        <v>12.4107609</v>
      </c>
      <c r="T37" s="173">
        <v>123.92920733999927</v>
      </c>
      <c r="U37" s="173">
        <v>121.11648077000001</v>
      </c>
      <c r="V37" s="173">
        <v>2099.2290379189999</v>
      </c>
      <c r="W37" s="173">
        <v>86.724242180000005</v>
      </c>
      <c r="X37" s="173">
        <v>23.614470140000002</v>
      </c>
      <c r="Y37" s="173">
        <v>17.29</v>
      </c>
      <c r="Z37" s="173">
        <v>363.08876864999996</v>
      </c>
      <c r="AA37" s="173">
        <v>69.742352670000002</v>
      </c>
      <c r="AB37" s="173">
        <v>14.607112750000001</v>
      </c>
      <c r="AC37" s="173">
        <v>8.5086821199999996</v>
      </c>
      <c r="AD37" s="173">
        <v>0</v>
      </c>
      <c r="AE37" s="173">
        <v>12.882537039999999</v>
      </c>
      <c r="AF37" s="173">
        <v>1.5798776999999999</v>
      </c>
      <c r="AG37" s="173">
        <v>6.5192745499999996</v>
      </c>
      <c r="AH37" s="173">
        <v>20.905264329999998</v>
      </c>
      <c r="AI37" s="173">
        <v>149.6145784526027</v>
      </c>
      <c r="AJ37" s="173">
        <v>58.952665800000005</v>
      </c>
      <c r="AK37" s="173">
        <v>1.1074921299999998</v>
      </c>
      <c r="AL37" s="173">
        <v>7.0264045800000003</v>
      </c>
      <c r="AM37" s="173">
        <v>8.6269301799999969</v>
      </c>
      <c r="AN37" s="173">
        <v>0.65633831999999992</v>
      </c>
      <c r="AO37" s="173">
        <v>36.918532479999996</v>
      </c>
      <c r="AP37" s="173">
        <v>20.164820000000002</v>
      </c>
      <c r="AQ37" s="173">
        <v>31.947918699999999</v>
      </c>
      <c r="AR37" s="173">
        <v>0</v>
      </c>
      <c r="AS37" s="173">
        <v>25.037241850000001</v>
      </c>
      <c r="AT37" s="173">
        <v>14.736000000000001</v>
      </c>
      <c r="AU37" s="173">
        <v>16.98063123</v>
      </c>
      <c r="AV37" s="173">
        <v>12.039937399999992</v>
      </c>
      <c r="AW37" s="173">
        <v>5.0865299999999998</v>
      </c>
      <c r="AX37" s="173">
        <v>20.553591000000001</v>
      </c>
      <c r="AY37" s="173">
        <v>0</v>
      </c>
      <c r="AZ37" s="173">
        <v>3.6728653499999999</v>
      </c>
      <c r="BA37" s="173">
        <v>144.98619200000002</v>
      </c>
      <c r="BB37" s="173">
        <v>20.815872129999999</v>
      </c>
      <c r="BC37" s="173">
        <v>185.99624834576275</v>
      </c>
      <c r="BD37" s="173">
        <v>32.680184191300008</v>
      </c>
      <c r="BE37" s="173">
        <v>17.85109649</v>
      </c>
    </row>
    <row r="38" spans="2:57" x14ac:dyDescent="0.55000000000000004">
      <c r="B38" s="178"/>
      <c r="C38" s="140" t="s">
        <v>310</v>
      </c>
      <c r="D38" s="173">
        <v>11944.522851341535</v>
      </c>
      <c r="E38" s="173">
        <v>12124.489288531087</v>
      </c>
      <c r="F38" s="173">
        <v>20107.849091892582</v>
      </c>
      <c r="G38" s="173">
        <v>21601.445523708233</v>
      </c>
      <c r="H38" s="173">
        <v>2106.8193887070402</v>
      </c>
      <c r="I38" s="173">
        <v>19784.861345698864</v>
      </c>
      <c r="J38" s="173">
        <v>5557.54422730844</v>
      </c>
      <c r="K38" s="173">
        <v>3294.1123687369995</v>
      </c>
      <c r="L38" s="173">
        <v>12921.950149640004</v>
      </c>
      <c r="M38" s="173">
        <v>5765.1164525333807</v>
      </c>
      <c r="N38" s="173">
        <v>25981.57082154166</v>
      </c>
      <c r="O38" s="173">
        <v>13463.830719302552</v>
      </c>
      <c r="P38" s="173">
        <v>7345.2918669396631</v>
      </c>
      <c r="Q38" s="173">
        <v>9343.2013356899952</v>
      </c>
      <c r="R38" s="173">
        <v>22029.74410666</v>
      </c>
      <c r="S38" s="173">
        <v>9175.0097409299997</v>
      </c>
      <c r="T38" s="173">
        <v>11627.832176092834</v>
      </c>
      <c r="U38" s="173">
        <v>9155.3788085900014</v>
      </c>
      <c r="V38" s="173">
        <v>15158.06335143503</v>
      </c>
      <c r="W38" s="173">
        <v>6747.6224961642301</v>
      </c>
      <c r="X38" s="173">
        <v>2567.8533456677424</v>
      </c>
      <c r="Y38" s="173">
        <v>135.33099999999999</v>
      </c>
      <c r="Z38" s="173">
        <v>1818.046</v>
      </c>
      <c r="AA38" s="173">
        <v>2159.9979627125435</v>
      </c>
      <c r="AB38" s="173">
        <v>933.31175092740591</v>
      </c>
      <c r="AC38" s="173">
        <v>75.313328847999927</v>
      </c>
      <c r="AD38" s="173">
        <v>3591.255172090001</v>
      </c>
      <c r="AE38" s="173">
        <v>3892.3931446400002</v>
      </c>
      <c r="AF38" s="173">
        <v>2503.7570331774868</v>
      </c>
      <c r="AG38" s="173">
        <v>154.25314110000002</v>
      </c>
      <c r="AH38" s="173">
        <v>4117.4940336332047</v>
      </c>
      <c r="AI38" s="173">
        <v>2481.035427756131</v>
      </c>
      <c r="AJ38" s="173">
        <v>2548.3736899999994</v>
      </c>
      <c r="AK38" s="173">
        <v>228.58421838999999</v>
      </c>
      <c r="AL38" s="173">
        <v>24.675434446300002</v>
      </c>
      <c r="AM38" s="173">
        <v>608.95869079999989</v>
      </c>
      <c r="AN38" s="173">
        <v>138.57303432</v>
      </c>
      <c r="AO38" s="173">
        <v>225.34601917999996</v>
      </c>
      <c r="AP38" s="173">
        <v>2187.1170299999999</v>
      </c>
      <c r="AQ38" s="173">
        <v>1114.0165553311001</v>
      </c>
      <c r="AR38" s="173">
        <v>577.742679460825</v>
      </c>
      <c r="AS38" s="173">
        <v>178.53616165</v>
      </c>
      <c r="AT38" s="173">
        <v>262.08499999999998</v>
      </c>
      <c r="AU38" s="173">
        <v>231.51050054999999</v>
      </c>
      <c r="AV38" s="173">
        <v>1223.8015162900001</v>
      </c>
      <c r="AW38" s="173">
        <v>1554.0759399999999</v>
      </c>
      <c r="AX38" s="173">
        <v>526.89183291670008</v>
      </c>
      <c r="AY38" s="173">
        <v>0</v>
      </c>
      <c r="AZ38" s="173">
        <v>236.2840447767</v>
      </c>
      <c r="BA38" s="173">
        <v>663.53000780000002</v>
      </c>
      <c r="BB38" s="173">
        <v>315.60050584999999</v>
      </c>
      <c r="BC38" s="173">
        <v>370.64317367379948</v>
      </c>
      <c r="BD38" s="173">
        <v>710.52130518877743</v>
      </c>
      <c r="BE38" s="173">
        <v>435.66252399999996</v>
      </c>
    </row>
    <row r="39" spans="2:57" x14ac:dyDescent="0.55000000000000004">
      <c r="B39" s="178"/>
      <c r="C39" s="140" t="s">
        <v>311</v>
      </c>
      <c r="D39" s="173">
        <v>7149.2619012190971</v>
      </c>
      <c r="E39" s="173">
        <v>10394.423283072998</v>
      </c>
      <c r="F39" s="173">
        <v>2044.7922183945891</v>
      </c>
      <c r="G39" s="173">
        <v>2359.6148047499964</v>
      </c>
      <c r="H39" s="173">
        <v>177.47780883603025</v>
      </c>
      <c r="I39" s="173">
        <v>3588.0746170000002</v>
      </c>
      <c r="J39" s="173">
        <v>1936.5726632599999</v>
      </c>
      <c r="K39" s="173">
        <v>151.47154765999971</v>
      </c>
      <c r="L39" s="173">
        <v>0</v>
      </c>
      <c r="M39" s="173">
        <v>440.22094081</v>
      </c>
      <c r="N39" s="173">
        <v>4371.8637219089542</v>
      </c>
      <c r="O39" s="173">
        <v>637.63300695773205</v>
      </c>
      <c r="P39" s="173">
        <v>757.37493767548438</v>
      </c>
      <c r="Q39" s="173">
        <v>2644.9213286299973</v>
      </c>
      <c r="R39" s="173">
        <v>0</v>
      </c>
      <c r="S39" s="173">
        <v>1475.91190882</v>
      </c>
      <c r="T39" s="173">
        <v>1373.9950186314356</v>
      </c>
      <c r="U39" s="173">
        <v>1402.9029125105142</v>
      </c>
      <c r="V39" s="173">
        <v>5705.1997645000001</v>
      </c>
      <c r="W39" s="173">
        <v>0</v>
      </c>
      <c r="X39" s="173">
        <v>689.30202073999874</v>
      </c>
      <c r="Y39" s="173">
        <v>38.795999999999999</v>
      </c>
      <c r="Z39" s="173">
        <v>901.09731944800001</v>
      </c>
      <c r="AA39" s="173">
        <v>0</v>
      </c>
      <c r="AB39" s="173">
        <v>0</v>
      </c>
      <c r="AC39" s="173">
        <v>0</v>
      </c>
      <c r="AD39" s="173">
        <v>0</v>
      </c>
      <c r="AE39" s="173">
        <v>0</v>
      </c>
      <c r="AF39" s="173">
        <v>0</v>
      </c>
      <c r="AG39" s="173">
        <v>93.607604219999999</v>
      </c>
      <c r="AH39" s="173">
        <v>0</v>
      </c>
      <c r="AI39" s="173">
        <v>266.32310045779946</v>
      </c>
      <c r="AJ39" s="173">
        <v>1150.7242742600001</v>
      </c>
      <c r="AK39" s="173">
        <v>65.423194660000007</v>
      </c>
      <c r="AL39" s="173">
        <v>0</v>
      </c>
      <c r="AM39" s="173">
        <v>152.97126821660001</v>
      </c>
      <c r="AN39" s="173">
        <v>35.489102559999999</v>
      </c>
      <c r="AO39" s="173">
        <v>402.85031833999994</v>
      </c>
      <c r="AP39" s="173">
        <v>5743.7801200000004</v>
      </c>
      <c r="AQ39" s="173">
        <v>417.02076537000005</v>
      </c>
      <c r="AR39" s="173">
        <v>0</v>
      </c>
      <c r="AS39" s="173">
        <v>17.018490519999997</v>
      </c>
      <c r="AT39" s="173">
        <v>0</v>
      </c>
      <c r="AU39" s="173">
        <v>3.8701770299999998</v>
      </c>
      <c r="AV39" s="173">
        <v>622.29767639000011</v>
      </c>
      <c r="AW39" s="173">
        <v>0</v>
      </c>
      <c r="AX39" s="173">
        <v>0</v>
      </c>
      <c r="AY39" s="173">
        <v>0</v>
      </c>
      <c r="AZ39" s="173">
        <v>49.573842359999993</v>
      </c>
      <c r="BA39" s="173">
        <v>3117.850543</v>
      </c>
      <c r="BB39" s="173">
        <v>112.1634</v>
      </c>
      <c r="BC39" s="173">
        <v>0</v>
      </c>
      <c r="BD39" s="173">
        <v>142.17427054000007</v>
      </c>
      <c r="BE39" s="173">
        <v>109.4663</v>
      </c>
    </row>
    <row r="40" spans="2:57" x14ac:dyDescent="0.55000000000000004">
      <c r="B40" s="178"/>
      <c r="C40" s="140" t="s">
        <v>312</v>
      </c>
      <c r="D40" s="173">
        <v>19215.745788260734</v>
      </c>
      <c r="E40" s="173">
        <v>14320.758115846198</v>
      </c>
      <c r="F40" s="173">
        <v>7938.8795015544893</v>
      </c>
      <c r="G40" s="173">
        <v>35936.098641184421</v>
      </c>
      <c r="H40" s="173">
        <v>6323.3223067262543</v>
      </c>
      <c r="I40" s="173">
        <v>12573.946374669998</v>
      </c>
      <c r="J40" s="173">
        <v>5274.5963545616069</v>
      </c>
      <c r="K40" s="173">
        <v>13515.780706515223</v>
      </c>
      <c r="L40" s="173">
        <v>15234.445996564602</v>
      </c>
      <c r="M40" s="173">
        <v>1948.2040549083522</v>
      </c>
      <c r="N40" s="173">
        <v>4537.4721781072803</v>
      </c>
      <c r="O40" s="173">
        <v>13660.570291049102</v>
      </c>
      <c r="P40" s="173">
        <v>17281.254292634898</v>
      </c>
      <c r="Q40" s="173">
        <v>22454.569972687706</v>
      </c>
      <c r="R40" s="173">
        <v>28766.585947299729</v>
      </c>
      <c r="S40" s="173">
        <v>10501.093233429998</v>
      </c>
      <c r="T40" s="173">
        <v>10352.590151183211</v>
      </c>
      <c r="U40" s="173">
        <v>19989.754156224546</v>
      </c>
      <c r="V40" s="173">
        <v>7766.7597964846937</v>
      </c>
      <c r="W40" s="173">
        <v>3682.5548794348388</v>
      </c>
      <c r="X40" s="173">
        <v>1238.3310007930584</v>
      </c>
      <c r="Y40" s="173">
        <v>63.264000000000003</v>
      </c>
      <c r="Z40" s="173">
        <v>128.74352117000055</v>
      </c>
      <c r="AA40" s="173">
        <v>1296.9181484608903</v>
      </c>
      <c r="AB40" s="173">
        <v>375.5902574763744</v>
      </c>
      <c r="AC40" s="173">
        <v>55.697898177094231</v>
      </c>
      <c r="AD40" s="173">
        <v>3907.1742430971326</v>
      </c>
      <c r="AE40" s="173">
        <v>1960.9919591393502</v>
      </c>
      <c r="AF40" s="173">
        <v>1076.8058885101696</v>
      </c>
      <c r="AG40" s="173">
        <v>13.882456010000023</v>
      </c>
      <c r="AH40" s="173">
        <v>1083.8561922239744</v>
      </c>
      <c r="AI40" s="173">
        <v>618.09034906335364</v>
      </c>
      <c r="AJ40" s="173">
        <v>2567.342993968633</v>
      </c>
      <c r="AK40" s="173">
        <v>243.33053984999995</v>
      </c>
      <c r="AL40" s="173">
        <v>37.378170859999997</v>
      </c>
      <c r="AM40" s="173">
        <v>329.17209410370936</v>
      </c>
      <c r="AN40" s="173">
        <v>142.67420321610123</v>
      </c>
      <c r="AO40" s="173">
        <v>181.61057573153323</v>
      </c>
      <c r="AP40" s="173">
        <v>145.02538999999967</v>
      </c>
      <c r="AQ40" s="173">
        <v>149.24133386274102</v>
      </c>
      <c r="AR40" s="173">
        <v>1178.5489352599984</v>
      </c>
      <c r="AS40" s="173">
        <v>99.471077655000059</v>
      </c>
      <c r="AT40" s="173">
        <v>189.61500000000001</v>
      </c>
      <c r="AU40" s="173">
        <v>275.32176520480004</v>
      </c>
      <c r="AV40" s="173">
        <v>63.317423566499727</v>
      </c>
      <c r="AW40" s="173">
        <v>202.55783000000008</v>
      </c>
      <c r="AX40" s="173">
        <v>207.82208445999993</v>
      </c>
      <c r="AY40" s="173">
        <v>58.31105384144012</v>
      </c>
      <c r="AZ40" s="173">
        <v>69.152867680000028</v>
      </c>
      <c r="BA40" s="173">
        <v>51.828175100000109</v>
      </c>
      <c r="BB40" s="173">
        <v>159.80836775837849</v>
      </c>
      <c r="BC40" s="173">
        <v>183.63240577409999</v>
      </c>
      <c r="BD40" s="173">
        <v>610.35538282443792</v>
      </c>
      <c r="BE40" s="173">
        <v>115.93981358999991</v>
      </c>
    </row>
    <row r="41" spans="2:57" x14ac:dyDescent="0.55000000000000004">
      <c r="B41" s="178">
        <v>6</v>
      </c>
      <c r="C41" s="138" t="s">
        <v>143</v>
      </c>
      <c r="D41" s="173">
        <v>974.33597630201007</v>
      </c>
      <c r="E41" s="173">
        <v>152.95757987113026</v>
      </c>
      <c r="F41" s="173">
        <v>0</v>
      </c>
      <c r="G41" s="173">
        <v>2.3577835299999998</v>
      </c>
      <c r="H41" s="173">
        <v>0</v>
      </c>
      <c r="I41" s="173">
        <v>0</v>
      </c>
      <c r="J41" s="173">
        <v>0</v>
      </c>
      <c r="K41" s="173">
        <v>0.44285139400006829</v>
      </c>
      <c r="L41" s="173">
        <v>0</v>
      </c>
      <c r="M41" s="173">
        <v>0</v>
      </c>
      <c r="N41" s="173">
        <v>0</v>
      </c>
      <c r="O41" s="173">
        <v>0</v>
      </c>
      <c r="P41" s="173">
        <v>0</v>
      </c>
      <c r="Q41" s="173">
        <v>541.60135217104107</v>
      </c>
      <c r="R41" s="173">
        <v>0</v>
      </c>
      <c r="S41" s="173">
        <v>0</v>
      </c>
      <c r="T41" s="173">
        <v>0</v>
      </c>
      <c r="U41" s="173">
        <v>0</v>
      </c>
      <c r="V41" s="173">
        <v>0</v>
      </c>
      <c r="W41" s="173">
        <v>0</v>
      </c>
      <c r="X41" s="173">
        <v>0</v>
      </c>
      <c r="Y41" s="173">
        <v>0</v>
      </c>
      <c r="Z41" s="173">
        <v>0</v>
      </c>
      <c r="AA41" s="173">
        <v>0</v>
      </c>
      <c r="AB41" s="173">
        <v>0</v>
      </c>
      <c r="AC41" s="173">
        <v>0</v>
      </c>
      <c r="AD41" s="173">
        <v>4.3725530000101778E-2</v>
      </c>
      <c r="AE41" s="173">
        <v>0</v>
      </c>
      <c r="AF41" s="173">
        <v>0</v>
      </c>
      <c r="AG41" s="173">
        <v>0</v>
      </c>
      <c r="AH41" s="173">
        <v>0</v>
      </c>
      <c r="AI41" s="173">
        <v>0</v>
      </c>
      <c r="AJ41" s="173">
        <v>0</v>
      </c>
      <c r="AK41" s="173">
        <v>0</v>
      </c>
      <c r="AL41" s="173">
        <v>0</v>
      </c>
      <c r="AM41" s="173">
        <v>0</v>
      </c>
      <c r="AN41" s="173">
        <v>0</v>
      </c>
      <c r="AO41" s="173">
        <v>0</v>
      </c>
      <c r="AP41" s="173">
        <v>22.280974750000052</v>
      </c>
      <c r="AQ41" s="173">
        <v>0</v>
      </c>
      <c r="AR41" s="173">
        <v>0</v>
      </c>
      <c r="AS41" s="173">
        <v>0</v>
      </c>
      <c r="AT41" s="173">
        <v>0</v>
      </c>
      <c r="AU41" s="173">
        <v>-0.20175022000000001</v>
      </c>
      <c r="AV41" s="173">
        <v>0</v>
      </c>
      <c r="AW41" s="173">
        <v>0</v>
      </c>
      <c r="AX41" s="173">
        <v>0</v>
      </c>
      <c r="AY41" s="173">
        <v>0</v>
      </c>
      <c r="AZ41" s="173">
        <v>0</v>
      </c>
      <c r="BA41" s="173">
        <v>0</v>
      </c>
      <c r="BB41" s="173">
        <v>0</v>
      </c>
      <c r="BC41" s="173">
        <v>0</v>
      </c>
      <c r="BD41" s="173">
        <v>0</v>
      </c>
      <c r="BE41" s="173">
        <v>0.60684968000000006</v>
      </c>
    </row>
    <row r="42" spans="2:57" x14ac:dyDescent="0.55000000000000004">
      <c r="B42" s="179">
        <v>7</v>
      </c>
      <c r="C42" s="180" t="s">
        <v>144</v>
      </c>
      <c r="D42" s="173">
        <v>552.71580777724853</v>
      </c>
      <c r="E42" s="173">
        <v>558.29933845207006</v>
      </c>
      <c r="F42" s="173">
        <v>716.39604401642941</v>
      </c>
      <c r="G42" s="173">
        <v>634.23211888339824</v>
      </c>
      <c r="H42" s="173">
        <v>271.62822227415472</v>
      </c>
      <c r="I42" s="173">
        <v>408.94087085493135</v>
      </c>
      <c r="J42" s="173">
        <v>158.93068531174731</v>
      </c>
      <c r="K42" s="173">
        <v>483.89558430638635</v>
      </c>
      <c r="L42" s="173">
        <v>319.36652532540177</v>
      </c>
      <c r="M42" s="173">
        <v>265.22598791076967</v>
      </c>
      <c r="N42" s="173">
        <v>492.43641511662452</v>
      </c>
      <c r="O42" s="173">
        <v>394.45204313213947</v>
      </c>
      <c r="P42" s="173">
        <v>401.34682952820054</v>
      </c>
      <c r="Q42" s="173">
        <v>3.7473767472132948</v>
      </c>
      <c r="R42" s="173">
        <v>784.53507933989999</v>
      </c>
      <c r="S42" s="173">
        <v>272.4575265699998</v>
      </c>
      <c r="T42" s="173">
        <v>504.96421105410911</v>
      </c>
      <c r="U42" s="173">
        <v>466.77181183919998</v>
      </c>
      <c r="V42" s="173">
        <v>302.33048172637558</v>
      </c>
      <c r="W42" s="173">
        <v>390.25544159249455</v>
      </c>
      <c r="X42" s="173">
        <v>0</v>
      </c>
      <c r="Y42" s="173">
        <v>0</v>
      </c>
      <c r="Z42" s="173">
        <v>0</v>
      </c>
      <c r="AA42" s="173">
        <v>69.567634760399869</v>
      </c>
      <c r="AB42" s="173">
        <v>0</v>
      </c>
      <c r="AC42" s="173">
        <v>9.7701459672727289</v>
      </c>
      <c r="AD42" s="173">
        <v>157.28024782897737</v>
      </c>
      <c r="AE42" s="173">
        <v>133.97176635999998</v>
      </c>
      <c r="AF42" s="173">
        <v>0</v>
      </c>
      <c r="AG42" s="173">
        <v>0</v>
      </c>
      <c r="AH42" s="173">
        <v>87.514708186437645</v>
      </c>
      <c r="AI42" s="173">
        <v>85.675821451158555</v>
      </c>
      <c r="AJ42" s="173">
        <v>110.79636184469994</v>
      </c>
      <c r="AK42" s="173">
        <v>0</v>
      </c>
      <c r="AL42" s="173">
        <v>0.68531600000000004</v>
      </c>
      <c r="AM42" s="173">
        <v>3.2362288895589062</v>
      </c>
      <c r="AN42" s="173">
        <v>3.6267461559000065</v>
      </c>
      <c r="AO42" s="173">
        <v>0</v>
      </c>
      <c r="AP42" s="173">
        <v>0</v>
      </c>
      <c r="AQ42" s="173">
        <v>0</v>
      </c>
      <c r="AR42" s="173">
        <v>0</v>
      </c>
      <c r="AS42" s="173">
        <v>15.0219688626</v>
      </c>
      <c r="AT42" s="173">
        <v>6.8029999999999999</v>
      </c>
      <c r="AU42" s="173">
        <v>0</v>
      </c>
      <c r="AV42" s="173">
        <v>6.4126801934995257</v>
      </c>
      <c r="AW42" s="173">
        <v>5.0464399999999996</v>
      </c>
      <c r="AX42" s="173">
        <v>1.1646175170000062</v>
      </c>
      <c r="AY42" s="173">
        <v>4.1888167160000043</v>
      </c>
      <c r="AZ42" s="173">
        <v>0</v>
      </c>
      <c r="BA42" s="173">
        <v>0</v>
      </c>
      <c r="BB42" s="173">
        <v>4.7620294332011177</v>
      </c>
      <c r="BC42" s="173">
        <v>17.852941077300098</v>
      </c>
      <c r="BD42" s="173">
        <v>5.7664592337088836</v>
      </c>
      <c r="BE42" s="173">
        <v>13.777389999999999</v>
      </c>
    </row>
    <row r="43" spans="2:57" s="167" customFormat="1" x14ac:dyDescent="0.55000000000000004">
      <c r="B43" s="181" t="s">
        <v>313</v>
      </c>
      <c r="C43" s="181"/>
      <c r="D43" s="182">
        <v>409647.17713714775</v>
      </c>
      <c r="E43" s="182">
        <v>595705.40482103173</v>
      </c>
      <c r="F43" s="182">
        <v>673066.59018513281</v>
      </c>
      <c r="G43" s="182">
        <v>621359.23220930318</v>
      </c>
      <c r="H43" s="182">
        <v>163433.12864227008</v>
      </c>
      <c r="I43" s="182">
        <v>399906.7900990913</v>
      </c>
      <c r="J43" s="182">
        <v>250056.33383333153</v>
      </c>
      <c r="K43" s="182">
        <v>358934.26501287706</v>
      </c>
      <c r="L43" s="182">
        <v>405798.99372954376</v>
      </c>
      <c r="M43" s="182">
        <v>219670.57982720906</v>
      </c>
      <c r="N43" s="182">
        <v>474149.62365477008</v>
      </c>
      <c r="O43" s="182">
        <v>451523.51239922375</v>
      </c>
      <c r="P43" s="182">
        <v>348601.33864455321</v>
      </c>
      <c r="Q43" s="182">
        <v>400933.96474143176</v>
      </c>
      <c r="R43" s="182">
        <v>729901.35147974687</v>
      </c>
      <c r="S43" s="182">
        <v>262819.23250243004</v>
      </c>
      <c r="T43" s="182">
        <v>333523.35535699461</v>
      </c>
      <c r="U43" s="182">
        <v>361107.6213175389</v>
      </c>
      <c r="V43" s="182">
        <v>418913.43740687921</v>
      </c>
      <c r="W43" s="182">
        <v>271351.69624387455</v>
      </c>
      <c r="X43" s="182">
        <v>67342.254539044152</v>
      </c>
      <c r="Y43" s="182">
        <v>666.29200000000003</v>
      </c>
      <c r="Z43" s="182">
        <v>6326.7557599750007</v>
      </c>
      <c r="AA43" s="182">
        <v>64399.732608785605</v>
      </c>
      <c r="AB43" s="182">
        <v>19696.813071400702</v>
      </c>
      <c r="AC43" s="182">
        <v>8721.0401226312661</v>
      </c>
      <c r="AD43" s="182">
        <v>138724.12825386281</v>
      </c>
      <c r="AE43" s="182">
        <v>107290.49326797338</v>
      </c>
      <c r="AF43" s="182">
        <v>74230.572068918584</v>
      </c>
      <c r="AG43" s="182">
        <v>3020.8751209099778</v>
      </c>
      <c r="AH43" s="182">
        <v>74973.74812041322</v>
      </c>
      <c r="AI43" s="182">
        <v>83827.210619161298</v>
      </c>
      <c r="AJ43" s="182">
        <v>72464.697303143665</v>
      </c>
      <c r="AK43" s="182">
        <v>6645.1128466300006</v>
      </c>
      <c r="AL43" s="182">
        <v>1820.3433897740003</v>
      </c>
      <c r="AM43" s="182">
        <v>8972.4695313839693</v>
      </c>
      <c r="AN43" s="182">
        <v>7465.9824589020018</v>
      </c>
      <c r="AO43" s="182">
        <v>5836.9466755922112</v>
      </c>
      <c r="AP43" s="182">
        <v>8733.9502363099982</v>
      </c>
      <c r="AQ43" s="182">
        <v>12257.467563492944</v>
      </c>
      <c r="AR43" s="182">
        <v>16245.051678058846</v>
      </c>
      <c r="AS43" s="182">
        <v>9786.5061702305247</v>
      </c>
      <c r="AT43" s="182">
        <v>7492.3190000000004</v>
      </c>
      <c r="AU43" s="182">
        <v>8467.7155507947991</v>
      </c>
      <c r="AV43" s="182">
        <v>4793.36884147</v>
      </c>
      <c r="AW43" s="182">
        <v>9764.1700700000001</v>
      </c>
      <c r="AX43" s="182">
        <v>9540.0793233184959</v>
      </c>
      <c r="AY43" s="182">
        <v>4045.828142738078</v>
      </c>
      <c r="AZ43" s="182">
        <v>3601.4239156866997</v>
      </c>
      <c r="BA43" s="182">
        <v>4100.5951898000003</v>
      </c>
      <c r="BB43" s="182">
        <v>10434.532171508765</v>
      </c>
      <c r="BC43" s="182">
        <v>24061.184587660009</v>
      </c>
      <c r="BD43" s="182">
        <v>27852.524158770379</v>
      </c>
      <c r="BE43" s="182">
        <v>10635.250358110003</v>
      </c>
    </row>
    <row r="44" spans="2:57" ht="16" thickBot="1" x14ac:dyDescent="0.6">
      <c r="B44" s="168"/>
      <c r="C44" s="169" t="s">
        <v>146</v>
      </c>
      <c r="D44" s="183"/>
      <c r="E44" s="184"/>
      <c r="F44" s="184"/>
      <c r="G44" s="184"/>
      <c r="H44" s="184"/>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row>
    <row r="45" spans="2:57" ht="16" thickTop="1" x14ac:dyDescent="0.55000000000000004">
      <c r="B45" s="171">
        <v>1</v>
      </c>
      <c r="C45" s="172" t="s">
        <v>147</v>
      </c>
      <c r="D45" s="173">
        <v>53719.632005362604</v>
      </c>
      <c r="E45" s="173">
        <v>51910.84082386949</v>
      </c>
      <c r="F45" s="173">
        <v>31836.986527258377</v>
      </c>
      <c r="G45" s="173">
        <v>29612.724139089991</v>
      </c>
      <c r="H45" s="173">
        <v>26041.44711763327</v>
      </c>
      <c r="I45" s="173">
        <v>28180.251942999999</v>
      </c>
      <c r="J45" s="173">
        <v>15096.309395360002</v>
      </c>
      <c r="K45" s="173">
        <v>69213.734364637945</v>
      </c>
      <c r="L45" s="173">
        <v>24423.98565776999</v>
      </c>
      <c r="M45" s="173">
        <v>11576.632003846944</v>
      </c>
      <c r="N45" s="173">
        <v>24132.154761546699</v>
      </c>
      <c r="O45" s="173">
        <v>19608.03894938001</v>
      </c>
      <c r="P45" s="173">
        <v>16290.674037940014</v>
      </c>
      <c r="Q45" s="173">
        <v>18111.652090849995</v>
      </c>
      <c r="R45" s="173">
        <v>37209.503644723874</v>
      </c>
      <c r="S45" s="173">
        <v>18651.581362579989</v>
      </c>
      <c r="T45" s="173">
        <v>17749.80388462</v>
      </c>
      <c r="U45" s="173">
        <v>20876.433837490455</v>
      </c>
      <c r="V45" s="173">
        <v>21987.111071239964</v>
      </c>
      <c r="W45" s="173">
        <v>21357.910069461806</v>
      </c>
      <c r="X45" s="173">
        <v>4788.3693475100008</v>
      </c>
      <c r="Y45" s="173">
        <v>180.114</v>
      </c>
      <c r="Z45" s="173">
        <v>63.281547010000097</v>
      </c>
      <c r="AA45" s="173">
        <v>4047.3050768599987</v>
      </c>
      <c r="AB45" s="173">
        <v>1604.9976608600011</v>
      </c>
      <c r="AC45" s="173">
        <v>431.45926056000002</v>
      </c>
      <c r="AD45" s="173">
        <v>7809.7878270300034</v>
      </c>
      <c r="AE45" s="173">
        <v>6714.8007074000025</v>
      </c>
      <c r="AF45" s="173">
        <v>4063.14071418</v>
      </c>
      <c r="AG45" s="173">
        <v>1258.5964128400003</v>
      </c>
      <c r="AH45" s="173">
        <v>4478.9763315200007</v>
      </c>
      <c r="AI45" s="173">
        <v>4339.2373555799995</v>
      </c>
      <c r="AJ45" s="173">
        <v>4677.9195231400017</v>
      </c>
      <c r="AK45" s="173">
        <v>681.40357074999986</v>
      </c>
      <c r="AL45" s="173">
        <v>350.16331348</v>
      </c>
      <c r="AM45" s="173">
        <v>1482.0674867300004</v>
      </c>
      <c r="AN45" s="173">
        <v>654.83907971000008</v>
      </c>
      <c r="AO45" s="173">
        <v>489.5635614199997</v>
      </c>
      <c r="AP45" s="173">
        <v>114.34794999999998</v>
      </c>
      <c r="AQ45" s="173">
        <v>1224.6649603999997</v>
      </c>
      <c r="AR45" s="173">
        <v>3069.2825584100001</v>
      </c>
      <c r="AS45" s="173">
        <v>569.32187715999976</v>
      </c>
      <c r="AT45" s="173">
        <v>552.35400000000004</v>
      </c>
      <c r="AU45" s="173">
        <v>804.00201045000017</v>
      </c>
      <c r="AV45" s="173">
        <v>1021.7930013799999</v>
      </c>
      <c r="AW45" s="173">
        <v>1998.9108000000003</v>
      </c>
      <c r="AX45" s="173">
        <v>908.7894372400001</v>
      </c>
      <c r="AY45" s="173">
        <v>590.36250075000021</v>
      </c>
      <c r="AZ45" s="173">
        <v>256.24414610999997</v>
      </c>
      <c r="BA45" s="173">
        <v>167.91555080000006</v>
      </c>
      <c r="BB45" s="173">
        <v>1218.8162369999998</v>
      </c>
      <c r="BC45" s="173">
        <v>1873.3128204799998</v>
      </c>
      <c r="BD45" s="173">
        <v>1089.6599774980007</v>
      </c>
      <c r="BE45" s="173">
        <v>611.87641779</v>
      </c>
    </row>
    <row r="46" spans="2:57" x14ac:dyDescent="0.55000000000000004">
      <c r="B46" s="177"/>
      <c r="C46" s="140" t="s">
        <v>148</v>
      </c>
      <c r="D46" s="173">
        <v>7390.7936887035994</v>
      </c>
      <c r="E46" s="173">
        <v>7851.9220531517003</v>
      </c>
      <c r="F46" s="173">
        <v>5965.3057236175</v>
      </c>
      <c r="G46" s="173">
        <v>6382.1567515300003</v>
      </c>
      <c r="H46" s="173">
        <v>1139.5912010300001</v>
      </c>
      <c r="I46" s="173">
        <v>3828.9221400000001</v>
      </c>
      <c r="J46" s="173">
        <v>848.86152150999999</v>
      </c>
      <c r="K46" s="173">
        <v>2297.3146239199996</v>
      </c>
      <c r="L46" s="173">
        <v>7690.4885185000003</v>
      </c>
      <c r="M46" s="173">
        <v>2355.0927806899995</v>
      </c>
      <c r="N46" s="173">
        <v>7004.7355408827498</v>
      </c>
      <c r="O46" s="173">
        <v>4312.8517014500021</v>
      </c>
      <c r="P46" s="173">
        <v>2957.19925719</v>
      </c>
      <c r="Q46" s="173">
        <v>4740.14565133</v>
      </c>
      <c r="R46" s="173">
        <v>6008.0931269568509</v>
      </c>
      <c r="S46" s="173">
        <v>3209.1370668999998</v>
      </c>
      <c r="T46" s="173">
        <v>3391.5101222100002</v>
      </c>
      <c r="U46" s="173">
        <v>3399.1340077869972</v>
      </c>
      <c r="V46" s="173">
        <v>4161.130669272633</v>
      </c>
      <c r="W46" s="173">
        <v>2211.1084747236009</v>
      </c>
      <c r="X46" s="173">
        <v>576.01338629999998</v>
      </c>
      <c r="Y46" s="173">
        <v>16.233000000000001</v>
      </c>
      <c r="Z46" s="173">
        <v>2.5502710000000004</v>
      </c>
      <c r="AA46" s="173">
        <v>512.46710128999996</v>
      </c>
      <c r="AB46" s="173">
        <v>377.73800897000001</v>
      </c>
      <c r="AC46" s="173">
        <v>47.657771150000002</v>
      </c>
      <c r="AD46" s="173">
        <v>1501.3030580499999</v>
      </c>
      <c r="AE46" s="173">
        <v>743.66563714000006</v>
      </c>
      <c r="AF46" s="173">
        <v>487.16362115000004</v>
      </c>
      <c r="AG46" s="173">
        <v>19.750957999999997</v>
      </c>
      <c r="AH46" s="173">
        <v>898.65971579000006</v>
      </c>
      <c r="AI46" s="173">
        <v>658.73616900000002</v>
      </c>
      <c r="AJ46" s="173">
        <v>593.6808523499999</v>
      </c>
      <c r="AK46" s="173">
        <v>69.961156000000003</v>
      </c>
      <c r="AL46" s="173">
        <v>25.243389000000001</v>
      </c>
      <c r="AM46" s="173">
        <v>113.25367496</v>
      </c>
      <c r="AN46" s="173">
        <v>64.518150649999995</v>
      </c>
      <c r="AO46" s="173">
        <v>30.709867000000003</v>
      </c>
      <c r="AP46" s="173">
        <v>0</v>
      </c>
      <c r="AQ46" s="173">
        <v>193.520612</v>
      </c>
      <c r="AR46" s="173">
        <v>191.09244431000002</v>
      </c>
      <c r="AS46" s="173">
        <v>30.319893810000003</v>
      </c>
      <c r="AT46" s="173">
        <v>30.657</v>
      </c>
      <c r="AU46" s="173">
        <v>55.592039</v>
      </c>
      <c r="AV46" s="173">
        <v>25.639237920000003</v>
      </c>
      <c r="AW46" s="173">
        <v>105.87106</v>
      </c>
      <c r="AX46" s="173">
        <v>93.816999999999993</v>
      </c>
      <c r="AY46" s="173">
        <v>24.259996999999998</v>
      </c>
      <c r="AZ46" s="173">
        <v>35.862733999999996</v>
      </c>
      <c r="BA46" s="173">
        <v>0.13636400000000001</v>
      </c>
      <c r="BB46" s="173">
        <v>49.957946999999997</v>
      </c>
      <c r="BC46" s="173">
        <v>187.52638399999998</v>
      </c>
      <c r="BD46" s="173">
        <v>98.247774047999997</v>
      </c>
      <c r="BE46" s="173">
        <v>44.192322780000005</v>
      </c>
    </row>
    <row r="47" spans="2:57" x14ac:dyDescent="0.55000000000000004">
      <c r="B47" s="177"/>
      <c r="C47" s="140" t="s">
        <v>149</v>
      </c>
      <c r="D47" s="173">
        <v>7339.9432604535996</v>
      </c>
      <c r="E47" s="173">
        <v>7734.6752996817004</v>
      </c>
      <c r="F47" s="173">
        <v>5611.3491839999997</v>
      </c>
      <c r="G47" s="173">
        <v>6074.3656996300006</v>
      </c>
      <c r="H47" s="173">
        <v>1063.72699306</v>
      </c>
      <c r="I47" s="173">
        <v>3579.4939948800002</v>
      </c>
      <c r="J47" s="173">
        <v>836.06945510000003</v>
      </c>
      <c r="K47" s="173">
        <v>2257.3686899999998</v>
      </c>
      <c r="L47" s="173">
        <v>7457.5465400000003</v>
      </c>
      <c r="M47" s="173">
        <v>2125.4676817099994</v>
      </c>
      <c r="N47" s="173">
        <v>6706.2744480000001</v>
      </c>
      <c r="O47" s="173">
        <v>4130.1131994400021</v>
      </c>
      <c r="P47" s="173">
        <v>2707.1101410000001</v>
      </c>
      <c r="Q47" s="173">
        <v>4728.8391810399999</v>
      </c>
      <c r="R47" s="173">
        <v>5762.9990920900009</v>
      </c>
      <c r="S47" s="173">
        <v>3105.84465043</v>
      </c>
      <c r="T47" s="173">
        <v>3200.66125668</v>
      </c>
      <c r="U47" s="173">
        <v>3002.3405879100023</v>
      </c>
      <c r="V47" s="173">
        <v>4027.6946065700004</v>
      </c>
      <c r="W47" s="173">
        <v>2036.5721216900004</v>
      </c>
      <c r="X47" s="173">
        <v>543.55508328999997</v>
      </c>
      <c r="Y47" s="173">
        <v>16.233000000000001</v>
      </c>
      <c r="Z47" s="173">
        <v>2.5502710000000004</v>
      </c>
      <c r="AA47" s="173">
        <v>511.90134826999997</v>
      </c>
      <c r="AB47" s="173">
        <v>377.73800897000001</v>
      </c>
      <c r="AC47" s="173">
        <v>47.657771150000002</v>
      </c>
      <c r="AD47" s="173">
        <v>1453.097579</v>
      </c>
      <c r="AE47" s="173">
        <v>616.04707270000006</v>
      </c>
      <c r="AF47" s="173">
        <v>475.96598700000004</v>
      </c>
      <c r="AG47" s="173">
        <v>19.750957999999997</v>
      </c>
      <c r="AH47" s="173">
        <v>773.78550600000005</v>
      </c>
      <c r="AI47" s="173">
        <v>658.73616900000002</v>
      </c>
      <c r="AJ47" s="173">
        <v>593.19946699999991</v>
      </c>
      <c r="AK47" s="173">
        <v>69.961156000000003</v>
      </c>
      <c r="AL47" s="173">
        <v>25.243389000000001</v>
      </c>
      <c r="AM47" s="173">
        <v>113.25367496</v>
      </c>
      <c r="AN47" s="173">
        <v>64.518150649999995</v>
      </c>
      <c r="AO47" s="173">
        <v>30.709867000000003</v>
      </c>
      <c r="AP47" s="173">
        <v>0</v>
      </c>
      <c r="AQ47" s="173">
        <v>193.520612</v>
      </c>
      <c r="AR47" s="173">
        <v>191.09244431000002</v>
      </c>
      <c r="AS47" s="173">
        <v>30.319893810000003</v>
      </c>
      <c r="AT47" s="173">
        <v>30.657</v>
      </c>
      <c r="AU47" s="173">
        <v>55.592039</v>
      </c>
      <c r="AV47" s="173">
        <v>25.639237920000003</v>
      </c>
      <c r="AW47" s="173">
        <v>105.87106</v>
      </c>
      <c r="AX47" s="173">
        <v>93.816999999999993</v>
      </c>
      <c r="AY47" s="173">
        <v>24.259996999999998</v>
      </c>
      <c r="AZ47" s="173">
        <v>35.862733999999996</v>
      </c>
      <c r="BA47" s="173">
        <v>0.13636400000000001</v>
      </c>
      <c r="BB47" s="173">
        <v>49.941434999999998</v>
      </c>
      <c r="BC47" s="173">
        <v>187.399824</v>
      </c>
      <c r="BD47" s="173">
        <v>98.247774047999997</v>
      </c>
      <c r="BE47" s="173">
        <v>44.192322780000005</v>
      </c>
    </row>
    <row r="48" spans="2:57" x14ac:dyDescent="0.55000000000000004">
      <c r="B48" s="177"/>
      <c r="C48" s="140" t="s">
        <v>150</v>
      </c>
      <c r="D48" s="173">
        <v>50.850428250000014</v>
      </c>
      <c r="E48" s="173">
        <v>117.24675346999999</v>
      </c>
      <c r="F48" s="173">
        <v>353.95653961750008</v>
      </c>
      <c r="G48" s="173">
        <v>307.79105189999962</v>
      </c>
      <c r="H48" s="173">
        <v>75.864207970000137</v>
      </c>
      <c r="I48" s="173">
        <v>249.4281451200001</v>
      </c>
      <c r="J48" s="173">
        <v>12.79206641</v>
      </c>
      <c r="K48" s="173">
        <v>39.945933920000016</v>
      </c>
      <c r="L48" s="173">
        <v>232.9419785</v>
      </c>
      <c r="M48" s="173">
        <v>229.62509898000002</v>
      </c>
      <c r="N48" s="173">
        <v>298.46109288274988</v>
      </c>
      <c r="O48" s="173">
        <v>182.73850200999996</v>
      </c>
      <c r="P48" s="173">
        <v>250.08911619</v>
      </c>
      <c r="Q48" s="173">
        <v>11.306470289999998</v>
      </c>
      <c r="R48" s="173">
        <v>245.09403486685002</v>
      </c>
      <c r="S48" s="173">
        <v>103.29241647000001</v>
      </c>
      <c r="T48" s="173">
        <v>190.84886553000001</v>
      </c>
      <c r="U48" s="173">
        <v>396.79341987699502</v>
      </c>
      <c r="V48" s="173">
        <v>133.43606270263248</v>
      </c>
      <c r="W48" s="173">
        <v>174.53635303360076</v>
      </c>
      <c r="X48" s="173">
        <v>32.458303010000002</v>
      </c>
      <c r="Y48" s="173">
        <v>0</v>
      </c>
      <c r="Z48" s="173">
        <v>0</v>
      </c>
      <c r="AA48" s="173">
        <v>0.56575301999999994</v>
      </c>
      <c r="AB48" s="173">
        <v>0</v>
      </c>
      <c r="AC48" s="173">
        <v>0</v>
      </c>
      <c r="AD48" s="173">
        <v>48.205479050000008</v>
      </c>
      <c r="AE48" s="173">
        <v>127.61856444</v>
      </c>
      <c r="AF48" s="173">
        <v>11.197634150000003</v>
      </c>
      <c r="AG48" s="173">
        <v>0</v>
      </c>
      <c r="AH48" s="173">
        <v>124.87420979000004</v>
      </c>
      <c r="AI48" s="173">
        <v>0</v>
      </c>
      <c r="AJ48" s="173">
        <v>0.48138534999999999</v>
      </c>
      <c r="AK48" s="173">
        <v>0</v>
      </c>
      <c r="AL48" s="173">
        <v>0</v>
      </c>
      <c r="AM48" s="173">
        <v>0</v>
      </c>
      <c r="AN48" s="173">
        <v>0</v>
      </c>
      <c r="AO48" s="173">
        <v>0</v>
      </c>
      <c r="AP48" s="173">
        <v>0</v>
      </c>
      <c r="AQ48" s="173">
        <v>0</v>
      </c>
      <c r="AR48" s="173">
        <v>0</v>
      </c>
      <c r="AS48" s="173">
        <v>0</v>
      </c>
      <c r="AT48" s="173">
        <v>0</v>
      </c>
      <c r="AU48" s="173">
        <v>0</v>
      </c>
      <c r="AV48" s="173">
        <v>0</v>
      </c>
      <c r="AW48" s="173">
        <v>0</v>
      </c>
      <c r="AX48" s="173">
        <v>0</v>
      </c>
      <c r="AY48" s="173">
        <v>0</v>
      </c>
      <c r="AZ48" s="173">
        <v>0</v>
      </c>
      <c r="BA48" s="173">
        <v>0</v>
      </c>
      <c r="BB48" s="173">
        <v>1.6511999999999999E-2</v>
      </c>
      <c r="BC48" s="173">
        <v>0.12656000000000001</v>
      </c>
      <c r="BD48" s="173">
        <v>0</v>
      </c>
      <c r="BE48" s="173">
        <v>0</v>
      </c>
    </row>
    <row r="49" spans="2:57" x14ac:dyDescent="0.55000000000000004">
      <c r="B49" s="177"/>
      <c r="C49" s="140" t="s">
        <v>151</v>
      </c>
      <c r="D49" s="173">
        <v>46278.838316658999</v>
      </c>
      <c r="E49" s="173">
        <v>29509.018770717797</v>
      </c>
      <c r="F49" s="173">
        <v>25871.680803640869</v>
      </c>
      <c r="G49" s="173">
        <v>23230.56738756</v>
      </c>
      <c r="H49" s="173">
        <v>6561.65916660326</v>
      </c>
      <c r="I49" s="173">
        <v>23373.194802999999</v>
      </c>
      <c r="J49" s="173">
        <v>10005.847873850002</v>
      </c>
      <c r="K49" s="173">
        <v>65916.419740718018</v>
      </c>
      <c r="L49" s="173">
        <v>16733.497139269999</v>
      </c>
      <c r="M49" s="173">
        <v>9221.5392231569422</v>
      </c>
      <c r="N49" s="173">
        <v>17127.419220663949</v>
      </c>
      <c r="O49" s="173">
        <v>15295.18724793</v>
      </c>
      <c r="P49" s="173">
        <v>13333.474780750001</v>
      </c>
      <c r="Q49" s="173">
        <v>13371.506439520002</v>
      </c>
      <c r="R49" s="173">
        <v>31201.410517767014</v>
      </c>
      <c r="S49" s="173">
        <v>13233.79771364</v>
      </c>
      <c r="T49" s="173">
        <v>14358.29376241</v>
      </c>
      <c r="U49" s="173">
        <v>17388.824905057845</v>
      </c>
      <c r="V49" s="173">
        <v>17825.980401967339</v>
      </c>
      <c r="W49" s="173">
        <v>19146.801594738201</v>
      </c>
      <c r="X49" s="173">
        <v>2332.7175071300003</v>
      </c>
      <c r="Y49" s="173">
        <v>75.400000000000006</v>
      </c>
      <c r="Z49" s="173">
        <v>45.984218629999958</v>
      </c>
      <c r="AA49" s="173">
        <v>3534.8379755699998</v>
      </c>
      <c r="AB49" s="173">
        <v>748.99961655000004</v>
      </c>
      <c r="AC49" s="173">
        <v>306.90497762999996</v>
      </c>
      <c r="AD49" s="173">
        <v>4428.6744991000005</v>
      </c>
      <c r="AE49" s="173">
        <v>5971.1350702599993</v>
      </c>
      <c r="AF49" s="173">
        <v>3575.9770930300001</v>
      </c>
      <c r="AG49" s="173">
        <v>1238.84545484</v>
      </c>
      <c r="AH49" s="173">
        <v>2582.2929988599999</v>
      </c>
      <c r="AI49" s="173">
        <v>2967.1947804700003</v>
      </c>
      <c r="AJ49" s="173">
        <v>4084.23867079</v>
      </c>
      <c r="AK49" s="173">
        <v>221.37610844000002</v>
      </c>
      <c r="AL49" s="173">
        <v>77.719718900000004</v>
      </c>
      <c r="AM49" s="173">
        <v>345.03244212999999</v>
      </c>
      <c r="AN49" s="173">
        <v>313.78991112</v>
      </c>
      <c r="AO49" s="173">
        <v>205.12260293</v>
      </c>
      <c r="AP49" s="173">
        <v>1.32799</v>
      </c>
      <c r="AQ49" s="173">
        <v>416.81345630000004</v>
      </c>
      <c r="AR49" s="173">
        <v>535.69908570999996</v>
      </c>
      <c r="AS49" s="173">
        <v>364.59584506000004</v>
      </c>
      <c r="AT49" s="173">
        <v>521.697</v>
      </c>
      <c r="AU49" s="173">
        <v>317.39372144999993</v>
      </c>
      <c r="AV49" s="173">
        <v>134.32509900999997</v>
      </c>
      <c r="AW49" s="173">
        <v>795.16507000000001</v>
      </c>
      <c r="AX49" s="173">
        <v>814.97243723999998</v>
      </c>
      <c r="AY49" s="173">
        <v>142.67615372999998</v>
      </c>
      <c r="AZ49" s="173">
        <v>220.38141211000001</v>
      </c>
      <c r="BA49" s="173">
        <v>167.77918680000002</v>
      </c>
      <c r="BB49" s="173">
        <v>335.91192999999998</v>
      </c>
      <c r="BC49" s="173">
        <v>1685.7864364800005</v>
      </c>
      <c r="BD49" s="173">
        <v>991.41220344999999</v>
      </c>
      <c r="BE49" s="173">
        <v>407.68315168999999</v>
      </c>
    </row>
    <row r="50" spans="2:57" x14ac:dyDescent="0.55000000000000004">
      <c r="B50" s="177"/>
      <c r="C50" s="140" t="s">
        <v>152</v>
      </c>
      <c r="D50" s="173">
        <v>15272.586272708999</v>
      </c>
      <c r="E50" s="173">
        <v>26814.273465137398</v>
      </c>
      <c r="F50" s="173">
        <v>23803.328479635966</v>
      </c>
      <c r="G50" s="173">
        <v>19271.246991620003</v>
      </c>
      <c r="H50" s="173">
        <v>5678.5536445900007</v>
      </c>
      <c r="I50" s="173">
        <v>20027.717834999999</v>
      </c>
      <c r="J50" s="173">
        <v>7946.7205894999997</v>
      </c>
      <c r="K50" s="173">
        <v>62419.752280940011</v>
      </c>
      <c r="L50" s="173">
        <v>15074.24094012</v>
      </c>
      <c r="M50" s="173">
        <v>7642.8091888933996</v>
      </c>
      <c r="N50" s="173">
        <v>16284.598255031398</v>
      </c>
      <c r="O50" s="173">
        <v>14009.022241969999</v>
      </c>
      <c r="P50" s="173">
        <v>12161.06492269</v>
      </c>
      <c r="Q50" s="173">
        <v>12628.177776710001</v>
      </c>
      <c r="R50" s="173">
        <v>27277.990709844249</v>
      </c>
      <c r="S50" s="173">
        <v>8073.5981909700004</v>
      </c>
      <c r="T50" s="173">
        <v>12499.074117780001</v>
      </c>
      <c r="U50" s="173">
        <v>14805.702515690646</v>
      </c>
      <c r="V50" s="173">
        <v>15358.536421963976</v>
      </c>
      <c r="W50" s="173">
        <v>13828.540035161801</v>
      </c>
      <c r="X50" s="173">
        <v>2273.9202005100005</v>
      </c>
      <c r="Y50" s="173">
        <v>75.400000000000006</v>
      </c>
      <c r="Z50" s="173">
        <v>45.984218629999958</v>
      </c>
      <c r="AA50" s="173">
        <v>2211.5722139200002</v>
      </c>
      <c r="AB50" s="173">
        <v>571.87875872000006</v>
      </c>
      <c r="AC50" s="173">
        <v>291.56001538999993</v>
      </c>
      <c r="AD50" s="173">
        <v>4424.9260233800005</v>
      </c>
      <c r="AE50" s="173">
        <v>3515.3898214299998</v>
      </c>
      <c r="AF50" s="173">
        <v>2489.2130150799999</v>
      </c>
      <c r="AG50" s="173">
        <v>106.60798059</v>
      </c>
      <c r="AH50" s="173">
        <v>2500.5917923399998</v>
      </c>
      <c r="AI50" s="173">
        <v>2961.82804351</v>
      </c>
      <c r="AJ50" s="173">
        <v>2559.5129164800001</v>
      </c>
      <c r="AK50" s="173">
        <v>221.37610844000002</v>
      </c>
      <c r="AL50" s="173">
        <v>0</v>
      </c>
      <c r="AM50" s="173">
        <v>344.71294212999999</v>
      </c>
      <c r="AN50" s="173">
        <v>288.57356788999999</v>
      </c>
      <c r="AO50" s="173">
        <v>205.12260293</v>
      </c>
      <c r="AP50" s="173">
        <v>6.7420000000000008E-2</v>
      </c>
      <c r="AQ50" s="173">
        <v>416.81345630000004</v>
      </c>
      <c r="AR50" s="173">
        <v>535.69908570999996</v>
      </c>
      <c r="AS50" s="173">
        <v>364.59584506000004</v>
      </c>
      <c r="AT50" s="173">
        <v>245.459</v>
      </c>
      <c r="AU50" s="173">
        <v>290.41315999999995</v>
      </c>
      <c r="AV50" s="173">
        <v>131.24723184999999</v>
      </c>
      <c r="AW50" s="173">
        <v>635.75290000000007</v>
      </c>
      <c r="AX50" s="173">
        <v>389.14321824000001</v>
      </c>
      <c r="AY50" s="173">
        <v>142.67615372999998</v>
      </c>
      <c r="AZ50" s="173">
        <v>119.9147914</v>
      </c>
      <c r="BA50" s="173">
        <v>9.0744886000000005</v>
      </c>
      <c r="BB50" s="173">
        <v>331.85106999999999</v>
      </c>
      <c r="BC50" s="173">
        <v>900.07892816000015</v>
      </c>
      <c r="BD50" s="173">
        <v>844.10588734999999</v>
      </c>
      <c r="BE50" s="173">
        <v>407.68315168999999</v>
      </c>
    </row>
    <row r="51" spans="2:57" x14ac:dyDescent="0.55000000000000004">
      <c r="B51" s="177"/>
      <c r="C51" s="140" t="s">
        <v>314</v>
      </c>
      <c r="D51" s="173">
        <v>15272.586272708999</v>
      </c>
      <c r="E51" s="173">
        <v>29219.866673279997</v>
      </c>
      <c r="F51" s="173">
        <v>23692.314959409967</v>
      </c>
      <c r="G51" s="173">
        <v>19040.50473561</v>
      </c>
      <c r="H51" s="173">
        <v>5442.9429600000003</v>
      </c>
      <c r="I51" s="173">
        <v>19883.433621</v>
      </c>
      <c r="J51" s="173">
        <v>7837.0627155100001</v>
      </c>
      <c r="K51" s="173">
        <v>62377.584599220012</v>
      </c>
      <c r="L51" s="173">
        <v>15026.43407815</v>
      </c>
      <c r="M51" s="173">
        <v>7552.3564771199999</v>
      </c>
      <c r="N51" s="173">
        <v>16059.822344684999</v>
      </c>
      <c r="O51" s="173">
        <v>13903.381713749999</v>
      </c>
      <c r="P51" s="173">
        <v>12004.386766330001</v>
      </c>
      <c r="Q51" s="173">
        <v>12590.678000000002</v>
      </c>
      <c r="R51" s="173">
        <v>27128.398436119998</v>
      </c>
      <c r="S51" s="173">
        <v>7967.1873434300005</v>
      </c>
      <c r="T51" s="173">
        <v>10641.537743610001</v>
      </c>
      <c r="U51" s="173">
        <v>12758.974401420002</v>
      </c>
      <c r="V51" s="173">
        <v>15306.68534147</v>
      </c>
      <c r="W51" s="173">
        <v>10543.1320359</v>
      </c>
      <c r="X51" s="173">
        <v>2258.9612328000003</v>
      </c>
      <c r="Y51" s="173">
        <v>75.400000000000006</v>
      </c>
      <c r="Z51" s="173">
        <v>45.984218629999958</v>
      </c>
      <c r="AA51" s="173">
        <v>2200.8069971699997</v>
      </c>
      <c r="AB51" s="173">
        <v>571.87875872000006</v>
      </c>
      <c r="AC51" s="173">
        <v>291.56001538999993</v>
      </c>
      <c r="AD51" s="173">
        <v>4416.5284124600003</v>
      </c>
      <c r="AE51" s="173">
        <v>3489.9875502399996</v>
      </c>
      <c r="AF51" s="173">
        <v>2489.1442736100003</v>
      </c>
      <c r="AG51" s="173">
        <v>106.60798059</v>
      </c>
      <c r="AH51" s="173">
        <v>2499.8823605099997</v>
      </c>
      <c r="AI51" s="173">
        <v>2961.82804351</v>
      </c>
      <c r="AJ51" s="173">
        <v>2559.5129164800001</v>
      </c>
      <c r="AK51" s="173">
        <v>221.37610844000002</v>
      </c>
      <c r="AL51" s="173">
        <v>0</v>
      </c>
      <c r="AM51" s="173">
        <v>344.71294212999999</v>
      </c>
      <c r="AN51" s="173">
        <v>288.57356788999999</v>
      </c>
      <c r="AO51" s="173">
        <v>205.12260293</v>
      </c>
      <c r="AP51" s="173">
        <v>6.7420000000000008E-2</v>
      </c>
      <c r="AQ51" s="173">
        <v>416.81345630000004</v>
      </c>
      <c r="AR51" s="173">
        <v>535.69908570999996</v>
      </c>
      <c r="AS51" s="173">
        <v>364.59584506000004</v>
      </c>
      <c r="AT51" s="173">
        <v>245.459</v>
      </c>
      <c r="AU51" s="173">
        <v>290.41315999999995</v>
      </c>
      <c r="AV51" s="173">
        <v>131.24723184999999</v>
      </c>
      <c r="AW51" s="173">
        <v>635.75290000000007</v>
      </c>
      <c r="AX51" s="173">
        <v>389.14321824000001</v>
      </c>
      <c r="AY51" s="173">
        <v>142.67615372999998</v>
      </c>
      <c r="AZ51" s="173">
        <v>119.9147914</v>
      </c>
      <c r="BA51" s="173">
        <v>9.0744886000000005</v>
      </c>
      <c r="BB51" s="173">
        <v>331.85106999999999</v>
      </c>
      <c r="BC51" s="173">
        <v>900.07892816000015</v>
      </c>
      <c r="BD51" s="173">
        <v>844.10588734999999</v>
      </c>
      <c r="BE51" s="173">
        <v>407.68315168999999</v>
      </c>
    </row>
    <row r="52" spans="2:57" x14ac:dyDescent="0.55000000000000004">
      <c r="B52" s="177"/>
      <c r="C52" s="140" t="s">
        <v>315</v>
      </c>
      <c r="D52" s="173">
        <v>0</v>
      </c>
      <c r="E52" s="173">
        <v>-2405.5932081426004</v>
      </c>
      <c r="F52" s="173">
        <v>111.01352022600031</v>
      </c>
      <c r="G52" s="173">
        <v>230.74225601000214</v>
      </c>
      <c r="H52" s="173">
        <v>235.61068459000018</v>
      </c>
      <c r="I52" s="173">
        <v>144.28421399999999</v>
      </c>
      <c r="J52" s="173">
        <v>109.65787399000001</v>
      </c>
      <c r="K52" s="173">
        <v>42.167681719999997</v>
      </c>
      <c r="L52" s="173">
        <v>47.80686197</v>
      </c>
      <c r="M52" s="173">
        <v>90.452711773400011</v>
      </c>
      <c r="N52" s="173">
        <v>224.7759103464</v>
      </c>
      <c r="O52" s="173">
        <v>105.64052821999999</v>
      </c>
      <c r="P52" s="173">
        <v>156.67815635999997</v>
      </c>
      <c r="Q52" s="173">
        <v>37.499776709999999</v>
      </c>
      <c r="R52" s="173">
        <v>149.59227372425096</v>
      </c>
      <c r="S52" s="173">
        <v>106.41084754000001</v>
      </c>
      <c r="T52" s="173">
        <v>1857.53637417</v>
      </c>
      <c r="U52" s="173">
        <v>2046.728114270644</v>
      </c>
      <c r="V52" s="173">
        <v>51.851080493975495</v>
      </c>
      <c r="W52" s="173">
        <v>3285.4079992617999</v>
      </c>
      <c r="X52" s="173">
        <v>14.958967710000001</v>
      </c>
      <c r="Y52" s="173">
        <v>0</v>
      </c>
      <c r="Z52" s="173">
        <v>0</v>
      </c>
      <c r="AA52" s="173">
        <v>10.76521675</v>
      </c>
      <c r="AB52" s="173">
        <v>0</v>
      </c>
      <c r="AC52" s="173">
        <v>0</v>
      </c>
      <c r="AD52" s="173">
        <v>8.39761092</v>
      </c>
      <c r="AE52" s="173">
        <v>25.402271189999997</v>
      </c>
      <c r="AF52" s="173">
        <v>6.8741470000000013E-2</v>
      </c>
      <c r="AG52" s="173">
        <v>0</v>
      </c>
      <c r="AH52" s="173">
        <v>0.7094318300000001</v>
      </c>
      <c r="AI52" s="173">
        <v>0</v>
      </c>
      <c r="AJ52" s="173">
        <v>0</v>
      </c>
      <c r="AK52" s="173">
        <v>0</v>
      </c>
      <c r="AL52" s="173">
        <v>0</v>
      </c>
      <c r="AM52" s="173">
        <v>0</v>
      </c>
      <c r="AN52" s="173">
        <v>0</v>
      </c>
      <c r="AO52" s="173">
        <v>0</v>
      </c>
      <c r="AP52" s="173">
        <v>0</v>
      </c>
      <c r="AQ52" s="173">
        <v>0</v>
      </c>
      <c r="AR52" s="173">
        <v>0</v>
      </c>
      <c r="AS52" s="173">
        <v>0</v>
      </c>
      <c r="AT52" s="173">
        <v>0</v>
      </c>
      <c r="AU52" s="173">
        <v>0</v>
      </c>
      <c r="AV52" s="173">
        <v>0</v>
      </c>
      <c r="AW52" s="173">
        <v>0</v>
      </c>
      <c r="AX52" s="173">
        <v>0</v>
      </c>
      <c r="AY52" s="173">
        <v>0</v>
      </c>
      <c r="AZ52" s="173">
        <v>0</v>
      </c>
      <c r="BA52" s="173">
        <v>0</v>
      </c>
      <c r="BB52" s="173">
        <v>0</v>
      </c>
      <c r="BC52" s="173">
        <v>0</v>
      </c>
      <c r="BD52" s="173">
        <v>0</v>
      </c>
      <c r="BE52" s="173">
        <v>0</v>
      </c>
    </row>
    <row r="53" spans="2:57" x14ac:dyDescent="0.55000000000000004">
      <c r="B53" s="177"/>
      <c r="C53" s="140" t="s">
        <v>153</v>
      </c>
      <c r="D53" s="173">
        <v>29453.34303512</v>
      </c>
      <c r="E53" s="173">
        <v>1835.7365289499999</v>
      </c>
      <c r="F53" s="173">
        <v>79.368378150000012</v>
      </c>
      <c r="G53" s="173">
        <v>1678.4104544499996</v>
      </c>
      <c r="H53" s="173">
        <v>59.304358424512621</v>
      </c>
      <c r="I53" s="173">
        <v>122.80997993</v>
      </c>
      <c r="J53" s="173">
        <v>594.52323260000003</v>
      </c>
      <c r="K53" s="173">
        <v>398.96600085</v>
      </c>
      <c r="L53" s="173">
        <v>585.45077863999995</v>
      </c>
      <c r="M53" s="173">
        <v>568.64547456000014</v>
      </c>
      <c r="N53" s="173">
        <v>225.29011652799994</v>
      </c>
      <c r="O53" s="173">
        <v>198.73718617999998</v>
      </c>
      <c r="P53" s="173">
        <v>587.36748628999999</v>
      </c>
      <c r="Q53" s="173">
        <v>574.51919171999998</v>
      </c>
      <c r="R53" s="173">
        <v>674.52443200938387</v>
      </c>
      <c r="S53" s="173">
        <v>460.81722683999999</v>
      </c>
      <c r="T53" s="173">
        <v>250.29450245000001</v>
      </c>
      <c r="U53" s="173">
        <v>750.37815383000009</v>
      </c>
      <c r="V53" s="173">
        <v>949.72176898199996</v>
      </c>
      <c r="W53" s="173">
        <v>379.96722918199998</v>
      </c>
      <c r="X53" s="173">
        <v>55.084152370000005</v>
      </c>
      <c r="Y53" s="173">
        <v>0</v>
      </c>
      <c r="Z53" s="173">
        <v>0</v>
      </c>
      <c r="AA53" s="173">
        <v>1229.80951951</v>
      </c>
      <c r="AB53" s="173">
        <v>177.12085783000003</v>
      </c>
      <c r="AC53" s="173">
        <v>15.29408224</v>
      </c>
      <c r="AD53" s="173">
        <v>3.7484757200000005</v>
      </c>
      <c r="AE53" s="173">
        <v>2360.9941182399998</v>
      </c>
      <c r="AF53" s="173">
        <v>1009.8150741300003</v>
      </c>
      <c r="AG53" s="173">
        <v>915.10959162000006</v>
      </c>
      <c r="AH53" s="173">
        <v>81.70120652</v>
      </c>
      <c r="AI53" s="173">
        <v>5.3130479299999998</v>
      </c>
      <c r="AJ53" s="173">
        <v>1492.8534204299999</v>
      </c>
      <c r="AK53" s="173">
        <v>0</v>
      </c>
      <c r="AL53" s="173">
        <v>58.316566049999999</v>
      </c>
      <c r="AM53" s="173">
        <v>0.31950000000000001</v>
      </c>
      <c r="AN53" s="173">
        <v>25.216343230000003</v>
      </c>
      <c r="AO53" s="173">
        <v>0</v>
      </c>
      <c r="AP53" s="173">
        <v>1.26057</v>
      </c>
      <c r="AQ53" s="173">
        <v>0</v>
      </c>
      <c r="AR53" s="173">
        <v>0</v>
      </c>
      <c r="AS53" s="173">
        <v>0</v>
      </c>
      <c r="AT53" s="173">
        <v>235.077</v>
      </c>
      <c r="AU53" s="173">
        <v>26.959561450000002</v>
      </c>
      <c r="AV53" s="173">
        <v>3.0728671600000004</v>
      </c>
      <c r="AW53" s="173">
        <v>159.41217</v>
      </c>
      <c r="AX53" s="173">
        <v>317.491963</v>
      </c>
      <c r="AY53" s="173">
        <v>0</v>
      </c>
      <c r="AZ53" s="173">
        <v>74.309964350000001</v>
      </c>
      <c r="BA53" s="173">
        <v>158.50202040000002</v>
      </c>
      <c r="BB53" s="173">
        <v>4.0358600000000004</v>
      </c>
      <c r="BC53" s="173">
        <v>608.38861863000022</v>
      </c>
      <c r="BD53" s="173">
        <v>141.19113439000003</v>
      </c>
      <c r="BE53" s="173">
        <v>0</v>
      </c>
    </row>
    <row r="54" spans="2:57" x14ac:dyDescent="0.55000000000000004">
      <c r="B54" s="177"/>
      <c r="C54" s="140" t="s">
        <v>314</v>
      </c>
      <c r="D54" s="173">
        <v>29453.34303512</v>
      </c>
      <c r="E54" s="173">
        <v>1749.6929505999999</v>
      </c>
      <c r="F54" s="173">
        <v>79.368378150000012</v>
      </c>
      <c r="G54" s="173">
        <v>1667.4129274199997</v>
      </c>
      <c r="H54" s="173">
        <v>59.304358424512621</v>
      </c>
      <c r="I54" s="173">
        <v>122.80997993</v>
      </c>
      <c r="J54" s="173">
        <v>594.52323260000003</v>
      </c>
      <c r="K54" s="173">
        <v>245.13419463</v>
      </c>
      <c r="L54" s="173">
        <v>585.45077863999995</v>
      </c>
      <c r="M54" s="173">
        <v>302.49090585000005</v>
      </c>
      <c r="N54" s="173">
        <v>223.04137422999995</v>
      </c>
      <c r="O54" s="173">
        <v>195.89991599999999</v>
      </c>
      <c r="P54" s="173">
        <v>257.02369286000004</v>
      </c>
      <c r="Q54" s="173">
        <v>83.87254003999999</v>
      </c>
      <c r="R54" s="173">
        <v>616.27452735999987</v>
      </c>
      <c r="S54" s="173">
        <v>280.16219262999999</v>
      </c>
      <c r="T54" s="173">
        <v>161.20744266</v>
      </c>
      <c r="U54" s="173">
        <v>750.37815383000009</v>
      </c>
      <c r="V54" s="173">
        <v>675.2500488899999</v>
      </c>
      <c r="W54" s="173">
        <v>374.59300438999998</v>
      </c>
      <c r="X54" s="173">
        <v>0</v>
      </c>
      <c r="Y54" s="173">
        <v>0</v>
      </c>
      <c r="Z54" s="173">
        <v>0</v>
      </c>
      <c r="AA54" s="173">
        <v>1222.70141992</v>
      </c>
      <c r="AB54" s="173">
        <v>177.12085783000003</v>
      </c>
      <c r="AC54" s="173">
        <v>15.29408224</v>
      </c>
      <c r="AD54" s="173">
        <v>0</v>
      </c>
      <c r="AE54" s="173">
        <v>2342.7363614899996</v>
      </c>
      <c r="AF54" s="173">
        <v>1006.7704657600003</v>
      </c>
      <c r="AG54" s="173">
        <v>915.10959162000006</v>
      </c>
      <c r="AH54" s="173">
        <v>81.70120652</v>
      </c>
      <c r="AI54" s="173">
        <v>4.2279683299999995</v>
      </c>
      <c r="AJ54" s="173">
        <v>1482.4392512099998</v>
      </c>
      <c r="AK54" s="173">
        <v>0</v>
      </c>
      <c r="AL54" s="173">
        <v>58.316566049999999</v>
      </c>
      <c r="AM54" s="173">
        <v>0.31950000000000001</v>
      </c>
      <c r="AN54" s="173">
        <v>25.216343230000003</v>
      </c>
      <c r="AO54" s="173">
        <v>0</v>
      </c>
      <c r="AP54" s="173">
        <v>1.26057</v>
      </c>
      <c r="AQ54" s="173">
        <v>0</v>
      </c>
      <c r="AR54" s="173">
        <v>0</v>
      </c>
      <c r="AS54" s="173">
        <v>0</v>
      </c>
      <c r="AT54" s="173">
        <v>235.077</v>
      </c>
      <c r="AU54" s="173">
        <v>26.959561450000002</v>
      </c>
      <c r="AV54" s="173">
        <v>3.0728671600000004</v>
      </c>
      <c r="AW54" s="173">
        <v>159.41217</v>
      </c>
      <c r="AX54" s="173">
        <v>317.491963</v>
      </c>
      <c r="AY54" s="173">
        <v>0</v>
      </c>
      <c r="AZ54" s="173">
        <v>74.309964350000001</v>
      </c>
      <c r="BA54" s="173">
        <v>158.50202040000002</v>
      </c>
      <c r="BB54" s="173">
        <v>4.0358600000000004</v>
      </c>
      <c r="BC54" s="173">
        <v>608.38861863000022</v>
      </c>
      <c r="BD54" s="173">
        <v>141.19113439000003</v>
      </c>
      <c r="BE54" s="173">
        <v>0</v>
      </c>
    </row>
    <row r="55" spans="2:57" x14ac:dyDescent="0.55000000000000004">
      <c r="B55" s="177"/>
      <c r="C55" s="140" t="s">
        <v>315</v>
      </c>
      <c r="D55" s="173">
        <v>0</v>
      </c>
      <c r="E55" s="173">
        <v>86.04357834999999</v>
      </c>
      <c r="F55" s="173">
        <v>0</v>
      </c>
      <c r="G55" s="173">
        <v>10.997527029999972</v>
      </c>
      <c r="H55" s="173">
        <v>0</v>
      </c>
      <c r="I55" s="173">
        <v>0</v>
      </c>
      <c r="J55" s="173">
        <v>0</v>
      </c>
      <c r="K55" s="173">
        <v>153.83180622</v>
      </c>
      <c r="L55" s="173">
        <v>0</v>
      </c>
      <c r="M55" s="173">
        <v>266.15456871000004</v>
      </c>
      <c r="N55" s="173">
        <v>2.2487422979999998</v>
      </c>
      <c r="O55" s="173">
        <v>2.83727018</v>
      </c>
      <c r="P55" s="173">
        <v>330.34379343000001</v>
      </c>
      <c r="Q55" s="173">
        <v>490.64665167999999</v>
      </c>
      <c r="R55" s="173">
        <v>58.249904649384</v>
      </c>
      <c r="S55" s="173">
        <v>180.65503421</v>
      </c>
      <c r="T55" s="173">
        <v>89.087059790000012</v>
      </c>
      <c r="U55" s="173">
        <v>0</v>
      </c>
      <c r="V55" s="173">
        <v>274.471720092</v>
      </c>
      <c r="W55" s="173">
        <v>5.3742247920000006</v>
      </c>
      <c r="X55" s="173">
        <v>55.084152370000005</v>
      </c>
      <c r="Y55" s="173">
        <v>0</v>
      </c>
      <c r="Z55" s="173">
        <v>0</v>
      </c>
      <c r="AA55" s="173">
        <v>7.1080995900000001</v>
      </c>
      <c r="AB55" s="173">
        <v>0</v>
      </c>
      <c r="AC55" s="173">
        <v>0</v>
      </c>
      <c r="AD55" s="173">
        <v>3.7484757200000005</v>
      </c>
      <c r="AE55" s="173">
        <v>18.257756750000002</v>
      </c>
      <c r="AF55" s="173">
        <v>3.0446083699999997</v>
      </c>
      <c r="AG55" s="173">
        <v>0</v>
      </c>
      <c r="AH55" s="173">
        <v>0</v>
      </c>
      <c r="AI55" s="173">
        <v>1.0850796</v>
      </c>
      <c r="AJ55" s="173">
        <v>10.41416922</v>
      </c>
      <c r="AK55" s="173">
        <v>0</v>
      </c>
      <c r="AL55" s="173">
        <v>0</v>
      </c>
      <c r="AM55" s="173">
        <v>0</v>
      </c>
      <c r="AN55" s="173">
        <v>0</v>
      </c>
      <c r="AO55" s="173">
        <v>0</v>
      </c>
      <c r="AP55" s="173">
        <v>0</v>
      </c>
      <c r="AQ55" s="173">
        <v>0</v>
      </c>
      <c r="AR55" s="173">
        <v>0</v>
      </c>
      <c r="AS55" s="173">
        <v>0</v>
      </c>
      <c r="AT55" s="173">
        <v>0</v>
      </c>
      <c r="AU55" s="173">
        <v>0</v>
      </c>
      <c r="AV55" s="173">
        <v>0</v>
      </c>
      <c r="AW55" s="173">
        <v>0</v>
      </c>
      <c r="AX55" s="173">
        <v>0</v>
      </c>
      <c r="AY55" s="173">
        <v>0</v>
      </c>
      <c r="AZ55" s="173">
        <v>0</v>
      </c>
      <c r="BA55" s="173">
        <v>0</v>
      </c>
      <c r="BB55" s="173">
        <v>0</v>
      </c>
      <c r="BC55" s="173">
        <v>0</v>
      </c>
      <c r="BD55" s="173">
        <v>0</v>
      </c>
      <c r="BE55" s="173">
        <v>0</v>
      </c>
    </row>
    <row r="56" spans="2:57" x14ac:dyDescent="0.55000000000000004">
      <c r="B56" s="177"/>
      <c r="C56" s="140" t="s">
        <v>154</v>
      </c>
      <c r="D56" s="173">
        <v>0</v>
      </c>
      <c r="E56" s="173">
        <v>0</v>
      </c>
      <c r="F56" s="173">
        <v>0</v>
      </c>
      <c r="G56" s="173">
        <v>0</v>
      </c>
      <c r="H56" s="173">
        <v>0</v>
      </c>
      <c r="I56" s="173">
        <v>2.7884500699956334</v>
      </c>
      <c r="J56" s="173">
        <v>0</v>
      </c>
      <c r="K56" s="173">
        <v>0</v>
      </c>
      <c r="L56" s="173">
        <v>0</v>
      </c>
      <c r="M56" s="173">
        <v>0</v>
      </c>
      <c r="N56" s="173">
        <v>0</v>
      </c>
      <c r="O56" s="173">
        <v>0</v>
      </c>
      <c r="P56" s="173">
        <v>0</v>
      </c>
      <c r="Q56" s="173">
        <v>0</v>
      </c>
      <c r="R56" s="173">
        <v>0</v>
      </c>
      <c r="S56" s="173">
        <v>0</v>
      </c>
      <c r="T56" s="173">
        <v>0</v>
      </c>
      <c r="U56" s="173">
        <v>0</v>
      </c>
      <c r="V56" s="173">
        <v>20.788103019999198</v>
      </c>
      <c r="W56" s="173">
        <v>0</v>
      </c>
      <c r="X56" s="173">
        <v>0</v>
      </c>
      <c r="Y56" s="173">
        <v>0</v>
      </c>
      <c r="Z56" s="173">
        <v>0</v>
      </c>
      <c r="AA56" s="173">
        <v>91.75097570999975</v>
      </c>
      <c r="AB56" s="173">
        <v>0</v>
      </c>
      <c r="AC56" s="173">
        <v>5.0880000000022844E-2</v>
      </c>
      <c r="AD56" s="173">
        <v>0</v>
      </c>
      <c r="AE56" s="173">
        <v>94.751130589999264</v>
      </c>
      <c r="AF56" s="173">
        <v>76.949003819999987</v>
      </c>
      <c r="AG56" s="173">
        <v>217.1278826299999</v>
      </c>
      <c r="AH56" s="173">
        <v>0</v>
      </c>
      <c r="AI56" s="173">
        <v>5.368902999989314E-2</v>
      </c>
      <c r="AJ56" s="173">
        <v>31.872333879999818</v>
      </c>
      <c r="AK56" s="173">
        <v>0</v>
      </c>
      <c r="AL56" s="173">
        <v>19.403152850000005</v>
      </c>
      <c r="AM56" s="173">
        <v>0</v>
      </c>
      <c r="AN56" s="173">
        <v>0</v>
      </c>
      <c r="AO56" s="173">
        <v>0</v>
      </c>
      <c r="AP56" s="173">
        <v>0</v>
      </c>
      <c r="AQ56" s="173">
        <v>0</v>
      </c>
      <c r="AR56" s="173">
        <v>0</v>
      </c>
      <c r="AS56" s="173">
        <v>0</v>
      </c>
      <c r="AT56" s="173">
        <v>41.161000000000001</v>
      </c>
      <c r="AU56" s="173">
        <v>2.0999999999978172E-2</v>
      </c>
      <c r="AV56" s="173">
        <v>4.9999999999940882E-3</v>
      </c>
      <c r="AW56" s="173">
        <v>0</v>
      </c>
      <c r="AX56" s="173">
        <v>108.337256</v>
      </c>
      <c r="AY56" s="173">
        <v>0</v>
      </c>
      <c r="AZ56" s="173">
        <v>26.156656360000007</v>
      </c>
      <c r="BA56" s="173">
        <v>0.20267780000000493</v>
      </c>
      <c r="BB56" s="173">
        <v>2.4999999999985902E-2</v>
      </c>
      <c r="BC56" s="173">
        <v>177.31888968999999</v>
      </c>
      <c r="BD56" s="173">
        <v>6.1151817100000336</v>
      </c>
      <c r="BE56" s="173">
        <v>0</v>
      </c>
    </row>
    <row r="57" spans="2:57" x14ac:dyDescent="0.55000000000000004">
      <c r="B57" s="177"/>
      <c r="C57" s="140" t="s">
        <v>316</v>
      </c>
      <c r="D57" s="173">
        <v>1552.9090088299999</v>
      </c>
      <c r="E57" s="173">
        <v>859.00877663040001</v>
      </c>
      <c r="F57" s="173">
        <v>1988.9839458549004</v>
      </c>
      <c r="G57" s="173">
        <v>2280.9099414899997</v>
      </c>
      <c r="H57" s="173">
        <v>823.80116358874761</v>
      </c>
      <c r="I57" s="173">
        <v>3219.8785379999999</v>
      </c>
      <c r="J57" s="173">
        <v>1464.6040517500012</v>
      </c>
      <c r="K57" s="173">
        <v>3097.7014589279997</v>
      </c>
      <c r="L57" s="173">
        <v>1073.80542051</v>
      </c>
      <c r="M57" s="173">
        <v>1010.0845597035424</v>
      </c>
      <c r="N57" s="173">
        <v>617.530849104548</v>
      </c>
      <c r="O57" s="173">
        <v>1087.4278197799999</v>
      </c>
      <c r="P57" s="173">
        <v>585.04237177000005</v>
      </c>
      <c r="Q57" s="173">
        <v>168.80947109000002</v>
      </c>
      <c r="R57" s="173">
        <v>3248.895375913381</v>
      </c>
      <c r="S57" s="173">
        <v>4699.3822958299997</v>
      </c>
      <c r="T57" s="173">
        <v>1608.92514218</v>
      </c>
      <c r="U57" s="173">
        <v>1832.7442355371988</v>
      </c>
      <c r="V57" s="173">
        <v>1496.9341080013642</v>
      </c>
      <c r="W57" s="173">
        <v>4938.2943303944012</v>
      </c>
      <c r="X57" s="173">
        <v>3.7131542500000001</v>
      </c>
      <c r="Y57" s="173">
        <v>0</v>
      </c>
      <c r="Z57" s="173">
        <v>0</v>
      </c>
      <c r="AA57" s="173">
        <v>1.70526643</v>
      </c>
      <c r="AB57" s="173">
        <v>0</v>
      </c>
      <c r="AC57" s="173">
        <v>0</v>
      </c>
      <c r="AD57" s="173">
        <v>0</v>
      </c>
      <c r="AE57" s="173">
        <v>0</v>
      </c>
      <c r="AF57" s="173">
        <v>0</v>
      </c>
      <c r="AG57" s="173">
        <v>0</v>
      </c>
      <c r="AH57" s="173">
        <v>0</v>
      </c>
      <c r="AI57" s="173">
        <v>0</v>
      </c>
      <c r="AJ57" s="173">
        <v>0</v>
      </c>
      <c r="AK57" s="173">
        <v>0</v>
      </c>
      <c r="AL57" s="173">
        <v>0</v>
      </c>
      <c r="AM57" s="173">
        <v>0</v>
      </c>
      <c r="AN57" s="173">
        <v>0</v>
      </c>
      <c r="AO57" s="173">
        <v>0</v>
      </c>
      <c r="AP57" s="173">
        <v>0</v>
      </c>
      <c r="AQ57" s="173">
        <v>0</v>
      </c>
      <c r="AR57" s="173">
        <v>0</v>
      </c>
      <c r="AS57" s="173">
        <v>0</v>
      </c>
      <c r="AT57" s="173">
        <v>0</v>
      </c>
      <c r="AU57" s="173">
        <v>0</v>
      </c>
      <c r="AV57" s="173">
        <v>0</v>
      </c>
      <c r="AW57" s="173">
        <v>0</v>
      </c>
      <c r="AX57" s="173">
        <v>0</v>
      </c>
      <c r="AY57" s="173">
        <v>0</v>
      </c>
      <c r="AZ57" s="173">
        <v>0</v>
      </c>
      <c r="BA57" s="173">
        <v>0</v>
      </c>
      <c r="BB57" s="173">
        <v>0</v>
      </c>
      <c r="BC57" s="173">
        <v>0</v>
      </c>
      <c r="BD57" s="173">
        <v>0</v>
      </c>
      <c r="BE57" s="173">
        <v>0</v>
      </c>
    </row>
    <row r="58" spans="2:57" x14ac:dyDescent="0.55000000000000004">
      <c r="B58" s="177"/>
      <c r="C58" s="140" t="s">
        <v>156</v>
      </c>
      <c r="D58" s="173">
        <v>50</v>
      </c>
      <c r="E58" s="173">
        <v>14549.9</v>
      </c>
      <c r="F58" s="173">
        <v>0</v>
      </c>
      <c r="G58" s="173">
        <v>0</v>
      </c>
      <c r="H58" s="173">
        <v>18340.196749999999</v>
      </c>
      <c r="I58" s="173">
        <v>978.13499999999999</v>
      </c>
      <c r="J58" s="173">
        <v>4241.6000000000004</v>
      </c>
      <c r="K58" s="173">
        <v>1000</v>
      </c>
      <c r="L58" s="173">
        <v>0</v>
      </c>
      <c r="M58" s="173">
        <v>0</v>
      </c>
      <c r="N58" s="173">
        <v>0</v>
      </c>
      <c r="O58" s="173">
        <v>0</v>
      </c>
      <c r="P58" s="173">
        <v>0</v>
      </c>
      <c r="Q58" s="173">
        <v>0</v>
      </c>
      <c r="R58" s="173">
        <v>0</v>
      </c>
      <c r="S58" s="173">
        <v>2208.6465820399999</v>
      </c>
      <c r="T58" s="173">
        <v>0</v>
      </c>
      <c r="U58" s="173">
        <v>88.474924645603011</v>
      </c>
      <c r="V58" s="173">
        <v>0</v>
      </c>
      <c r="W58" s="173">
        <v>0</v>
      </c>
      <c r="X58" s="173">
        <v>1879.6384540800002</v>
      </c>
      <c r="Y58" s="173">
        <v>88.480999999999995</v>
      </c>
      <c r="Z58" s="173">
        <v>14.747057380000129</v>
      </c>
      <c r="AA58" s="173">
        <v>0</v>
      </c>
      <c r="AB58" s="173">
        <v>478.26003534000006</v>
      </c>
      <c r="AC58" s="173">
        <v>76.896511779999997</v>
      </c>
      <c r="AD58" s="173">
        <v>1879.8102698800003</v>
      </c>
      <c r="AE58" s="173">
        <v>0</v>
      </c>
      <c r="AF58" s="173">
        <v>0</v>
      </c>
      <c r="AG58" s="173">
        <v>0</v>
      </c>
      <c r="AH58" s="173">
        <v>998.02361687000007</v>
      </c>
      <c r="AI58" s="173">
        <v>713.30640611000001</v>
      </c>
      <c r="AJ58" s="173">
        <v>0</v>
      </c>
      <c r="AK58" s="173">
        <v>390.06630631000002</v>
      </c>
      <c r="AL58" s="173">
        <v>247.20020557999999</v>
      </c>
      <c r="AM58" s="173">
        <v>1023.7813696400001</v>
      </c>
      <c r="AN58" s="173">
        <v>276.53101794000003</v>
      </c>
      <c r="AO58" s="173">
        <v>253.73109149000001</v>
      </c>
      <c r="AP58" s="173">
        <v>113.01996</v>
      </c>
      <c r="AQ58" s="173">
        <v>614.33089210000003</v>
      </c>
      <c r="AR58" s="173">
        <v>2342.4910283900008</v>
      </c>
      <c r="AS58" s="173">
        <v>174.40613829</v>
      </c>
      <c r="AT58" s="173">
        <v>0</v>
      </c>
      <c r="AU58" s="173">
        <v>431.01625000000001</v>
      </c>
      <c r="AV58" s="173">
        <v>861.82866445000002</v>
      </c>
      <c r="AW58" s="173">
        <v>1097.8746699999999</v>
      </c>
      <c r="AX58" s="173">
        <v>0</v>
      </c>
      <c r="AY58" s="173">
        <v>423.42635002000003</v>
      </c>
      <c r="AZ58" s="173">
        <v>0</v>
      </c>
      <c r="BA58" s="173">
        <v>0</v>
      </c>
      <c r="BB58" s="173">
        <v>832.94636000000003</v>
      </c>
      <c r="BC58" s="173">
        <v>0</v>
      </c>
      <c r="BD58" s="173">
        <v>0</v>
      </c>
      <c r="BE58" s="173">
        <v>160.00094332</v>
      </c>
    </row>
    <row r="59" spans="2:57" x14ac:dyDescent="0.55000000000000004">
      <c r="B59" s="177"/>
      <c r="C59" s="140" t="s">
        <v>314</v>
      </c>
      <c r="D59" s="173">
        <v>50</v>
      </c>
      <c r="E59" s="173">
        <v>500</v>
      </c>
      <c r="F59" s="173">
        <v>0</v>
      </c>
      <c r="G59" s="173">
        <v>0</v>
      </c>
      <c r="H59" s="173">
        <v>0</v>
      </c>
      <c r="I59" s="173">
        <v>0</v>
      </c>
      <c r="J59" s="173">
        <v>2000</v>
      </c>
      <c r="K59" s="173">
        <v>1000</v>
      </c>
      <c r="L59" s="173">
        <v>0</v>
      </c>
      <c r="M59" s="173">
        <v>0</v>
      </c>
      <c r="N59" s="173">
        <v>0</v>
      </c>
      <c r="O59" s="173">
        <v>0</v>
      </c>
      <c r="P59" s="173">
        <v>0</v>
      </c>
      <c r="Q59" s="173">
        <v>0</v>
      </c>
      <c r="R59" s="173">
        <v>0</v>
      </c>
      <c r="S59" s="173">
        <v>1000.2260274</v>
      </c>
      <c r="T59" s="173">
        <v>0</v>
      </c>
      <c r="U59" s="173">
        <v>0</v>
      </c>
      <c r="V59" s="173">
        <v>0</v>
      </c>
      <c r="W59" s="173">
        <v>0</v>
      </c>
      <c r="X59" s="173">
        <v>1879.6384540800002</v>
      </c>
      <c r="Y59" s="173">
        <v>88.480999999999995</v>
      </c>
      <c r="Z59" s="173">
        <v>14.747057380000129</v>
      </c>
      <c r="AA59" s="173">
        <v>0</v>
      </c>
      <c r="AB59" s="173">
        <v>478.24657776000009</v>
      </c>
      <c r="AC59" s="173">
        <v>76.896511779999997</v>
      </c>
      <c r="AD59" s="173">
        <v>1879.8102698800003</v>
      </c>
      <c r="AE59" s="173">
        <v>0</v>
      </c>
      <c r="AF59" s="173">
        <v>0</v>
      </c>
      <c r="AG59" s="173">
        <v>0</v>
      </c>
      <c r="AH59" s="173">
        <v>939.32902022999997</v>
      </c>
      <c r="AI59" s="173">
        <v>713.30640611000001</v>
      </c>
      <c r="AJ59" s="173">
        <v>0</v>
      </c>
      <c r="AK59" s="173">
        <v>390.06630631000002</v>
      </c>
      <c r="AL59" s="173">
        <v>247.20020557999999</v>
      </c>
      <c r="AM59" s="173">
        <v>1023.7813696400001</v>
      </c>
      <c r="AN59" s="173">
        <v>276.53101794000003</v>
      </c>
      <c r="AO59" s="173">
        <v>253.73109149000001</v>
      </c>
      <c r="AP59" s="173">
        <v>113.01996</v>
      </c>
      <c r="AQ59" s="173">
        <v>614.33089210000003</v>
      </c>
      <c r="AR59" s="173">
        <v>2342.4910283900008</v>
      </c>
      <c r="AS59" s="173">
        <v>174.40613829</v>
      </c>
      <c r="AT59" s="173">
        <v>0</v>
      </c>
      <c r="AU59" s="173">
        <v>431.01625000000001</v>
      </c>
      <c r="AV59" s="173">
        <v>861.82866445000002</v>
      </c>
      <c r="AW59" s="173">
        <v>1097.8746699999999</v>
      </c>
      <c r="AX59" s="173">
        <v>0</v>
      </c>
      <c r="AY59" s="173">
        <v>423.42635002000003</v>
      </c>
      <c r="AZ59" s="173">
        <v>0</v>
      </c>
      <c r="BA59" s="173">
        <v>0</v>
      </c>
      <c r="BB59" s="173">
        <v>832.94636000000003</v>
      </c>
      <c r="BC59" s="173">
        <v>0</v>
      </c>
      <c r="BD59" s="173">
        <v>0</v>
      </c>
      <c r="BE59" s="173">
        <v>160.00094332</v>
      </c>
    </row>
    <row r="60" spans="2:57" x14ac:dyDescent="0.55000000000000004">
      <c r="B60" s="177"/>
      <c r="C60" s="140" t="s">
        <v>315</v>
      </c>
      <c r="D60" s="173">
        <v>0</v>
      </c>
      <c r="E60" s="173">
        <v>14049.9</v>
      </c>
      <c r="F60" s="173">
        <v>0</v>
      </c>
      <c r="G60" s="173">
        <v>0</v>
      </c>
      <c r="H60" s="173">
        <v>18340.196749999999</v>
      </c>
      <c r="I60" s="173">
        <v>978.13499999999999</v>
      </c>
      <c r="J60" s="173">
        <v>2241.6</v>
      </c>
      <c r="K60" s="173">
        <v>0</v>
      </c>
      <c r="L60" s="173">
        <v>0</v>
      </c>
      <c r="M60" s="173">
        <v>0</v>
      </c>
      <c r="N60" s="173">
        <v>0</v>
      </c>
      <c r="O60" s="173">
        <v>0</v>
      </c>
      <c r="P60" s="173">
        <v>0</v>
      </c>
      <c r="Q60" s="173">
        <v>0</v>
      </c>
      <c r="R60" s="173">
        <v>0</v>
      </c>
      <c r="S60" s="173">
        <v>1208.4205546400001</v>
      </c>
      <c r="T60" s="173">
        <v>0</v>
      </c>
      <c r="U60" s="173">
        <v>88.474924645603011</v>
      </c>
      <c r="V60" s="173">
        <v>0</v>
      </c>
      <c r="W60" s="173">
        <v>0</v>
      </c>
      <c r="X60" s="173">
        <v>0</v>
      </c>
      <c r="Y60" s="173">
        <v>0</v>
      </c>
      <c r="Z60" s="173">
        <v>0</v>
      </c>
      <c r="AA60" s="173">
        <v>0</v>
      </c>
      <c r="AB60" s="173">
        <v>1.3457579999999999E-2</v>
      </c>
      <c r="AC60" s="173">
        <v>0</v>
      </c>
      <c r="AD60" s="173">
        <v>0</v>
      </c>
      <c r="AE60" s="173">
        <v>0</v>
      </c>
      <c r="AF60" s="173">
        <v>0</v>
      </c>
      <c r="AG60" s="173">
        <v>0</v>
      </c>
      <c r="AH60" s="173">
        <v>58.69459664</v>
      </c>
      <c r="AI60" s="173">
        <v>0</v>
      </c>
      <c r="AJ60" s="173">
        <v>0</v>
      </c>
      <c r="AK60" s="173">
        <v>0</v>
      </c>
      <c r="AL60" s="173">
        <v>0</v>
      </c>
      <c r="AM60" s="173">
        <v>0</v>
      </c>
      <c r="AN60" s="173">
        <v>0</v>
      </c>
      <c r="AO60" s="173">
        <v>0</v>
      </c>
      <c r="AP60" s="173">
        <v>0</v>
      </c>
      <c r="AQ60" s="173">
        <v>0</v>
      </c>
      <c r="AR60" s="173">
        <v>0</v>
      </c>
      <c r="AS60" s="173">
        <v>0</v>
      </c>
      <c r="AT60" s="173">
        <v>0</v>
      </c>
      <c r="AU60" s="173">
        <v>0</v>
      </c>
      <c r="AV60" s="173">
        <v>0</v>
      </c>
      <c r="AW60" s="173">
        <v>0</v>
      </c>
      <c r="AX60" s="173">
        <v>0</v>
      </c>
      <c r="AY60" s="173">
        <v>0</v>
      </c>
      <c r="AZ60" s="173">
        <v>0</v>
      </c>
      <c r="BA60" s="173">
        <v>0</v>
      </c>
      <c r="BB60" s="173">
        <v>0</v>
      </c>
      <c r="BC60" s="173">
        <v>0</v>
      </c>
      <c r="BD60" s="173">
        <v>0</v>
      </c>
      <c r="BE60" s="173">
        <v>0</v>
      </c>
    </row>
    <row r="61" spans="2:57" x14ac:dyDescent="0.55000000000000004">
      <c r="B61" s="175">
        <v>2</v>
      </c>
      <c r="C61" s="176" t="s">
        <v>317</v>
      </c>
      <c r="D61" s="173">
        <v>57621.885706799803</v>
      </c>
      <c r="E61" s="173">
        <v>163028.49018179998</v>
      </c>
      <c r="F61" s="173">
        <v>112896.26253969</v>
      </c>
      <c r="G61" s="173">
        <v>128822.79743948</v>
      </c>
      <c r="H61" s="173">
        <v>35475.775751100002</v>
      </c>
      <c r="I61" s="173">
        <v>57960.040240660004</v>
      </c>
      <c r="J61" s="173">
        <v>54531.191000000006</v>
      </c>
      <c r="K61" s="173">
        <v>29044.086089339999</v>
      </c>
      <c r="L61" s="173">
        <v>94760.095068759998</v>
      </c>
      <c r="M61" s="173">
        <v>37095.275000000001</v>
      </c>
      <c r="N61" s="173">
        <v>97795.814165239994</v>
      </c>
      <c r="O61" s="173">
        <v>85023.05445073008</v>
      </c>
      <c r="P61" s="173">
        <v>54812.030500000001</v>
      </c>
      <c r="Q61" s="173">
        <v>88773.552627540004</v>
      </c>
      <c r="R61" s="173">
        <v>161007.03474570002</v>
      </c>
      <c r="S61" s="173">
        <v>39961.100955939997</v>
      </c>
      <c r="T61" s="173">
        <v>48867.036</v>
      </c>
      <c r="U61" s="173">
        <v>41956.698276039999</v>
      </c>
      <c r="V61" s="173">
        <v>105413.38115853</v>
      </c>
      <c r="W61" s="173">
        <v>42222.335394700007</v>
      </c>
      <c r="X61" s="173">
        <v>11742.850417099999</v>
      </c>
      <c r="Y61" s="173">
        <v>4</v>
      </c>
      <c r="Z61" s="173">
        <v>0</v>
      </c>
      <c r="AA61" s="173">
        <v>10399.794</v>
      </c>
      <c r="AB61" s="173">
        <v>3542.0661672300002</v>
      </c>
      <c r="AC61" s="173">
        <v>2106.6256955200001</v>
      </c>
      <c r="AD61" s="173">
        <v>20785.875</v>
      </c>
      <c r="AE61" s="173">
        <v>18782.747520549998</v>
      </c>
      <c r="AF61" s="173">
        <v>11517.98530441</v>
      </c>
      <c r="AG61" s="173">
        <v>0</v>
      </c>
      <c r="AH61" s="173">
        <v>11410.075000000001</v>
      </c>
      <c r="AI61" s="173">
        <v>15673.55</v>
      </c>
      <c r="AJ61" s="173">
        <v>11533.283548739999</v>
      </c>
      <c r="AK61" s="173">
        <v>1900</v>
      </c>
      <c r="AL61" s="173">
        <v>208.30501000000001</v>
      </c>
      <c r="AM61" s="173">
        <v>613.21640000000002</v>
      </c>
      <c r="AN61" s="173">
        <v>1459.4159999999999</v>
      </c>
      <c r="AO61" s="173">
        <v>1459.8</v>
      </c>
      <c r="AP61" s="173">
        <v>1</v>
      </c>
      <c r="AQ61" s="173">
        <v>2750</v>
      </c>
      <c r="AR61" s="173">
        <v>1643.375</v>
      </c>
      <c r="AS61" s="173">
        <v>2254.6350000000002</v>
      </c>
      <c r="AT61" s="173">
        <v>1665</v>
      </c>
      <c r="AU61" s="173">
        <v>1610</v>
      </c>
      <c r="AV61" s="173">
        <v>0</v>
      </c>
      <c r="AW61" s="173">
        <v>134.72927999999999</v>
      </c>
      <c r="AX61" s="173">
        <v>2619.1999999999998</v>
      </c>
      <c r="AY61" s="173">
        <v>931.13804000000005</v>
      </c>
      <c r="AZ61" s="173">
        <v>609.28009999999995</v>
      </c>
      <c r="BA61" s="173">
        <v>0</v>
      </c>
      <c r="BB61" s="173">
        <v>2309.875</v>
      </c>
      <c r="BC61" s="173">
        <v>2552.5</v>
      </c>
      <c r="BD61" s="173">
        <v>5836.6695912500008</v>
      </c>
      <c r="BE61" s="173">
        <v>1632.85</v>
      </c>
    </row>
    <row r="62" spans="2:57" x14ac:dyDescent="0.55000000000000004">
      <c r="B62" s="177"/>
      <c r="C62" s="140" t="s">
        <v>158</v>
      </c>
      <c r="D62" s="173">
        <v>57621.885706799803</v>
      </c>
      <c r="E62" s="173">
        <v>91528.490181799993</v>
      </c>
      <c r="F62" s="173">
        <v>70722.434539690003</v>
      </c>
      <c r="G62" s="173">
        <v>64991.947439479998</v>
      </c>
      <c r="H62" s="173">
        <v>16025.7757511</v>
      </c>
      <c r="I62" s="173">
        <v>37460.040240660004</v>
      </c>
      <c r="J62" s="173">
        <v>29325.116000000002</v>
      </c>
      <c r="K62" s="173">
        <v>29044.086089339999</v>
      </c>
      <c r="L62" s="173">
        <v>43860.095068759998</v>
      </c>
      <c r="M62" s="173">
        <v>30887.55</v>
      </c>
      <c r="N62" s="173">
        <v>86595.814165239994</v>
      </c>
      <c r="O62" s="173">
        <v>37290.704450730082</v>
      </c>
      <c r="P62" s="173">
        <v>45212.030500000001</v>
      </c>
      <c r="Q62" s="173">
        <v>64507.377627540001</v>
      </c>
      <c r="R62" s="173">
        <v>91894.584745700005</v>
      </c>
      <c r="S62" s="173">
        <v>28993.199339529998</v>
      </c>
      <c r="T62" s="173">
        <v>47167.036</v>
      </c>
      <c r="U62" s="173">
        <v>25632.073276040002</v>
      </c>
      <c r="V62" s="173">
        <v>69913.381158529999</v>
      </c>
      <c r="W62" s="173">
        <v>25947.842000000001</v>
      </c>
      <c r="X62" s="173">
        <v>9442.8504170999986</v>
      </c>
      <c r="Y62" s="173">
        <v>4</v>
      </c>
      <c r="Z62" s="173">
        <v>0</v>
      </c>
      <c r="AA62" s="173">
        <v>9599.7939999999999</v>
      </c>
      <c r="AB62" s="173">
        <v>845.09054838999998</v>
      </c>
      <c r="AC62" s="173">
        <v>106.62569551999999</v>
      </c>
      <c r="AD62" s="173">
        <v>13702.8</v>
      </c>
      <c r="AE62" s="173">
        <v>13143.19752055</v>
      </c>
      <c r="AF62" s="173">
        <v>9717.98530441</v>
      </c>
      <c r="AG62" s="173">
        <v>0</v>
      </c>
      <c r="AH62" s="173">
        <v>10810.075000000001</v>
      </c>
      <c r="AI62" s="173">
        <v>11532.05</v>
      </c>
      <c r="AJ62" s="173">
        <v>7250.20854874</v>
      </c>
      <c r="AK62" s="173">
        <v>0</v>
      </c>
      <c r="AL62" s="173">
        <v>208.30501000000001</v>
      </c>
      <c r="AM62" s="173">
        <v>613.21640000000002</v>
      </c>
      <c r="AN62" s="173">
        <v>509.416</v>
      </c>
      <c r="AO62" s="173">
        <v>359.8</v>
      </c>
      <c r="AP62" s="173">
        <v>1</v>
      </c>
      <c r="AQ62" s="173">
        <v>650</v>
      </c>
      <c r="AR62" s="173">
        <v>1643.375</v>
      </c>
      <c r="AS62" s="173">
        <v>1904.635</v>
      </c>
      <c r="AT62" s="173">
        <v>415</v>
      </c>
      <c r="AU62" s="173">
        <v>460</v>
      </c>
      <c r="AV62" s="173">
        <v>0</v>
      </c>
      <c r="AW62" s="173">
        <v>134.72927999999999</v>
      </c>
      <c r="AX62" s="173">
        <v>819.2</v>
      </c>
      <c r="AY62" s="173">
        <v>931.13804000000005</v>
      </c>
      <c r="AZ62" s="173">
        <v>141.1551</v>
      </c>
      <c r="BA62" s="173">
        <v>0</v>
      </c>
      <c r="BB62" s="173">
        <v>1609.875</v>
      </c>
      <c r="BC62" s="173">
        <v>2552.5</v>
      </c>
      <c r="BD62" s="173">
        <v>1880.19459125</v>
      </c>
      <c r="BE62" s="173">
        <v>1432.85</v>
      </c>
    </row>
    <row r="63" spans="2:57" x14ac:dyDescent="0.55000000000000004">
      <c r="B63" s="177"/>
      <c r="C63" s="140" t="s">
        <v>318</v>
      </c>
      <c r="D63" s="173">
        <v>0</v>
      </c>
      <c r="E63" s="173">
        <v>71500</v>
      </c>
      <c r="F63" s="173">
        <v>39500</v>
      </c>
      <c r="G63" s="173">
        <v>63830.85</v>
      </c>
      <c r="H63" s="173">
        <v>19450</v>
      </c>
      <c r="I63" s="173">
        <v>20500</v>
      </c>
      <c r="J63" s="173">
        <v>25206.075000000001</v>
      </c>
      <c r="K63" s="173">
        <v>0</v>
      </c>
      <c r="L63" s="173">
        <v>50900</v>
      </c>
      <c r="M63" s="173">
        <v>6207.7250000000004</v>
      </c>
      <c r="N63" s="173">
        <v>11200</v>
      </c>
      <c r="O63" s="173">
        <v>47732.35</v>
      </c>
      <c r="P63" s="173">
        <v>9600</v>
      </c>
      <c r="Q63" s="173">
        <v>24266.174999999999</v>
      </c>
      <c r="R63" s="173">
        <v>69112.45</v>
      </c>
      <c r="S63" s="173">
        <v>10967.901616409999</v>
      </c>
      <c r="T63" s="173">
        <v>1700</v>
      </c>
      <c r="U63" s="173">
        <v>16324.625</v>
      </c>
      <c r="V63" s="173">
        <v>35500</v>
      </c>
      <c r="W63" s="173">
        <v>15500</v>
      </c>
      <c r="X63" s="173">
        <v>2300</v>
      </c>
      <c r="Y63" s="173">
        <v>0</v>
      </c>
      <c r="Z63" s="173">
        <v>0</v>
      </c>
      <c r="AA63" s="173">
        <v>800</v>
      </c>
      <c r="AB63" s="173">
        <v>2696.9756188400002</v>
      </c>
      <c r="AC63" s="173">
        <v>2000</v>
      </c>
      <c r="AD63" s="173">
        <v>7083.0749999999998</v>
      </c>
      <c r="AE63" s="173">
        <v>5639.55</v>
      </c>
      <c r="AF63" s="173">
        <v>1800</v>
      </c>
      <c r="AG63" s="173">
        <v>0</v>
      </c>
      <c r="AH63" s="173">
        <v>600</v>
      </c>
      <c r="AI63" s="173">
        <v>4141.5</v>
      </c>
      <c r="AJ63" s="173">
        <v>4283.0749999999998</v>
      </c>
      <c r="AK63" s="173">
        <v>1900</v>
      </c>
      <c r="AL63" s="173">
        <v>0</v>
      </c>
      <c r="AM63" s="173">
        <v>0</v>
      </c>
      <c r="AN63" s="173">
        <v>950</v>
      </c>
      <c r="AO63" s="173">
        <v>1100</v>
      </c>
      <c r="AP63" s="173">
        <v>0</v>
      </c>
      <c r="AQ63" s="173">
        <v>2100</v>
      </c>
      <c r="AR63" s="173">
        <v>0</v>
      </c>
      <c r="AS63" s="173">
        <v>350</v>
      </c>
      <c r="AT63" s="173">
        <v>1250</v>
      </c>
      <c r="AU63" s="173">
        <v>1150</v>
      </c>
      <c r="AV63" s="173">
        <v>0</v>
      </c>
      <c r="AW63" s="173">
        <v>0</v>
      </c>
      <c r="AX63" s="173">
        <v>1800</v>
      </c>
      <c r="AY63" s="173">
        <v>0</v>
      </c>
      <c r="AZ63" s="173">
        <v>468.125</v>
      </c>
      <c r="BA63" s="173">
        <v>0</v>
      </c>
      <c r="BB63" s="173">
        <v>700</v>
      </c>
      <c r="BC63" s="173">
        <v>0</v>
      </c>
      <c r="BD63" s="173">
        <v>3956.4749999999999</v>
      </c>
      <c r="BE63" s="173">
        <v>200</v>
      </c>
    </row>
    <row r="64" spans="2:57" x14ac:dyDescent="0.55000000000000004">
      <c r="B64" s="177"/>
      <c r="C64" s="140" t="s">
        <v>319</v>
      </c>
      <c r="D64" s="173">
        <v>0</v>
      </c>
      <c r="E64" s="173">
        <v>0</v>
      </c>
      <c r="F64" s="173">
        <v>0</v>
      </c>
      <c r="G64" s="173">
        <v>0</v>
      </c>
      <c r="H64" s="173">
        <v>0</v>
      </c>
      <c r="I64" s="173">
        <v>0</v>
      </c>
      <c r="J64" s="173">
        <v>0</v>
      </c>
      <c r="K64" s="173">
        <v>0</v>
      </c>
      <c r="L64" s="173">
        <v>0</v>
      </c>
      <c r="M64" s="173">
        <v>0</v>
      </c>
      <c r="N64" s="173">
        <v>0</v>
      </c>
      <c r="O64" s="173">
        <v>0</v>
      </c>
      <c r="P64" s="173">
        <v>0</v>
      </c>
      <c r="Q64" s="173">
        <v>0</v>
      </c>
      <c r="R64" s="173">
        <v>0</v>
      </c>
      <c r="S64" s="173">
        <v>0</v>
      </c>
      <c r="T64" s="173">
        <v>0</v>
      </c>
      <c r="U64" s="173">
        <v>0</v>
      </c>
      <c r="V64" s="173">
        <v>0</v>
      </c>
      <c r="W64" s="173">
        <v>0</v>
      </c>
      <c r="X64" s="173">
        <v>0</v>
      </c>
      <c r="Y64" s="173">
        <v>0</v>
      </c>
      <c r="Z64" s="173">
        <v>0</v>
      </c>
      <c r="AA64" s="173">
        <v>0</v>
      </c>
      <c r="AB64" s="173">
        <v>0</v>
      </c>
      <c r="AC64" s="173">
        <v>0</v>
      </c>
      <c r="AD64" s="173">
        <v>0</v>
      </c>
      <c r="AE64" s="173">
        <v>0</v>
      </c>
      <c r="AF64" s="173">
        <v>0</v>
      </c>
      <c r="AG64" s="173">
        <v>0</v>
      </c>
      <c r="AH64" s="173">
        <v>0</v>
      </c>
      <c r="AI64" s="173">
        <v>0</v>
      </c>
      <c r="AJ64" s="173">
        <v>0</v>
      </c>
      <c r="AK64" s="173">
        <v>0</v>
      </c>
      <c r="AL64" s="173">
        <v>0</v>
      </c>
      <c r="AM64" s="173">
        <v>0</v>
      </c>
      <c r="AN64" s="173">
        <v>0</v>
      </c>
      <c r="AO64" s="173">
        <v>0</v>
      </c>
      <c r="AP64" s="173">
        <v>0</v>
      </c>
      <c r="AQ64" s="173">
        <v>0</v>
      </c>
      <c r="AR64" s="173">
        <v>0</v>
      </c>
      <c r="AS64" s="173">
        <v>0</v>
      </c>
      <c r="AT64" s="173">
        <v>0</v>
      </c>
      <c r="AU64" s="173">
        <v>0</v>
      </c>
      <c r="AV64" s="173">
        <v>0</v>
      </c>
      <c r="AW64" s="173">
        <v>0</v>
      </c>
      <c r="AX64" s="173">
        <v>0</v>
      </c>
      <c r="AY64" s="173">
        <v>0</v>
      </c>
      <c r="AZ64" s="173">
        <v>0</v>
      </c>
      <c r="BA64" s="173">
        <v>0</v>
      </c>
      <c r="BB64" s="173">
        <v>0</v>
      </c>
      <c r="BC64" s="173">
        <v>0</v>
      </c>
      <c r="BD64" s="173">
        <v>0</v>
      </c>
      <c r="BE64" s="173">
        <v>0</v>
      </c>
    </row>
    <row r="65" spans="2:57" x14ac:dyDescent="0.55000000000000004">
      <c r="B65" s="177"/>
      <c r="C65" s="140" t="s">
        <v>320</v>
      </c>
      <c r="D65" s="173">
        <v>0</v>
      </c>
      <c r="E65" s="173">
        <v>0</v>
      </c>
      <c r="F65" s="173">
        <v>2673.828</v>
      </c>
      <c r="G65" s="173">
        <v>0</v>
      </c>
      <c r="H65" s="173">
        <v>0</v>
      </c>
      <c r="I65" s="173">
        <v>0</v>
      </c>
      <c r="J65" s="173">
        <v>0</v>
      </c>
      <c r="K65" s="173">
        <v>0</v>
      </c>
      <c r="L65" s="173">
        <v>0</v>
      </c>
      <c r="M65" s="173">
        <v>0</v>
      </c>
      <c r="N65" s="173">
        <v>0</v>
      </c>
      <c r="O65" s="173">
        <v>0</v>
      </c>
      <c r="P65" s="173">
        <v>0</v>
      </c>
      <c r="Q65" s="173">
        <v>0</v>
      </c>
      <c r="R65" s="173">
        <v>0</v>
      </c>
      <c r="S65" s="173">
        <v>0</v>
      </c>
      <c r="T65" s="173">
        <v>0</v>
      </c>
      <c r="U65" s="173">
        <v>0</v>
      </c>
      <c r="V65" s="173">
        <v>0</v>
      </c>
      <c r="W65" s="173">
        <v>0</v>
      </c>
      <c r="X65" s="173">
        <v>0</v>
      </c>
      <c r="Y65" s="173">
        <v>0</v>
      </c>
      <c r="Z65" s="173">
        <v>0</v>
      </c>
      <c r="AA65" s="173">
        <v>0</v>
      </c>
      <c r="AB65" s="173">
        <v>0</v>
      </c>
      <c r="AC65" s="173">
        <v>0</v>
      </c>
      <c r="AD65" s="173">
        <v>0</v>
      </c>
      <c r="AE65" s="173">
        <v>0</v>
      </c>
      <c r="AF65" s="173">
        <v>0</v>
      </c>
      <c r="AG65" s="173">
        <v>0</v>
      </c>
      <c r="AH65" s="173">
        <v>0</v>
      </c>
      <c r="AI65" s="173">
        <v>0</v>
      </c>
      <c r="AJ65" s="173">
        <v>0</v>
      </c>
      <c r="AK65" s="173">
        <v>0</v>
      </c>
      <c r="AL65" s="173">
        <v>0</v>
      </c>
      <c r="AM65" s="173">
        <v>0</v>
      </c>
      <c r="AN65" s="173">
        <v>0</v>
      </c>
      <c r="AO65" s="173">
        <v>0</v>
      </c>
      <c r="AP65" s="173">
        <v>0</v>
      </c>
      <c r="AQ65" s="173">
        <v>0</v>
      </c>
      <c r="AR65" s="173">
        <v>0</v>
      </c>
      <c r="AS65" s="173">
        <v>0</v>
      </c>
      <c r="AT65" s="173">
        <v>0</v>
      </c>
      <c r="AU65" s="173">
        <v>0</v>
      </c>
      <c r="AV65" s="173">
        <v>0</v>
      </c>
      <c r="AW65" s="173">
        <v>0</v>
      </c>
      <c r="AX65" s="173">
        <v>0</v>
      </c>
      <c r="AY65" s="173">
        <v>0</v>
      </c>
      <c r="AZ65" s="173">
        <v>0</v>
      </c>
      <c r="BA65" s="173">
        <v>0</v>
      </c>
      <c r="BB65" s="173">
        <v>0</v>
      </c>
      <c r="BC65" s="173">
        <v>0</v>
      </c>
      <c r="BD65" s="173">
        <v>0</v>
      </c>
      <c r="BE65" s="173">
        <v>0</v>
      </c>
    </row>
    <row r="66" spans="2:57" x14ac:dyDescent="0.55000000000000004">
      <c r="B66" s="177"/>
      <c r="C66" s="140" t="s">
        <v>321</v>
      </c>
      <c r="D66" s="173">
        <v>0</v>
      </c>
      <c r="E66" s="173">
        <v>0</v>
      </c>
      <c r="F66" s="173">
        <v>0</v>
      </c>
      <c r="G66" s="173">
        <v>0</v>
      </c>
      <c r="H66" s="173">
        <v>0</v>
      </c>
      <c r="I66" s="173">
        <v>0</v>
      </c>
      <c r="J66" s="173">
        <v>0</v>
      </c>
      <c r="K66" s="173">
        <v>0</v>
      </c>
      <c r="L66" s="173">
        <v>0</v>
      </c>
      <c r="M66" s="173">
        <v>0</v>
      </c>
      <c r="N66" s="173">
        <v>0</v>
      </c>
      <c r="O66" s="173">
        <v>0</v>
      </c>
      <c r="P66" s="173">
        <v>0</v>
      </c>
      <c r="Q66" s="173">
        <v>0</v>
      </c>
      <c r="R66" s="173">
        <v>0</v>
      </c>
      <c r="S66" s="173">
        <v>0</v>
      </c>
      <c r="T66" s="173">
        <v>0</v>
      </c>
      <c r="U66" s="173">
        <v>0</v>
      </c>
      <c r="V66" s="173">
        <v>0</v>
      </c>
      <c r="W66" s="173">
        <v>774.49339470000007</v>
      </c>
      <c r="X66" s="173">
        <v>0</v>
      </c>
      <c r="Y66" s="173">
        <v>0</v>
      </c>
      <c r="Z66" s="173">
        <v>0</v>
      </c>
      <c r="AA66" s="173">
        <v>0</v>
      </c>
      <c r="AB66" s="173">
        <v>0</v>
      </c>
      <c r="AC66" s="173">
        <v>0</v>
      </c>
      <c r="AD66" s="173">
        <v>0</v>
      </c>
      <c r="AE66" s="173">
        <v>0</v>
      </c>
      <c r="AF66" s="173">
        <v>0</v>
      </c>
      <c r="AG66" s="173">
        <v>0</v>
      </c>
      <c r="AH66" s="173">
        <v>0</v>
      </c>
      <c r="AI66" s="173">
        <v>0</v>
      </c>
      <c r="AJ66" s="173">
        <v>0</v>
      </c>
      <c r="AK66" s="173">
        <v>0</v>
      </c>
      <c r="AL66" s="173">
        <v>0</v>
      </c>
      <c r="AM66" s="173">
        <v>0</v>
      </c>
      <c r="AN66" s="173">
        <v>0</v>
      </c>
      <c r="AO66" s="173">
        <v>0</v>
      </c>
      <c r="AP66" s="173">
        <v>0</v>
      </c>
      <c r="AQ66" s="173">
        <v>0</v>
      </c>
      <c r="AR66" s="173">
        <v>0</v>
      </c>
      <c r="AS66" s="173">
        <v>0</v>
      </c>
      <c r="AT66" s="173">
        <v>0</v>
      </c>
      <c r="AU66" s="173">
        <v>0</v>
      </c>
      <c r="AV66" s="173">
        <v>0</v>
      </c>
      <c r="AW66" s="173">
        <v>0</v>
      </c>
      <c r="AX66" s="173">
        <v>0</v>
      </c>
      <c r="AY66" s="173">
        <v>0</v>
      </c>
      <c r="AZ66" s="173">
        <v>0</v>
      </c>
      <c r="BA66" s="173">
        <v>0</v>
      </c>
      <c r="BB66" s="173">
        <v>0</v>
      </c>
      <c r="BC66" s="173">
        <v>0</v>
      </c>
      <c r="BD66" s="173">
        <v>0</v>
      </c>
      <c r="BE66" s="173">
        <v>0</v>
      </c>
    </row>
    <row r="67" spans="2:57" x14ac:dyDescent="0.55000000000000004">
      <c r="B67" s="178">
        <v>3</v>
      </c>
      <c r="C67" s="138" t="s">
        <v>160</v>
      </c>
      <c r="D67" s="173">
        <v>14294.018012014483</v>
      </c>
      <c r="E67" s="173">
        <v>7131.9527623500035</v>
      </c>
      <c r="F67" s="173">
        <v>35700.778175500003</v>
      </c>
      <c r="G67" s="173">
        <v>40924.894569234937</v>
      </c>
      <c r="H67" s="173">
        <v>5519.6676484378722</v>
      </c>
      <c r="I67" s="173">
        <v>27521.848708216163</v>
      </c>
      <c r="J67" s="173">
        <v>20216.596346000002</v>
      </c>
      <c r="K67" s="173">
        <v>11487.105388436838</v>
      </c>
      <c r="L67" s="173">
        <v>10550.44537424</v>
      </c>
      <c r="M67" s="173">
        <v>8830.5843114199997</v>
      </c>
      <c r="N67" s="173">
        <v>23180.331047609998</v>
      </c>
      <c r="O67" s="173">
        <v>28941.308969556943</v>
      </c>
      <c r="P67" s="173">
        <v>21474.319318427042</v>
      </c>
      <c r="Q67" s="173">
        <v>23131.511404952857</v>
      </c>
      <c r="R67" s="173">
        <v>32651.445337536996</v>
      </c>
      <c r="S67" s="173">
        <v>5159.94272542</v>
      </c>
      <c r="T67" s="173">
        <v>17371.619738123994</v>
      </c>
      <c r="U67" s="173">
        <v>20015.118717833837</v>
      </c>
      <c r="V67" s="173">
        <v>18133.204208370003</v>
      </c>
      <c r="W67" s="173">
        <v>9096.4129284650007</v>
      </c>
      <c r="X67" s="173">
        <v>1095.9425506002419</v>
      </c>
      <c r="Y67" s="173">
        <v>20.571999999999999</v>
      </c>
      <c r="Z67" s="173">
        <v>0</v>
      </c>
      <c r="AA67" s="173">
        <v>995.80186348000007</v>
      </c>
      <c r="AB67" s="173">
        <v>657.47811716000001</v>
      </c>
      <c r="AC67" s="173">
        <v>48.45081802</v>
      </c>
      <c r="AD67" s="173">
        <v>2604.3269709800002</v>
      </c>
      <c r="AE67" s="173">
        <v>1342.7465448904773</v>
      </c>
      <c r="AF67" s="173">
        <v>1220.2052080855574</v>
      </c>
      <c r="AG67" s="173">
        <v>0</v>
      </c>
      <c r="AH67" s="173">
        <v>1250.99435391</v>
      </c>
      <c r="AI67" s="173">
        <v>588.60183036000001</v>
      </c>
      <c r="AJ67" s="173">
        <v>2349.6009392071096</v>
      </c>
      <c r="AK67" s="173">
        <v>113.71749193999999</v>
      </c>
      <c r="AL67" s="173">
        <v>88.393421000000004</v>
      </c>
      <c r="AM67" s="173">
        <v>56.273457010000008</v>
      </c>
      <c r="AN67" s="173">
        <v>63.343378229999992</v>
      </c>
      <c r="AO67" s="173">
        <v>176.80215463000005</v>
      </c>
      <c r="AP67" s="173">
        <v>123.91461</v>
      </c>
      <c r="AQ67" s="173">
        <v>298.66430436191496</v>
      </c>
      <c r="AR67" s="173">
        <v>563.51399423999987</v>
      </c>
      <c r="AS67" s="173">
        <v>213.49822988999998</v>
      </c>
      <c r="AT67" s="173">
        <v>200.59100000000001</v>
      </c>
      <c r="AU67" s="173">
        <v>134.70544382000003</v>
      </c>
      <c r="AV67" s="173">
        <v>39.496499999999997</v>
      </c>
      <c r="AW67" s="173">
        <v>86.290130000000005</v>
      </c>
      <c r="AX67" s="173">
        <v>627.07115199999998</v>
      </c>
      <c r="AY67" s="173">
        <v>388.76185368</v>
      </c>
      <c r="AZ67" s="173">
        <v>263.75989799000001</v>
      </c>
      <c r="BA67" s="173">
        <v>2.92E-2</v>
      </c>
      <c r="BB67" s="173">
        <v>682.5629762690503</v>
      </c>
      <c r="BC67" s="173">
        <v>1493.8774554399999</v>
      </c>
      <c r="BD67" s="173">
        <v>413.85060255000002</v>
      </c>
      <c r="BE67" s="173">
        <v>232.349272484186</v>
      </c>
    </row>
    <row r="68" spans="2:57" x14ac:dyDescent="0.55000000000000004">
      <c r="B68" s="178"/>
      <c r="C68" s="140" t="s">
        <v>322</v>
      </c>
      <c r="D68" s="173">
        <v>0</v>
      </c>
      <c r="E68" s="173">
        <v>0</v>
      </c>
      <c r="F68" s="173">
        <v>0</v>
      </c>
      <c r="G68" s="173">
        <v>0</v>
      </c>
      <c r="H68" s="173">
        <v>0</v>
      </c>
      <c r="I68" s="173">
        <v>0</v>
      </c>
      <c r="J68" s="173">
        <v>0</v>
      </c>
      <c r="K68" s="173">
        <v>0</v>
      </c>
      <c r="L68" s="173">
        <v>0</v>
      </c>
      <c r="M68" s="173">
        <v>0</v>
      </c>
      <c r="N68" s="173">
        <v>0</v>
      </c>
      <c r="O68" s="173">
        <v>0</v>
      </c>
      <c r="P68" s="173">
        <v>0</v>
      </c>
      <c r="Q68" s="173">
        <v>700.49999925999998</v>
      </c>
      <c r="R68" s="173">
        <v>-1.8477439880371095E-12</v>
      </c>
      <c r="S68" s="173">
        <v>0</v>
      </c>
      <c r="T68" s="173">
        <v>2000</v>
      </c>
      <c r="U68" s="173">
        <v>3082.2</v>
      </c>
      <c r="V68" s="173">
        <v>0</v>
      </c>
      <c r="W68" s="173">
        <v>1420.8</v>
      </c>
      <c r="X68" s="173">
        <v>0</v>
      </c>
      <c r="Y68" s="173">
        <v>0</v>
      </c>
      <c r="Z68" s="173">
        <v>0</v>
      </c>
      <c r="AA68" s="173">
        <v>0</v>
      </c>
      <c r="AB68" s="173">
        <v>0</v>
      </c>
      <c r="AC68" s="173">
        <v>0</v>
      </c>
      <c r="AD68" s="173">
        <v>1500</v>
      </c>
      <c r="AE68" s="173">
        <v>0</v>
      </c>
      <c r="AF68" s="173">
        <v>0</v>
      </c>
      <c r="AG68" s="173">
        <v>0</v>
      </c>
      <c r="AH68" s="173">
        <v>0</v>
      </c>
      <c r="AI68" s="173">
        <v>0</v>
      </c>
      <c r="AJ68" s="173">
        <v>0</v>
      </c>
      <c r="AK68" s="173">
        <v>0</v>
      </c>
      <c r="AL68" s="173">
        <v>0</v>
      </c>
      <c r="AM68" s="173">
        <v>0</v>
      </c>
      <c r="AN68" s="173">
        <v>0</v>
      </c>
      <c r="AO68" s="173">
        <v>0</v>
      </c>
      <c r="AP68" s="173">
        <v>0</v>
      </c>
      <c r="AQ68" s="173">
        <v>0</v>
      </c>
      <c r="AR68" s="173">
        <v>0</v>
      </c>
      <c r="AS68" s="173">
        <v>0</v>
      </c>
      <c r="AT68" s="173">
        <v>0</v>
      </c>
      <c r="AU68" s="173">
        <v>0</v>
      </c>
      <c r="AV68" s="173">
        <v>0</v>
      </c>
      <c r="AW68" s="173">
        <v>0</v>
      </c>
      <c r="AX68" s="173">
        <v>0</v>
      </c>
      <c r="AY68" s="173">
        <v>0</v>
      </c>
      <c r="AZ68" s="173">
        <v>0</v>
      </c>
      <c r="BA68" s="173">
        <v>0</v>
      </c>
      <c r="BB68" s="173">
        <v>0</v>
      </c>
      <c r="BC68" s="173">
        <v>1000</v>
      </c>
      <c r="BD68" s="173">
        <v>0</v>
      </c>
      <c r="BE68" s="173">
        <v>0</v>
      </c>
    </row>
    <row r="69" spans="2:57" x14ac:dyDescent="0.55000000000000004">
      <c r="B69" s="177"/>
      <c r="C69" s="140" t="s">
        <v>323</v>
      </c>
      <c r="D69" s="173">
        <v>7213.68</v>
      </c>
      <c r="E69" s="173">
        <v>0</v>
      </c>
      <c r="F69" s="173">
        <v>27069.337815000003</v>
      </c>
      <c r="G69" s="173">
        <v>28686.650684749999</v>
      </c>
      <c r="H69" s="173">
        <v>3681.7955712398002</v>
      </c>
      <c r="I69" s="173">
        <v>23866.735000000001</v>
      </c>
      <c r="J69" s="173">
        <v>19642.876200000002</v>
      </c>
      <c r="K69" s="173">
        <v>7982.4316900453105</v>
      </c>
      <c r="L69" s="173">
        <v>5674.05</v>
      </c>
      <c r="M69" s="173">
        <v>5052.4496966999995</v>
      </c>
      <c r="N69" s="173">
        <v>17075.387999999999</v>
      </c>
      <c r="O69" s="173">
        <v>15244.5629408</v>
      </c>
      <c r="P69" s="173">
        <v>10142.894553599999</v>
      </c>
      <c r="Q69" s="173">
        <v>0</v>
      </c>
      <c r="R69" s="173">
        <v>24180.693558000999</v>
      </c>
      <c r="S69" s="173">
        <v>2504.01215168</v>
      </c>
      <c r="T69" s="173">
        <v>10605.57</v>
      </c>
      <c r="U69" s="173">
        <v>9919.0800000000017</v>
      </c>
      <c r="V69" s="173">
        <v>7129.4088000000002</v>
      </c>
      <c r="W69" s="173">
        <v>4390.131688765</v>
      </c>
      <c r="X69" s="173">
        <v>0</v>
      </c>
      <c r="Y69" s="173">
        <v>0</v>
      </c>
      <c r="Z69" s="173">
        <v>0</v>
      </c>
      <c r="AA69" s="173">
        <v>0</v>
      </c>
      <c r="AB69" s="173">
        <v>0</v>
      </c>
      <c r="AC69" s="173">
        <v>0</v>
      </c>
      <c r="AD69" s="173">
        <v>0</v>
      </c>
      <c r="AE69" s="173">
        <v>0</v>
      </c>
      <c r="AF69" s="173">
        <v>0</v>
      </c>
      <c r="AG69" s="173">
        <v>0</v>
      </c>
      <c r="AH69" s="173">
        <v>0</v>
      </c>
      <c r="AI69" s="173">
        <v>0</v>
      </c>
      <c r="AJ69" s="173">
        <v>0</v>
      </c>
      <c r="AK69" s="173">
        <v>0</v>
      </c>
      <c r="AL69" s="173">
        <v>0</v>
      </c>
      <c r="AM69" s="173">
        <v>0</v>
      </c>
      <c r="AN69" s="173">
        <v>0</v>
      </c>
      <c r="AO69" s="173">
        <v>0</v>
      </c>
      <c r="AP69" s="173">
        <v>0</v>
      </c>
      <c r="AQ69" s="173">
        <v>0</v>
      </c>
      <c r="AR69" s="173">
        <v>0</v>
      </c>
      <c r="AS69" s="173">
        <v>0</v>
      </c>
      <c r="AT69" s="173">
        <v>0</v>
      </c>
      <c r="AU69" s="173">
        <v>0</v>
      </c>
      <c r="AV69" s="173">
        <v>0</v>
      </c>
      <c r="AW69" s="173">
        <v>0</v>
      </c>
      <c r="AX69" s="173">
        <v>0</v>
      </c>
      <c r="AY69" s="173">
        <v>0</v>
      </c>
      <c r="AZ69" s="173">
        <v>0</v>
      </c>
      <c r="BA69" s="173">
        <v>0</v>
      </c>
      <c r="BB69" s="173">
        <v>0</v>
      </c>
      <c r="BC69" s="173">
        <v>0</v>
      </c>
      <c r="BD69" s="173">
        <v>0</v>
      </c>
      <c r="BE69" s="173">
        <v>0</v>
      </c>
    </row>
    <row r="70" spans="2:57" x14ac:dyDescent="0.55000000000000004">
      <c r="B70" s="177"/>
      <c r="C70" s="185" t="s">
        <v>324</v>
      </c>
      <c r="D70" s="173">
        <v>7080.338012014483</v>
      </c>
      <c r="E70" s="173">
        <v>7131.9527623500035</v>
      </c>
      <c r="F70" s="173">
        <v>8631.4403605000007</v>
      </c>
      <c r="G70" s="173">
        <v>12238.243884484938</v>
      </c>
      <c r="H70" s="173">
        <v>1837.872077198072</v>
      </c>
      <c r="I70" s="173">
        <v>3655.1137082161622</v>
      </c>
      <c r="J70" s="173">
        <v>573.72014599999966</v>
      </c>
      <c r="K70" s="173">
        <v>3504.6736983915271</v>
      </c>
      <c r="L70" s="173">
        <v>4876.3953742399999</v>
      </c>
      <c r="M70" s="173">
        <v>3778.1346147200002</v>
      </c>
      <c r="N70" s="173">
        <v>6104.9430476099988</v>
      </c>
      <c r="O70" s="173">
        <v>13696.746028756943</v>
      </c>
      <c r="P70" s="173">
        <v>11331.424764827043</v>
      </c>
      <c r="Q70" s="173">
        <v>22431.011405692858</v>
      </c>
      <c r="R70" s="173">
        <v>8470.751779536</v>
      </c>
      <c r="S70" s="173">
        <v>2655.93057374</v>
      </c>
      <c r="T70" s="173">
        <v>4766.0497381239948</v>
      </c>
      <c r="U70" s="173">
        <v>7013.8387178338344</v>
      </c>
      <c r="V70" s="173">
        <v>11003.795408370002</v>
      </c>
      <c r="W70" s="173">
        <v>3285.4812397000005</v>
      </c>
      <c r="X70" s="173">
        <v>1095.9425506002419</v>
      </c>
      <c r="Y70" s="173">
        <v>20.571999999999999</v>
      </c>
      <c r="Z70" s="173">
        <v>0</v>
      </c>
      <c r="AA70" s="173">
        <v>995.80186348000007</v>
      </c>
      <c r="AB70" s="173">
        <v>657.47811716000001</v>
      </c>
      <c r="AC70" s="173">
        <v>48.45081802</v>
      </c>
      <c r="AD70" s="173">
        <v>1104.3269709800002</v>
      </c>
      <c r="AE70" s="173">
        <v>1342.7465448904773</v>
      </c>
      <c r="AF70" s="173">
        <v>1220.2052080855574</v>
      </c>
      <c r="AG70" s="173">
        <v>0</v>
      </c>
      <c r="AH70" s="173">
        <v>1250.99435391</v>
      </c>
      <c r="AI70" s="173">
        <v>588.60183036000001</v>
      </c>
      <c r="AJ70" s="173">
        <v>2349.6009392071096</v>
      </c>
      <c r="AK70" s="173">
        <v>113.71749193999999</v>
      </c>
      <c r="AL70" s="173">
        <v>88.393421000000004</v>
      </c>
      <c r="AM70" s="173">
        <v>56.273457010000008</v>
      </c>
      <c r="AN70" s="173">
        <v>63.343378229999992</v>
      </c>
      <c r="AO70" s="173">
        <v>176.80215463000005</v>
      </c>
      <c r="AP70" s="173">
        <v>123.91461</v>
      </c>
      <c r="AQ70" s="173">
        <v>298.66430436191496</v>
      </c>
      <c r="AR70" s="173">
        <v>563.51399423999987</v>
      </c>
      <c r="AS70" s="173">
        <v>213.49822988999998</v>
      </c>
      <c r="AT70" s="173">
        <v>200.59100000000001</v>
      </c>
      <c r="AU70" s="173">
        <v>134.70544382000003</v>
      </c>
      <c r="AV70" s="173">
        <v>39.496499999999997</v>
      </c>
      <c r="AW70" s="173">
        <v>86.290130000000005</v>
      </c>
      <c r="AX70" s="173">
        <v>627.07115199999998</v>
      </c>
      <c r="AY70" s="173">
        <v>388.76185368</v>
      </c>
      <c r="AZ70" s="173">
        <v>263.75989799000001</v>
      </c>
      <c r="BA70" s="173">
        <v>2.92E-2</v>
      </c>
      <c r="BB70" s="173">
        <v>682.5629762690503</v>
      </c>
      <c r="BC70" s="173">
        <v>493.87745543999995</v>
      </c>
      <c r="BD70" s="173">
        <v>413.85060255000002</v>
      </c>
      <c r="BE70" s="173">
        <v>232.349272484186</v>
      </c>
    </row>
    <row r="71" spans="2:57" ht="31.35" x14ac:dyDescent="0.55000000000000004">
      <c r="B71" s="178">
        <v>4</v>
      </c>
      <c r="C71" s="186" t="s">
        <v>325</v>
      </c>
      <c r="D71" s="173">
        <v>235588.74554128002</v>
      </c>
      <c r="E71" s="173">
        <v>305746.82367454417</v>
      </c>
      <c r="F71" s="173">
        <v>429159.69232019113</v>
      </c>
      <c r="G71" s="173">
        <v>354891.43800834892</v>
      </c>
      <c r="H71" s="173">
        <v>88810.009427736004</v>
      </c>
      <c r="I71" s="173">
        <v>250821.13359649997</v>
      </c>
      <c r="J71" s="173">
        <v>143994.37321057761</v>
      </c>
      <c r="K71" s="173">
        <v>229301.89423104969</v>
      </c>
      <c r="L71" s="173">
        <v>230856.78736098396</v>
      </c>
      <c r="M71" s="173">
        <v>149161.40598585003</v>
      </c>
      <c r="N71" s="173">
        <v>290283.50481080008</v>
      </c>
      <c r="O71" s="173">
        <v>286180.61323760409</v>
      </c>
      <c r="P71" s="173">
        <v>225594.08104213461</v>
      </c>
      <c r="Q71" s="173">
        <v>213517.18201608889</v>
      </c>
      <c r="R71" s="173">
        <v>444635.91964940249</v>
      </c>
      <c r="S71" s="173">
        <v>175432.10319793</v>
      </c>
      <c r="T71" s="173">
        <v>225851.24064938471</v>
      </c>
      <c r="U71" s="173">
        <v>245231.46162321061</v>
      </c>
      <c r="V71" s="173">
        <v>239453.46923615981</v>
      </c>
      <c r="W71" s="173">
        <v>185755.83207797739</v>
      </c>
      <c r="X71" s="173">
        <v>45358.042292400001</v>
      </c>
      <c r="Y71" s="173">
        <v>319.68700000000001</v>
      </c>
      <c r="Z71" s="173">
        <v>2547.4319959569998</v>
      </c>
      <c r="AA71" s="173">
        <v>45117.271402896869</v>
      </c>
      <c r="AB71" s="173">
        <v>12709.433216403115</v>
      </c>
      <c r="AC71" s="173">
        <v>5961.0516861500046</v>
      </c>
      <c r="AD71" s="173">
        <v>101828.48924587172</v>
      </c>
      <c r="AE71" s="173">
        <v>75666.503486249974</v>
      </c>
      <c r="AF71" s="173">
        <v>54310.069441020372</v>
      </c>
      <c r="AG71" s="173">
        <v>1304.9908466800011</v>
      </c>
      <c r="AH71" s="173">
        <v>51416.610394194438</v>
      </c>
      <c r="AI71" s="173">
        <v>60054.304453104</v>
      </c>
      <c r="AJ71" s="173">
        <v>49173.845099538907</v>
      </c>
      <c r="AK71" s="173">
        <v>3423.9010056400002</v>
      </c>
      <c r="AL71" s="173">
        <v>941.18006221999997</v>
      </c>
      <c r="AM71" s="173">
        <v>5964.4294247765001</v>
      </c>
      <c r="AN71" s="173">
        <v>4878.4102594020014</v>
      </c>
      <c r="AO71" s="173">
        <v>2794.9803695000023</v>
      </c>
      <c r="AP71" s="173">
        <v>2192.2530899999997</v>
      </c>
      <c r="AQ71" s="173">
        <v>6463.4936162099993</v>
      </c>
      <c r="AR71" s="173">
        <v>8845.3811894999981</v>
      </c>
      <c r="AS71" s="173">
        <v>6400.8265650099993</v>
      </c>
      <c r="AT71" s="173">
        <v>4316.2359999999999</v>
      </c>
      <c r="AU71" s="173">
        <v>5022.3074841999996</v>
      </c>
      <c r="AV71" s="173">
        <v>2572.6365691300002</v>
      </c>
      <c r="AW71" s="173">
        <v>5862.7343600000004</v>
      </c>
      <c r="AX71" s="173">
        <v>4936.4122809549999</v>
      </c>
      <c r="AY71" s="173">
        <v>1837.84803444</v>
      </c>
      <c r="AZ71" s="173">
        <v>1999.8773750299999</v>
      </c>
      <c r="BA71" s="173">
        <v>663.53000780000002</v>
      </c>
      <c r="BB71" s="173">
        <v>5509.8093699999999</v>
      </c>
      <c r="BC71" s="173">
        <v>17168.487347999995</v>
      </c>
      <c r="BD71" s="173">
        <v>18710.117561259693</v>
      </c>
      <c r="BE71" s="173">
        <v>7245.4740417000003</v>
      </c>
    </row>
    <row r="72" spans="2:57" x14ac:dyDescent="0.55000000000000004">
      <c r="B72" s="175"/>
      <c r="C72" s="176" t="s">
        <v>162</v>
      </c>
      <c r="D72" s="173">
        <v>235588.74554128002</v>
      </c>
      <c r="E72" s="173">
        <v>305738.30982757418</v>
      </c>
      <c r="F72" s="173">
        <v>429145.8031370911</v>
      </c>
      <c r="G72" s="173">
        <v>354830.9892257349</v>
      </c>
      <c r="H72" s="173">
        <v>85272.211587076003</v>
      </c>
      <c r="I72" s="173">
        <v>250821.13359649997</v>
      </c>
      <c r="J72" s="173">
        <v>143994.2931730776</v>
      </c>
      <c r="K72" s="173">
        <v>228576.3184246397</v>
      </c>
      <c r="L72" s="173">
        <v>230856.78736098396</v>
      </c>
      <c r="M72" s="173">
        <v>147244.44711441002</v>
      </c>
      <c r="N72" s="173">
        <v>290283.50481080008</v>
      </c>
      <c r="O72" s="173">
        <v>286115.16891908407</v>
      </c>
      <c r="P72" s="173">
        <v>225287.2158251346</v>
      </c>
      <c r="Q72" s="173">
        <v>213517.18201608889</v>
      </c>
      <c r="R72" s="173">
        <v>444635.91964940249</v>
      </c>
      <c r="S72" s="173">
        <v>175432.10319793</v>
      </c>
      <c r="T72" s="173">
        <v>222681.40878203101</v>
      </c>
      <c r="U72" s="173">
        <v>244952.05981176061</v>
      </c>
      <c r="V72" s="173">
        <v>239282.66123615982</v>
      </c>
      <c r="W72" s="173">
        <v>185755.83207797739</v>
      </c>
      <c r="X72" s="173">
        <v>45358.042292400001</v>
      </c>
      <c r="Y72" s="173">
        <v>319.68700000000001</v>
      </c>
      <c r="Z72" s="173">
        <v>2547.4319959569998</v>
      </c>
      <c r="AA72" s="173">
        <v>45117.271402896869</v>
      </c>
      <c r="AB72" s="173">
        <v>12709.433216403115</v>
      </c>
      <c r="AC72" s="173">
        <v>5961.0516861500046</v>
      </c>
      <c r="AD72" s="173">
        <v>101828.48924587172</v>
      </c>
      <c r="AE72" s="173">
        <v>75666.503486249974</v>
      </c>
      <c r="AF72" s="173">
        <v>54310.069441020372</v>
      </c>
      <c r="AG72" s="173">
        <v>1304.9908466800011</v>
      </c>
      <c r="AH72" s="173">
        <v>51416.610394194438</v>
      </c>
      <c r="AI72" s="173">
        <v>60054.304453104</v>
      </c>
      <c r="AJ72" s="173">
        <v>49173.845099538907</v>
      </c>
      <c r="AK72" s="173">
        <v>3423.9010056400002</v>
      </c>
      <c r="AL72" s="173">
        <v>941.18006221999997</v>
      </c>
      <c r="AM72" s="173">
        <v>5964.4294247765001</v>
      </c>
      <c r="AN72" s="173">
        <v>4878.4102594020014</v>
      </c>
      <c r="AO72" s="173">
        <v>2794.9803695000023</v>
      </c>
      <c r="AP72" s="173">
        <v>2192.2530899999997</v>
      </c>
      <c r="AQ72" s="173">
        <v>6463.4936162099993</v>
      </c>
      <c r="AR72" s="173">
        <v>8845.3811894999981</v>
      </c>
      <c r="AS72" s="173">
        <v>6400.8265650099993</v>
      </c>
      <c r="AT72" s="173">
        <v>4316.2359999999999</v>
      </c>
      <c r="AU72" s="173">
        <v>5022.3074841999996</v>
      </c>
      <c r="AV72" s="173">
        <v>2572.6365691300002</v>
      </c>
      <c r="AW72" s="173">
        <v>5862.7343600000004</v>
      </c>
      <c r="AX72" s="173">
        <v>4936.4122809549999</v>
      </c>
      <c r="AY72" s="173">
        <v>1837.84803444</v>
      </c>
      <c r="AZ72" s="173">
        <v>1999.8773750299999</v>
      </c>
      <c r="BA72" s="173">
        <v>663.53000780000002</v>
      </c>
      <c r="BB72" s="173">
        <v>5509.8093699999999</v>
      </c>
      <c r="BC72" s="173">
        <v>17168.487347999995</v>
      </c>
      <c r="BD72" s="173">
        <v>18710.117561259693</v>
      </c>
      <c r="BE72" s="173">
        <v>7245.4740417000003</v>
      </c>
    </row>
    <row r="73" spans="2:57" x14ac:dyDescent="0.55000000000000004">
      <c r="B73" s="177"/>
      <c r="C73" s="140" t="s">
        <v>326</v>
      </c>
      <c r="D73" s="173">
        <v>229038.90056901003</v>
      </c>
      <c r="E73" s="173">
        <v>291998.08019385417</v>
      </c>
      <c r="F73" s="173">
        <v>413356.74971724109</v>
      </c>
      <c r="G73" s="173">
        <v>338089.70171892492</v>
      </c>
      <c r="H73" s="173">
        <v>81157.211587076003</v>
      </c>
      <c r="I73" s="173">
        <v>241234.85121503996</v>
      </c>
      <c r="J73" s="173">
        <v>137426.49239459762</v>
      </c>
      <c r="K73" s="173">
        <v>217036.17622537969</v>
      </c>
      <c r="L73" s="173">
        <v>226028.53863713396</v>
      </c>
      <c r="M73" s="173">
        <v>141195.45302251002</v>
      </c>
      <c r="N73" s="173">
        <v>278324.7174447701</v>
      </c>
      <c r="O73" s="173">
        <v>274068.56675229414</v>
      </c>
      <c r="P73" s="173">
        <v>217267.11115825456</v>
      </c>
      <c r="Q73" s="173">
        <v>211145.3680195089</v>
      </c>
      <c r="R73" s="173">
        <v>423038.10100481252</v>
      </c>
      <c r="S73" s="173">
        <v>174238.00943241001</v>
      </c>
      <c r="T73" s="173">
        <v>213127.69916892101</v>
      </c>
      <c r="U73" s="173">
        <v>234536.72230433061</v>
      </c>
      <c r="V73" s="173">
        <v>227989.78008514983</v>
      </c>
      <c r="W73" s="173">
        <v>178722.94609537738</v>
      </c>
      <c r="X73" s="173">
        <v>42042.795233210003</v>
      </c>
      <c r="Y73" s="173">
        <v>319.68700000000001</v>
      </c>
      <c r="Z73" s="173">
        <v>2547.4319959569998</v>
      </c>
      <c r="AA73" s="173">
        <v>43276.278957476869</v>
      </c>
      <c r="AB73" s="173">
        <v>12509.088903203115</v>
      </c>
      <c r="AC73" s="173">
        <v>5330.2852640700039</v>
      </c>
      <c r="AD73" s="173">
        <v>99814.291964631717</v>
      </c>
      <c r="AE73" s="173">
        <v>71445.031622229973</v>
      </c>
      <c r="AF73" s="173">
        <v>52019.614100890365</v>
      </c>
      <c r="AG73" s="173">
        <v>1304.9908466800011</v>
      </c>
      <c r="AH73" s="173">
        <v>48660.441662534431</v>
      </c>
      <c r="AI73" s="173">
        <v>58484.071529313995</v>
      </c>
      <c r="AJ73" s="173">
        <v>48722.478079918903</v>
      </c>
      <c r="AK73" s="173">
        <v>3423.9010056400002</v>
      </c>
      <c r="AL73" s="173">
        <v>941.18006221999997</v>
      </c>
      <c r="AM73" s="173">
        <v>5598.8898399965001</v>
      </c>
      <c r="AN73" s="173">
        <v>4878.4102594020014</v>
      </c>
      <c r="AO73" s="173">
        <v>2713.0995238700025</v>
      </c>
      <c r="AP73" s="173">
        <v>2192.2530899999997</v>
      </c>
      <c r="AQ73" s="173">
        <v>6427.3446115699999</v>
      </c>
      <c r="AR73" s="173">
        <v>8621.3132777799983</v>
      </c>
      <c r="AS73" s="173">
        <v>6320.1665650099994</v>
      </c>
      <c r="AT73" s="173">
        <v>4316.2359999999999</v>
      </c>
      <c r="AU73" s="173">
        <v>4848.6063442000004</v>
      </c>
      <c r="AV73" s="173">
        <v>2522.77795036</v>
      </c>
      <c r="AW73" s="173">
        <v>5817.7595700000002</v>
      </c>
      <c r="AX73" s="173">
        <v>4878.0512602250001</v>
      </c>
      <c r="AY73" s="173">
        <v>1837.7724466100001</v>
      </c>
      <c r="AZ73" s="173">
        <v>1999.8773750299999</v>
      </c>
      <c r="BA73" s="173">
        <v>663.53000780000002</v>
      </c>
      <c r="BB73" s="173">
        <v>5443.9142400000001</v>
      </c>
      <c r="BC73" s="173">
        <v>16954.062566939996</v>
      </c>
      <c r="BD73" s="173">
        <v>18333.037846319698</v>
      </c>
      <c r="BE73" s="173">
        <v>7207.5118019899992</v>
      </c>
    </row>
    <row r="74" spans="2:57" x14ac:dyDescent="0.55000000000000004">
      <c r="B74" s="177"/>
      <c r="C74" s="140" t="s">
        <v>327</v>
      </c>
      <c r="D74" s="173">
        <v>6549.8449722700007</v>
      </c>
      <c r="E74" s="173">
        <v>12982.7134484</v>
      </c>
      <c r="F74" s="173">
        <v>15789.053419850001</v>
      </c>
      <c r="G74" s="173">
        <v>15676.790293810003</v>
      </c>
      <c r="H74" s="173">
        <v>4115</v>
      </c>
      <c r="I74" s="173">
        <v>9586.282380460003</v>
      </c>
      <c r="J74" s="173">
        <v>6567.8007784799993</v>
      </c>
      <c r="K74" s="173">
        <v>9707.5421992599986</v>
      </c>
      <c r="L74" s="173">
        <v>4828.2487238499998</v>
      </c>
      <c r="M74" s="173">
        <v>5919.149498329999</v>
      </c>
      <c r="N74" s="173">
        <v>11958.787366029999</v>
      </c>
      <c r="O74" s="173">
        <v>12046.602166789999</v>
      </c>
      <c r="P74" s="173">
        <v>8020.1046668800018</v>
      </c>
      <c r="Q74" s="173">
        <v>2371.8139965800001</v>
      </c>
      <c r="R74" s="173">
        <v>21060.753956680001</v>
      </c>
      <c r="S74" s="173">
        <v>1194.09376552</v>
      </c>
      <c r="T74" s="173">
        <v>9553.7096131100079</v>
      </c>
      <c r="U74" s="173">
        <v>10415.337507430004</v>
      </c>
      <c r="V74" s="173">
        <v>11168.32991443</v>
      </c>
      <c r="W74" s="173">
        <v>7032.8859826000034</v>
      </c>
      <c r="X74" s="173">
        <v>3315.2470591900001</v>
      </c>
      <c r="Y74" s="173">
        <v>0</v>
      </c>
      <c r="Z74" s="173">
        <v>0</v>
      </c>
      <c r="AA74" s="173">
        <v>1840.9924454200002</v>
      </c>
      <c r="AB74" s="173">
        <v>200.34431320000002</v>
      </c>
      <c r="AC74" s="173">
        <v>630.7664220800001</v>
      </c>
      <c r="AD74" s="173">
        <v>2014.1972812400004</v>
      </c>
      <c r="AE74" s="173">
        <v>4221.4718640199999</v>
      </c>
      <c r="AF74" s="173">
        <v>2290.45534013</v>
      </c>
      <c r="AG74" s="173">
        <v>0</v>
      </c>
      <c r="AH74" s="173">
        <v>2756.1687316600005</v>
      </c>
      <c r="AI74" s="173">
        <v>1570.2329237900015</v>
      </c>
      <c r="AJ74" s="173">
        <v>451.36701961999995</v>
      </c>
      <c r="AK74" s="173">
        <v>0</v>
      </c>
      <c r="AL74" s="173">
        <v>0</v>
      </c>
      <c r="AM74" s="173">
        <v>365.53958478000004</v>
      </c>
      <c r="AN74" s="173">
        <v>0</v>
      </c>
      <c r="AO74" s="173">
        <v>81.880845629999996</v>
      </c>
      <c r="AP74" s="173">
        <v>0</v>
      </c>
      <c r="AQ74" s="173">
        <v>36.14900464000003</v>
      </c>
      <c r="AR74" s="173">
        <v>224.06791172000001</v>
      </c>
      <c r="AS74" s="173">
        <v>80.66</v>
      </c>
      <c r="AT74" s="173">
        <v>0</v>
      </c>
      <c r="AU74" s="173">
        <v>173.70114000000001</v>
      </c>
      <c r="AV74" s="173">
        <v>49.85861877</v>
      </c>
      <c r="AW74" s="173">
        <v>44.974789999999999</v>
      </c>
      <c r="AX74" s="173">
        <v>58.361020730000007</v>
      </c>
      <c r="AY74" s="173">
        <v>7.5587829999999995E-2</v>
      </c>
      <c r="AZ74" s="173">
        <v>0</v>
      </c>
      <c r="BA74" s="173">
        <v>0</v>
      </c>
      <c r="BB74" s="173">
        <v>65.895130000000009</v>
      </c>
      <c r="BC74" s="173">
        <v>214.42478106000002</v>
      </c>
      <c r="BD74" s="173">
        <v>377.07971493999997</v>
      </c>
      <c r="BE74" s="173">
        <v>37.962239709999999</v>
      </c>
    </row>
    <row r="75" spans="2:57" x14ac:dyDescent="0.55000000000000004">
      <c r="B75" s="177"/>
      <c r="C75" s="140" t="s">
        <v>328</v>
      </c>
      <c r="D75" s="173">
        <v>0</v>
      </c>
      <c r="E75" s="173">
        <v>757.51618531999998</v>
      </c>
      <c r="F75" s="173">
        <v>0</v>
      </c>
      <c r="G75" s="173">
        <v>1064.4972130000001</v>
      </c>
      <c r="H75" s="173">
        <v>0</v>
      </c>
      <c r="I75" s="173">
        <v>9.9999999747524271E-7</v>
      </c>
      <c r="J75" s="173">
        <v>0</v>
      </c>
      <c r="K75" s="173">
        <v>1832.6</v>
      </c>
      <c r="L75" s="173">
        <v>0</v>
      </c>
      <c r="M75" s="173">
        <v>129.84459357</v>
      </c>
      <c r="N75" s="173">
        <v>0</v>
      </c>
      <c r="O75" s="173">
        <v>0</v>
      </c>
      <c r="P75" s="173">
        <v>0</v>
      </c>
      <c r="Q75" s="173">
        <v>0</v>
      </c>
      <c r="R75" s="173">
        <v>537.06468790999998</v>
      </c>
      <c r="S75" s="173">
        <v>0</v>
      </c>
      <c r="T75" s="173">
        <v>0</v>
      </c>
      <c r="U75" s="173">
        <v>0</v>
      </c>
      <c r="V75" s="173">
        <v>124.55123657999999</v>
      </c>
      <c r="W75" s="173">
        <v>0</v>
      </c>
      <c r="X75" s="173">
        <v>0</v>
      </c>
      <c r="Y75" s="173">
        <v>0</v>
      </c>
      <c r="Z75" s="173">
        <v>0</v>
      </c>
      <c r="AA75" s="173">
        <v>0</v>
      </c>
      <c r="AB75" s="173">
        <v>0</v>
      </c>
      <c r="AC75" s="173">
        <v>0</v>
      </c>
      <c r="AD75" s="173">
        <v>0</v>
      </c>
      <c r="AE75" s="173">
        <v>0</v>
      </c>
      <c r="AF75" s="173">
        <v>0</v>
      </c>
      <c r="AG75" s="173">
        <v>0</v>
      </c>
      <c r="AH75" s="173">
        <v>0</v>
      </c>
      <c r="AI75" s="173">
        <v>0</v>
      </c>
      <c r="AJ75" s="173">
        <v>0</v>
      </c>
      <c r="AK75" s="173">
        <v>0</v>
      </c>
      <c r="AL75" s="173">
        <v>0</v>
      </c>
      <c r="AM75" s="173">
        <v>0</v>
      </c>
      <c r="AN75" s="173">
        <v>0</v>
      </c>
      <c r="AO75" s="173">
        <v>0</v>
      </c>
      <c r="AP75" s="173">
        <v>0</v>
      </c>
      <c r="AQ75" s="173">
        <v>0</v>
      </c>
      <c r="AR75" s="173">
        <v>0</v>
      </c>
      <c r="AS75" s="173">
        <v>0</v>
      </c>
      <c r="AT75" s="173">
        <v>0</v>
      </c>
      <c r="AU75" s="173">
        <v>0</v>
      </c>
      <c r="AV75" s="173">
        <v>0</v>
      </c>
      <c r="AW75" s="173">
        <v>0</v>
      </c>
      <c r="AX75" s="173">
        <v>0</v>
      </c>
      <c r="AY75" s="173">
        <v>0</v>
      </c>
      <c r="AZ75" s="173">
        <v>0</v>
      </c>
      <c r="BA75" s="173">
        <v>0</v>
      </c>
      <c r="BB75" s="173">
        <v>0</v>
      </c>
      <c r="BC75" s="173">
        <v>0</v>
      </c>
      <c r="BD75" s="173">
        <v>0</v>
      </c>
      <c r="BE75" s="173">
        <v>0</v>
      </c>
    </row>
    <row r="76" spans="2:57" x14ac:dyDescent="0.55000000000000004">
      <c r="B76" s="187"/>
      <c r="C76" s="138" t="s">
        <v>329</v>
      </c>
      <c r="D76" s="173">
        <v>0</v>
      </c>
      <c r="E76" s="173">
        <v>8.5138469700000012</v>
      </c>
      <c r="F76" s="173">
        <v>13.8891831</v>
      </c>
      <c r="G76" s="173">
        <v>60.44878261400001</v>
      </c>
      <c r="H76" s="173">
        <v>3537.79784066</v>
      </c>
      <c r="I76" s="173">
        <v>0</v>
      </c>
      <c r="J76" s="173">
        <v>8.0037499999999998E-2</v>
      </c>
      <c r="K76" s="173">
        <v>725.57580640999993</v>
      </c>
      <c r="L76" s="173">
        <v>0</v>
      </c>
      <c r="M76" s="173">
        <v>1916.9588714400002</v>
      </c>
      <c r="N76" s="173">
        <v>0</v>
      </c>
      <c r="O76" s="173">
        <v>65.444318519999996</v>
      </c>
      <c r="P76" s="173">
        <v>306.86521699999997</v>
      </c>
      <c r="Q76" s="173">
        <v>0</v>
      </c>
      <c r="R76" s="173">
        <v>0</v>
      </c>
      <c r="S76" s="173">
        <v>0</v>
      </c>
      <c r="T76" s="173">
        <v>3169.8318673537005</v>
      </c>
      <c r="U76" s="173">
        <v>279.40181144999997</v>
      </c>
      <c r="V76" s="173">
        <v>170.80799999999999</v>
      </c>
      <c r="W76" s="173">
        <v>0</v>
      </c>
      <c r="X76" s="173">
        <v>0</v>
      </c>
      <c r="Y76" s="173">
        <v>0</v>
      </c>
      <c r="Z76" s="173">
        <v>0</v>
      </c>
      <c r="AA76" s="173">
        <v>0</v>
      </c>
      <c r="AB76" s="173">
        <v>0</v>
      </c>
      <c r="AC76" s="173">
        <v>0</v>
      </c>
      <c r="AD76" s="173">
        <v>0</v>
      </c>
      <c r="AE76" s="173">
        <v>0</v>
      </c>
      <c r="AF76" s="173">
        <v>0</v>
      </c>
      <c r="AG76" s="173">
        <v>0</v>
      </c>
      <c r="AH76" s="173">
        <v>0</v>
      </c>
      <c r="AI76" s="173">
        <v>0</v>
      </c>
      <c r="AJ76" s="173">
        <v>0</v>
      </c>
      <c r="AK76" s="173">
        <v>0</v>
      </c>
      <c r="AL76" s="173">
        <v>0</v>
      </c>
      <c r="AM76" s="173">
        <v>0</v>
      </c>
      <c r="AN76" s="173">
        <v>0</v>
      </c>
      <c r="AO76" s="173">
        <v>0</v>
      </c>
      <c r="AP76" s="173">
        <v>0</v>
      </c>
      <c r="AQ76" s="173">
        <v>0</v>
      </c>
      <c r="AR76" s="173">
        <v>0</v>
      </c>
      <c r="AS76" s="173">
        <v>0</v>
      </c>
      <c r="AT76" s="173">
        <v>0</v>
      </c>
      <c r="AU76" s="173">
        <v>0</v>
      </c>
      <c r="AV76" s="173">
        <v>0</v>
      </c>
      <c r="AW76" s="173">
        <v>0</v>
      </c>
      <c r="AX76" s="173">
        <v>0</v>
      </c>
      <c r="AY76" s="173">
        <v>0</v>
      </c>
      <c r="AZ76" s="173">
        <v>0</v>
      </c>
      <c r="BA76" s="173">
        <v>0</v>
      </c>
      <c r="BB76" s="173">
        <v>0</v>
      </c>
      <c r="BC76" s="173">
        <v>0</v>
      </c>
      <c r="BD76" s="173">
        <v>0</v>
      </c>
      <c r="BE76" s="173">
        <v>0</v>
      </c>
    </row>
    <row r="77" spans="2:57" x14ac:dyDescent="0.55000000000000004">
      <c r="B77" s="177"/>
      <c r="C77" s="140" t="s">
        <v>330</v>
      </c>
      <c r="D77" s="173">
        <v>0</v>
      </c>
      <c r="E77" s="173">
        <v>8.5068569700000012</v>
      </c>
      <c r="F77" s="173">
        <v>0</v>
      </c>
      <c r="G77" s="173">
        <v>36.937180954000013</v>
      </c>
      <c r="H77" s="173">
        <v>3373.9244531600002</v>
      </c>
      <c r="I77" s="173">
        <v>0</v>
      </c>
      <c r="J77" s="173">
        <v>0</v>
      </c>
      <c r="K77" s="173">
        <v>725.57580640999993</v>
      </c>
      <c r="L77" s="173">
        <v>0</v>
      </c>
      <c r="M77" s="173">
        <v>1916.9588714400002</v>
      </c>
      <c r="N77" s="173">
        <v>0</v>
      </c>
      <c r="O77" s="173">
        <v>65.444318519999996</v>
      </c>
      <c r="P77" s="173">
        <v>306.86521699999997</v>
      </c>
      <c r="Q77" s="173">
        <v>0</v>
      </c>
      <c r="R77" s="173">
        <v>0</v>
      </c>
      <c r="S77" s="173">
        <v>0</v>
      </c>
      <c r="T77" s="173">
        <v>3169.8318673537005</v>
      </c>
      <c r="U77" s="173">
        <v>279.40181144999997</v>
      </c>
      <c r="V77" s="173">
        <v>170.80799999999999</v>
      </c>
      <c r="W77" s="173">
        <v>0</v>
      </c>
      <c r="X77" s="173">
        <v>0</v>
      </c>
      <c r="Y77" s="173">
        <v>0</v>
      </c>
      <c r="Z77" s="173">
        <v>0</v>
      </c>
      <c r="AA77" s="173">
        <v>0</v>
      </c>
      <c r="AB77" s="173">
        <v>0</v>
      </c>
      <c r="AC77" s="173">
        <v>0</v>
      </c>
      <c r="AD77" s="173">
        <v>0</v>
      </c>
      <c r="AE77" s="173">
        <v>0</v>
      </c>
      <c r="AF77" s="173">
        <v>0</v>
      </c>
      <c r="AG77" s="173">
        <v>0</v>
      </c>
      <c r="AH77" s="173">
        <v>0</v>
      </c>
      <c r="AI77" s="173">
        <v>0</v>
      </c>
      <c r="AJ77" s="173">
        <v>0</v>
      </c>
      <c r="AK77" s="173">
        <v>0</v>
      </c>
      <c r="AL77" s="173">
        <v>0</v>
      </c>
      <c r="AM77" s="173">
        <v>0</v>
      </c>
      <c r="AN77" s="173">
        <v>0</v>
      </c>
      <c r="AO77" s="173">
        <v>0</v>
      </c>
      <c r="AP77" s="173">
        <v>0</v>
      </c>
      <c r="AQ77" s="173">
        <v>0</v>
      </c>
      <c r="AR77" s="173">
        <v>0</v>
      </c>
      <c r="AS77" s="173">
        <v>0</v>
      </c>
      <c r="AT77" s="173">
        <v>0</v>
      </c>
      <c r="AU77" s="173">
        <v>0</v>
      </c>
      <c r="AV77" s="173">
        <v>0</v>
      </c>
      <c r="AW77" s="173">
        <v>0</v>
      </c>
      <c r="AX77" s="173">
        <v>0</v>
      </c>
      <c r="AY77" s="173">
        <v>0</v>
      </c>
      <c r="AZ77" s="173">
        <v>0</v>
      </c>
      <c r="BA77" s="173">
        <v>0</v>
      </c>
      <c r="BB77" s="173">
        <v>0</v>
      </c>
      <c r="BC77" s="173">
        <v>0</v>
      </c>
      <c r="BD77" s="173">
        <v>0</v>
      </c>
      <c r="BE77" s="173">
        <v>0</v>
      </c>
    </row>
    <row r="78" spans="2:57" x14ac:dyDescent="0.55000000000000004">
      <c r="B78" s="177"/>
      <c r="C78" s="140" t="s">
        <v>331</v>
      </c>
      <c r="D78" s="173">
        <v>0</v>
      </c>
      <c r="E78" s="173">
        <v>6.9899999999999997E-3</v>
      </c>
      <c r="F78" s="173">
        <v>13.8891831</v>
      </c>
      <c r="G78" s="173">
        <v>23.51160166</v>
      </c>
      <c r="H78" s="173">
        <v>163.87338749999981</v>
      </c>
      <c r="I78" s="173">
        <v>0</v>
      </c>
      <c r="J78" s="173">
        <v>8.0037499999999998E-2</v>
      </c>
      <c r="K78" s="173">
        <v>0</v>
      </c>
      <c r="L78" s="173">
        <v>0</v>
      </c>
      <c r="M78" s="173">
        <v>0</v>
      </c>
      <c r="N78" s="173">
        <v>0</v>
      </c>
      <c r="O78" s="173">
        <v>0</v>
      </c>
      <c r="P78" s="173">
        <v>0</v>
      </c>
      <c r="Q78" s="173">
        <v>0</v>
      </c>
      <c r="R78" s="173">
        <v>0</v>
      </c>
      <c r="S78" s="173">
        <v>0</v>
      </c>
      <c r="T78" s="173">
        <v>0</v>
      </c>
      <c r="U78" s="173">
        <v>0</v>
      </c>
      <c r="V78" s="173">
        <v>0</v>
      </c>
      <c r="W78" s="173">
        <v>0</v>
      </c>
      <c r="X78" s="173">
        <v>0</v>
      </c>
      <c r="Y78" s="173">
        <v>0</v>
      </c>
      <c r="Z78" s="173">
        <v>0</v>
      </c>
      <c r="AA78" s="173">
        <v>0</v>
      </c>
      <c r="AB78" s="173">
        <v>0</v>
      </c>
      <c r="AC78" s="173">
        <v>0</v>
      </c>
      <c r="AD78" s="173">
        <v>0</v>
      </c>
      <c r="AE78" s="173">
        <v>0</v>
      </c>
      <c r="AF78" s="173">
        <v>0</v>
      </c>
      <c r="AG78" s="173">
        <v>0</v>
      </c>
      <c r="AH78" s="173">
        <v>0</v>
      </c>
      <c r="AI78" s="173">
        <v>0</v>
      </c>
      <c r="AJ78" s="173">
        <v>0</v>
      </c>
      <c r="AK78" s="173">
        <v>0</v>
      </c>
      <c r="AL78" s="173">
        <v>0</v>
      </c>
      <c r="AM78" s="173">
        <v>0</v>
      </c>
      <c r="AN78" s="173">
        <v>0</v>
      </c>
      <c r="AO78" s="173">
        <v>0</v>
      </c>
      <c r="AP78" s="173">
        <v>0</v>
      </c>
      <c r="AQ78" s="173">
        <v>0</v>
      </c>
      <c r="AR78" s="173">
        <v>0</v>
      </c>
      <c r="AS78" s="173">
        <v>0</v>
      </c>
      <c r="AT78" s="173">
        <v>0</v>
      </c>
      <c r="AU78" s="173">
        <v>0</v>
      </c>
      <c r="AV78" s="173">
        <v>0</v>
      </c>
      <c r="AW78" s="173">
        <v>0</v>
      </c>
      <c r="AX78" s="173">
        <v>0</v>
      </c>
      <c r="AY78" s="173">
        <v>0</v>
      </c>
      <c r="AZ78" s="173">
        <v>0</v>
      </c>
      <c r="BA78" s="173">
        <v>0</v>
      </c>
      <c r="BB78" s="173">
        <v>0</v>
      </c>
      <c r="BC78" s="173">
        <v>0</v>
      </c>
      <c r="BD78" s="173">
        <v>0</v>
      </c>
      <c r="BE78" s="173">
        <v>0</v>
      </c>
    </row>
    <row r="79" spans="2:57" x14ac:dyDescent="0.55000000000000004">
      <c r="B79" s="177"/>
      <c r="C79" s="140" t="s">
        <v>332</v>
      </c>
      <c r="D79" s="173">
        <v>0</v>
      </c>
      <c r="E79" s="173">
        <v>0</v>
      </c>
      <c r="F79" s="173">
        <v>0</v>
      </c>
      <c r="G79" s="173">
        <v>0</v>
      </c>
      <c r="H79" s="173">
        <v>0</v>
      </c>
      <c r="I79" s="173">
        <v>0</v>
      </c>
      <c r="J79" s="173">
        <v>0</v>
      </c>
      <c r="K79" s="173">
        <v>0</v>
      </c>
      <c r="L79" s="173">
        <v>0</v>
      </c>
      <c r="M79" s="173">
        <v>0</v>
      </c>
      <c r="N79" s="173">
        <v>0</v>
      </c>
      <c r="O79" s="173">
        <v>0</v>
      </c>
      <c r="P79" s="173">
        <v>0</v>
      </c>
      <c r="Q79" s="173">
        <v>0</v>
      </c>
      <c r="R79" s="173">
        <v>0</v>
      </c>
      <c r="S79" s="173">
        <v>0</v>
      </c>
      <c r="T79" s="173">
        <v>0</v>
      </c>
      <c r="U79" s="173">
        <v>0</v>
      </c>
      <c r="V79" s="173">
        <v>0</v>
      </c>
      <c r="W79" s="173">
        <v>0</v>
      </c>
      <c r="X79" s="173">
        <v>0</v>
      </c>
      <c r="Y79" s="173">
        <v>0</v>
      </c>
      <c r="Z79" s="173">
        <v>0</v>
      </c>
      <c r="AA79" s="173">
        <v>0</v>
      </c>
      <c r="AB79" s="173">
        <v>0</v>
      </c>
      <c r="AC79" s="173">
        <v>0</v>
      </c>
      <c r="AD79" s="173">
        <v>0</v>
      </c>
      <c r="AE79" s="173">
        <v>0</v>
      </c>
      <c r="AF79" s="173">
        <v>0</v>
      </c>
      <c r="AG79" s="173">
        <v>0</v>
      </c>
      <c r="AH79" s="173">
        <v>0</v>
      </c>
      <c r="AI79" s="173">
        <v>0</v>
      </c>
      <c r="AJ79" s="173">
        <v>0</v>
      </c>
      <c r="AK79" s="173">
        <v>0</v>
      </c>
      <c r="AL79" s="173">
        <v>0</v>
      </c>
      <c r="AM79" s="173">
        <v>0</v>
      </c>
      <c r="AN79" s="173">
        <v>0</v>
      </c>
      <c r="AO79" s="173">
        <v>0</v>
      </c>
      <c r="AP79" s="173">
        <v>0</v>
      </c>
      <c r="AQ79" s="173">
        <v>0</v>
      </c>
      <c r="AR79" s="173">
        <v>0</v>
      </c>
      <c r="AS79" s="173">
        <v>0</v>
      </c>
      <c r="AT79" s="173">
        <v>0</v>
      </c>
      <c r="AU79" s="173">
        <v>0</v>
      </c>
      <c r="AV79" s="173">
        <v>0</v>
      </c>
      <c r="AW79" s="173">
        <v>0</v>
      </c>
      <c r="AX79" s="173">
        <v>0</v>
      </c>
      <c r="AY79" s="173">
        <v>0</v>
      </c>
      <c r="AZ79" s="173">
        <v>0</v>
      </c>
      <c r="BA79" s="173">
        <v>0</v>
      </c>
      <c r="BB79" s="173">
        <v>0</v>
      </c>
      <c r="BC79" s="173">
        <v>0</v>
      </c>
      <c r="BD79" s="173">
        <v>0</v>
      </c>
      <c r="BE79" s="173">
        <v>0</v>
      </c>
    </row>
    <row r="80" spans="2:57" x14ac:dyDescent="0.55000000000000004">
      <c r="B80" s="178">
        <v>5</v>
      </c>
      <c r="C80" s="138" t="s">
        <v>333</v>
      </c>
      <c r="D80" s="173">
        <v>0</v>
      </c>
      <c r="E80" s="173">
        <v>0</v>
      </c>
      <c r="F80" s="173">
        <v>2449.3329762800008</v>
      </c>
      <c r="G80" s="173">
        <v>0</v>
      </c>
      <c r="H80" s="173">
        <v>0</v>
      </c>
      <c r="I80" s="173">
        <v>0</v>
      </c>
      <c r="J80" s="173">
        <v>0</v>
      </c>
      <c r="K80" s="173">
        <v>0</v>
      </c>
      <c r="L80" s="173">
        <v>0</v>
      </c>
      <c r="M80" s="173">
        <v>0</v>
      </c>
      <c r="N80" s="173">
        <v>0</v>
      </c>
      <c r="O80" s="173">
        <v>0</v>
      </c>
      <c r="P80" s="173">
        <v>0</v>
      </c>
      <c r="Q80" s="173">
        <v>0</v>
      </c>
      <c r="R80" s="173">
        <v>0</v>
      </c>
      <c r="S80" s="173">
        <v>0</v>
      </c>
      <c r="T80" s="173">
        <v>0</v>
      </c>
      <c r="U80" s="173">
        <v>0</v>
      </c>
      <c r="V80" s="173">
        <v>0</v>
      </c>
      <c r="W80" s="173">
        <v>0</v>
      </c>
      <c r="X80" s="173">
        <v>0</v>
      </c>
      <c r="Y80" s="173">
        <v>0</v>
      </c>
      <c r="Z80" s="173">
        <v>0</v>
      </c>
      <c r="AA80" s="173">
        <v>0</v>
      </c>
      <c r="AB80" s="173">
        <v>0</v>
      </c>
      <c r="AC80" s="173">
        <v>0</v>
      </c>
      <c r="AD80" s="173">
        <v>0</v>
      </c>
      <c r="AE80" s="173">
        <v>0</v>
      </c>
      <c r="AF80" s="173">
        <v>0</v>
      </c>
      <c r="AG80" s="173">
        <v>0</v>
      </c>
      <c r="AH80" s="173">
        <v>0</v>
      </c>
      <c r="AI80" s="173">
        <v>0</v>
      </c>
      <c r="AJ80" s="173">
        <v>0</v>
      </c>
      <c r="AK80" s="173">
        <v>0</v>
      </c>
      <c r="AL80" s="173">
        <v>0</v>
      </c>
      <c r="AM80" s="173">
        <v>0</v>
      </c>
      <c r="AN80" s="173">
        <v>0</v>
      </c>
      <c r="AO80" s="173">
        <v>0</v>
      </c>
      <c r="AP80" s="173">
        <v>0</v>
      </c>
      <c r="AQ80" s="173">
        <v>0</v>
      </c>
      <c r="AR80" s="173">
        <v>0</v>
      </c>
      <c r="AS80" s="173">
        <v>0</v>
      </c>
      <c r="AT80" s="173">
        <v>0</v>
      </c>
      <c r="AU80" s="173">
        <v>0</v>
      </c>
      <c r="AV80" s="173">
        <v>0</v>
      </c>
      <c r="AW80" s="173">
        <v>0</v>
      </c>
      <c r="AX80" s="173">
        <v>0</v>
      </c>
      <c r="AY80" s="173">
        <v>0</v>
      </c>
      <c r="AZ80" s="173">
        <v>0</v>
      </c>
      <c r="BA80" s="173">
        <v>0</v>
      </c>
      <c r="BB80" s="173">
        <v>0</v>
      </c>
      <c r="BC80" s="173">
        <v>0</v>
      </c>
      <c r="BD80" s="173">
        <v>0</v>
      </c>
      <c r="BE80" s="173">
        <v>0</v>
      </c>
    </row>
    <row r="81" spans="2:57" x14ac:dyDescent="0.55000000000000004">
      <c r="B81" s="177"/>
      <c r="C81" s="140" t="s">
        <v>334</v>
      </c>
      <c r="D81" s="173">
        <v>0</v>
      </c>
      <c r="E81" s="173">
        <v>0</v>
      </c>
      <c r="F81" s="173">
        <v>2449.3329762800008</v>
      </c>
      <c r="G81" s="173">
        <v>0</v>
      </c>
      <c r="H81" s="173">
        <v>0</v>
      </c>
      <c r="I81" s="173">
        <v>0</v>
      </c>
      <c r="J81" s="173">
        <v>0</v>
      </c>
      <c r="K81" s="173">
        <v>0</v>
      </c>
      <c r="L81" s="173">
        <v>0</v>
      </c>
      <c r="M81" s="173">
        <v>0</v>
      </c>
      <c r="N81" s="173">
        <v>0</v>
      </c>
      <c r="O81" s="173">
        <v>0</v>
      </c>
      <c r="P81" s="173">
        <v>0</v>
      </c>
      <c r="Q81" s="173">
        <v>0</v>
      </c>
      <c r="R81" s="173">
        <v>0</v>
      </c>
      <c r="S81" s="173">
        <v>0</v>
      </c>
      <c r="T81" s="173">
        <v>0</v>
      </c>
      <c r="U81" s="173">
        <v>0</v>
      </c>
      <c r="V81" s="173">
        <v>0</v>
      </c>
      <c r="W81" s="173">
        <v>0</v>
      </c>
      <c r="X81" s="173">
        <v>0</v>
      </c>
      <c r="Y81" s="173">
        <v>0</v>
      </c>
      <c r="Z81" s="173">
        <v>0</v>
      </c>
      <c r="AA81" s="173">
        <v>0</v>
      </c>
      <c r="AB81" s="173">
        <v>0</v>
      </c>
      <c r="AC81" s="173">
        <v>0</v>
      </c>
      <c r="AD81" s="173">
        <v>0</v>
      </c>
      <c r="AE81" s="173">
        <v>0</v>
      </c>
      <c r="AF81" s="173">
        <v>0</v>
      </c>
      <c r="AG81" s="173">
        <v>0</v>
      </c>
      <c r="AH81" s="173">
        <v>0</v>
      </c>
      <c r="AI81" s="173">
        <v>0</v>
      </c>
      <c r="AJ81" s="173">
        <v>0</v>
      </c>
      <c r="AK81" s="173">
        <v>0</v>
      </c>
      <c r="AL81" s="173">
        <v>0</v>
      </c>
      <c r="AM81" s="173">
        <v>0</v>
      </c>
      <c r="AN81" s="173">
        <v>0</v>
      </c>
      <c r="AO81" s="173">
        <v>0</v>
      </c>
      <c r="AP81" s="173">
        <v>0</v>
      </c>
      <c r="AQ81" s="173">
        <v>0</v>
      </c>
      <c r="AR81" s="173">
        <v>0</v>
      </c>
      <c r="AS81" s="173">
        <v>0</v>
      </c>
      <c r="AT81" s="173">
        <v>0</v>
      </c>
      <c r="AU81" s="173">
        <v>0</v>
      </c>
      <c r="AV81" s="173">
        <v>0</v>
      </c>
      <c r="AW81" s="173">
        <v>0</v>
      </c>
      <c r="AX81" s="173">
        <v>0</v>
      </c>
      <c r="AY81" s="173">
        <v>0</v>
      </c>
      <c r="AZ81" s="173">
        <v>0</v>
      </c>
      <c r="BA81" s="173">
        <v>0</v>
      </c>
      <c r="BB81" s="173">
        <v>0</v>
      </c>
      <c r="BC81" s="173">
        <v>0</v>
      </c>
      <c r="BD81" s="173">
        <v>0</v>
      </c>
      <c r="BE81" s="173">
        <v>0</v>
      </c>
    </row>
    <row r="82" spans="2:57" x14ac:dyDescent="0.55000000000000004">
      <c r="B82" s="177"/>
      <c r="C82" s="140" t="s">
        <v>335</v>
      </c>
      <c r="D82" s="173">
        <v>0</v>
      </c>
      <c r="E82" s="173">
        <v>0</v>
      </c>
      <c r="F82" s="173">
        <v>0</v>
      </c>
      <c r="G82" s="173">
        <v>0</v>
      </c>
      <c r="H82" s="173">
        <v>0</v>
      </c>
      <c r="I82" s="173">
        <v>0</v>
      </c>
      <c r="J82" s="173">
        <v>0</v>
      </c>
      <c r="K82" s="173">
        <v>0</v>
      </c>
      <c r="L82" s="173">
        <v>0</v>
      </c>
      <c r="M82" s="173">
        <v>0</v>
      </c>
      <c r="N82" s="173">
        <v>0</v>
      </c>
      <c r="O82" s="173">
        <v>0</v>
      </c>
      <c r="P82" s="173">
        <v>0</v>
      </c>
      <c r="Q82" s="173">
        <v>0</v>
      </c>
      <c r="R82" s="173">
        <v>0</v>
      </c>
      <c r="S82" s="173">
        <v>0</v>
      </c>
      <c r="T82" s="173">
        <v>0</v>
      </c>
      <c r="U82" s="173">
        <v>0</v>
      </c>
      <c r="V82" s="173">
        <v>0</v>
      </c>
      <c r="W82" s="173">
        <v>0</v>
      </c>
      <c r="X82" s="173">
        <v>0</v>
      </c>
      <c r="Y82" s="173">
        <v>0</v>
      </c>
      <c r="Z82" s="173">
        <v>0</v>
      </c>
      <c r="AA82" s="173">
        <v>0</v>
      </c>
      <c r="AB82" s="173">
        <v>0</v>
      </c>
      <c r="AC82" s="173">
        <v>0</v>
      </c>
      <c r="AD82" s="173">
        <v>0</v>
      </c>
      <c r="AE82" s="173">
        <v>0</v>
      </c>
      <c r="AF82" s="173">
        <v>0</v>
      </c>
      <c r="AG82" s="173">
        <v>0</v>
      </c>
      <c r="AH82" s="173">
        <v>0</v>
      </c>
      <c r="AI82" s="173">
        <v>0</v>
      </c>
      <c r="AJ82" s="173">
        <v>0</v>
      </c>
      <c r="AK82" s="173">
        <v>0</v>
      </c>
      <c r="AL82" s="173">
        <v>0</v>
      </c>
      <c r="AM82" s="173">
        <v>0</v>
      </c>
      <c r="AN82" s="173">
        <v>0</v>
      </c>
      <c r="AO82" s="173">
        <v>0</v>
      </c>
      <c r="AP82" s="173">
        <v>0</v>
      </c>
      <c r="AQ82" s="173">
        <v>0</v>
      </c>
      <c r="AR82" s="173">
        <v>0</v>
      </c>
      <c r="AS82" s="173">
        <v>0</v>
      </c>
      <c r="AT82" s="173">
        <v>0</v>
      </c>
      <c r="AU82" s="173">
        <v>0</v>
      </c>
      <c r="AV82" s="173">
        <v>0</v>
      </c>
      <c r="AW82" s="173">
        <v>0</v>
      </c>
      <c r="AX82" s="173">
        <v>0</v>
      </c>
      <c r="AY82" s="173">
        <v>0</v>
      </c>
      <c r="AZ82" s="173">
        <v>0</v>
      </c>
      <c r="BA82" s="173">
        <v>0</v>
      </c>
      <c r="BB82" s="173">
        <v>0</v>
      </c>
      <c r="BC82" s="173">
        <v>0</v>
      </c>
      <c r="BD82" s="173">
        <v>0</v>
      </c>
      <c r="BE82" s="173">
        <v>0</v>
      </c>
    </row>
    <row r="83" spans="2:57" x14ac:dyDescent="0.55000000000000004">
      <c r="B83" s="178">
        <v>6</v>
      </c>
      <c r="C83" s="138" t="s">
        <v>168</v>
      </c>
      <c r="D83" s="173">
        <v>13482.958085539578</v>
      </c>
      <c r="E83" s="173">
        <v>30120.786688324995</v>
      </c>
      <c r="F83" s="173">
        <v>4548.9523694900008</v>
      </c>
      <c r="G83" s="173">
        <v>12653.442098819998</v>
      </c>
      <c r="H83" s="173">
        <v>833.16491462999988</v>
      </c>
      <c r="I83" s="173">
        <v>9171.8686020000005</v>
      </c>
      <c r="J83" s="173">
        <v>2969.1001583100001</v>
      </c>
      <c r="K83" s="173">
        <v>4374.5716642463403</v>
      </c>
      <c r="L83" s="173">
        <v>4982.8402056599998</v>
      </c>
      <c r="M83" s="173">
        <v>1664.5768287399997</v>
      </c>
      <c r="N83" s="173">
        <v>5333.5215547999987</v>
      </c>
      <c r="O83" s="173">
        <v>7333.3863522543916</v>
      </c>
      <c r="P83" s="173">
        <v>5822.5795190047702</v>
      </c>
      <c r="Q83" s="173">
        <v>2475.6300819099997</v>
      </c>
      <c r="R83" s="173">
        <v>12276.07200443995</v>
      </c>
      <c r="S83" s="173">
        <v>6715.8524452300007</v>
      </c>
      <c r="T83" s="173">
        <v>3952.5251260276523</v>
      </c>
      <c r="U83" s="173">
        <v>2941.7871040999999</v>
      </c>
      <c r="V83" s="173">
        <v>4604.6524693107922</v>
      </c>
      <c r="W83" s="173">
        <v>1465.51599025</v>
      </c>
      <c r="X83" s="173">
        <v>1003.8284439900001</v>
      </c>
      <c r="Y83" s="173">
        <v>33.445</v>
      </c>
      <c r="Z83" s="173">
        <v>150.74302054999998</v>
      </c>
      <c r="AA83" s="173">
        <v>808.2921324411941</v>
      </c>
      <c r="AB83" s="173">
        <v>361.52374033999996</v>
      </c>
      <c r="AC83" s="173">
        <v>55.001947528436347</v>
      </c>
      <c r="AD83" s="173">
        <v>1374.6127391799998</v>
      </c>
      <c r="AE83" s="173">
        <v>1911.0469165000002</v>
      </c>
      <c r="AF83" s="173">
        <v>945.27052536277836</v>
      </c>
      <c r="AG83" s="173">
        <v>143.01659551999998</v>
      </c>
      <c r="AH83" s="173">
        <v>2146.7292182899996</v>
      </c>
      <c r="AI83" s="173">
        <v>617.56877691</v>
      </c>
      <c r="AJ83" s="173">
        <v>1291.3931598700001</v>
      </c>
      <c r="AK83" s="173">
        <v>198.12607044000001</v>
      </c>
      <c r="AL83" s="173">
        <v>29.282809729999997</v>
      </c>
      <c r="AM83" s="173">
        <v>141.65036127999997</v>
      </c>
      <c r="AN83" s="173">
        <v>30.135906889999998</v>
      </c>
      <c r="AO83" s="173">
        <v>174.30699777000001</v>
      </c>
      <c r="AP83" s="173">
        <v>18.763950000000001</v>
      </c>
      <c r="AQ83" s="173">
        <v>147.28504239000003</v>
      </c>
      <c r="AR83" s="173">
        <v>652.91284644999996</v>
      </c>
      <c r="AS83" s="173">
        <v>113.76447874999999</v>
      </c>
      <c r="AT83" s="173">
        <v>296.262</v>
      </c>
      <c r="AU83" s="173">
        <v>377.56737663000007</v>
      </c>
      <c r="AV83" s="173">
        <v>54.049340450000003</v>
      </c>
      <c r="AW83" s="173">
        <v>164.24002999999999</v>
      </c>
      <c r="AX83" s="173">
        <v>180.22662563000003</v>
      </c>
      <c r="AY83" s="173">
        <v>195.57297641</v>
      </c>
      <c r="AZ83" s="173">
        <v>107.22062697</v>
      </c>
      <c r="BA83" s="173">
        <v>77.510074299999985</v>
      </c>
      <c r="BB83" s="173">
        <v>211.05581088295546</v>
      </c>
      <c r="BC83" s="173">
        <v>366.76187371324062</v>
      </c>
      <c r="BD83" s="173">
        <v>706.57476367000004</v>
      </c>
      <c r="BE83" s="173">
        <v>300.88882775000002</v>
      </c>
    </row>
    <row r="84" spans="2:57" x14ac:dyDescent="0.55000000000000004">
      <c r="B84" s="178">
        <v>7</v>
      </c>
      <c r="C84" s="138" t="s">
        <v>169</v>
      </c>
      <c r="D84" s="173">
        <v>34675.709935901206</v>
      </c>
      <c r="E84" s="173">
        <v>37509.798914564919</v>
      </c>
      <c r="F84" s="173">
        <v>53016.586963023467</v>
      </c>
      <c r="G84" s="173">
        <v>50631.939425195553</v>
      </c>
      <c r="H84" s="173">
        <v>6753.0637827287283</v>
      </c>
      <c r="I84" s="173">
        <v>20371.941272649998</v>
      </c>
      <c r="J84" s="173">
        <v>12301.139939281529</v>
      </c>
      <c r="K84" s="173">
        <v>14948.578189165146</v>
      </c>
      <c r="L84" s="173">
        <v>35588.533807950007</v>
      </c>
      <c r="M84" s="173">
        <v>10741.391496132055</v>
      </c>
      <c r="N84" s="173">
        <v>30896.138356913303</v>
      </c>
      <c r="O84" s="173">
        <v>22211.738401828297</v>
      </c>
      <c r="P84" s="173">
        <v>23835.615892094796</v>
      </c>
      <c r="Q84" s="173">
        <v>53608.053380948841</v>
      </c>
      <c r="R84" s="173">
        <v>36068.709866520141</v>
      </c>
      <c r="S84" s="173">
        <v>15634.5861503</v>
      </c>
      <c r="T84" s="173">
        <v>15817.667075781836</v>
      </c>
      <c r="U84" s="173">
        <v>28295.78202858405</v>
      </c>
      <c r="V84" s="173">
        <v>27706.175917404231</v>
      </c>
      <c r="W84" s="173">
        <v>10452.705856999502</v>
      </c>
      <c r="X84" s="173">
        <v>2805.5614866839273</v>
      </c>
      <c r="Y84" s="173">
        <v>69.498999999999995</v>
      </c>
      <c r="Z84" s="173">
        <v>2636.0812185579998</v>
      </c>
      <c r="AA84" s="173">
        <v>2503.1682954875005</v>
      </c>
      <c r="AB84" s="173">
        <v>453.58320795538907</v>
      </c>
      <c r="AC84" s="173">
        <v>110.10027117282932</v>
      </c>
      <c r="AD84" s="173">
        <v>3888.7715497610943</v>
      </c>
      <c r="AE84" s="173">
        <v>2197.1518489578134</v>
      </c>
      <c r="AF84" s="173">
        <v>1816.540983926333</v>
      </c>
      <c r="AG84" s="173">
        <v>201.48010392000077</v>
      </c>
      <c r="AH84" s="173">
        <v>3237.8803057827163</v>
      </c>
      <c r="AI84" s="173">
        <v>2401.9532066776683</v>
      </c>
      <c r="AJ84" s="173">
        <v>3215.0846636050037</v>
      </c>
      <c r="AK84" s="173">
        <v>265.14473982999999</v>
      </c>
      <c r="AL84" s="173">
        <v>198.42434897000001</v>
      </c>
      <c r="AM84" s="173">
        <v>527.46011137986852</v>
      </c>
      <c r="AN84" s="173">
        <v>374.70261719000001</v>
      </c>
      <c r="AO84" s="173">
        <v>559.16964298803316</v>
      </c>
      <c r="AP84" s="173">
        <v>6283.0130547500003</v>
      </c>
      <c r="AQ84" s="173">
        <v>885.92482294900003</v>
      </c>
      <c r="AR84" s="173">
        <v>953.1518265799732</v>
      </c>
      <c r="AS84" s="173">
        <v>219.15617022550001</v>
      </c>
      <c r="AT84" s="173">
        <v>232.511</v>
      </c>
      <c r="AU84" s="173">
        <v>261.60769662999996</v>
      </c>
      <c r="AV84" s="173">
        <v>974.14671548999911</v>
      </c>
      <c r="AW84" s="173">
        <v>1022.64816</v>
      </c>
      <c r="AX84" s="173">
        <v>185.14720600000001</v>
      </c>
      <c r="AY84" s="173">
        <v>85.756420052779987</v>
      </c>
      <c r="AZ84" s="173">
        <v>142.68941683999998</v>
      </c>
      <c r="BA84" s="173">
        <v>3170.7162009999997</v>
      </c>
      <c r="BB84" s="173">
        <v>359.97415227675748</v>
      </c>
      <c r="BC84" s="173">
        <v>588.24980267234707</v>
      </c>
      <c r="BD84" s="173">
        <v>989.38056362800057</v>
      </c>
      <c r="BE84" s="173">
        <v>400.93754917999996</v>
      </c>
    </row>
    <row r="85" spans="2:57" x14ac:dyDescent="0.55000000000000004">
      <c r="B85" s="188"/>
      <c r="C85" s="189" t="s">
        <v>336</v>
      </c>
      <c r="D85" s="173">
        <v>7149.2619012190999</v>
      </c>
      <c r="E85" s="173">
        <v>14263.623912777413</v>
      </c>
      <c r="F85" s="173">
        <v>10450.583150617598</v>
      </c>
      <c r="G85" s="173">
        <v>9267.1347337499974</v>
      </c>
      <c r="H85" s="173">
        <v>882.4657564925551</v>
      </c>
      <c r="I85" s="173">
        <v>10621.42413632</v>
      </c>
      <c r="J85" s="173">
        <v>3865.5504455399996</v>
      </c>
      <c r="K85" s="173">
        <v>2128.5048745400009</v>
      </c>
      <c r="L85" s="173">
        <v>7647.9326516200008</v>
      </c>
      <c r="M85" s="173">
        <v>3804.9277014871</v>
      </c>
      <c r="N85" s="173">
        <v>12101.796395399002</v>
      </c>
      <c r="O85" s="173">
        <v>6161.4861336999656</v>
      </c>
      <c r="P85" s="173">
        <v>3570.4411800436001</v>
      </c>
      <c r="Q85" s="173">
        <v>4773.0728866292156</v>
      </c>
      <c r="R85" s="173">
        <v>6650.2343341453361</v>
      </c>
      <c r="S85" s="173">
        <v>3411.71376564</v>
      </c>
      <c r="T85" s="173">
        <v>7068.1562647799992</v>
      </c>
      <c r="U85" s="173">
        <v>5990.4739438562128</v>
      </c>
      <c r="V85" s="173">
        <v>10816.361853369972</v>
      </c>
      <c r="W85" s="173">
        <v>1971.4522634325001</v>
      </c>
      <c r="X85" s="173">
        <v>1635.4023216199998</v>
      </c>
      <c r="Y85" s="173">
        <v>29.803999999999998</v>
      </c>
      <c r="Z85" s="173">
        <v>901.09731944800001</v>
      </c>
      <c r="AA85" s="173">
        <v>687.79502822999984</v>
      </c>
      <c r="AB85" s="173">
        <v>111.66010555899994</v>
      </c>
      <c r="AC85" s="173">
        <v>18.816332399999997</v>
      </c>
      <c r="AD85" s="173">
        <v>145.27798008000002</v>
      </c>
      <c r="AE85" s="173">
        <v>645.38369621000004</v>
      </c>
      <c r="AF85" s="173">
        <v>682.68538439100018</v>
      </c>
      <c r="AG85" s="173">
        <v>93.607604219999999</v>
      </c>
      <c r="AH85" s="173">
        <v>1007.0699043572162</v>
      </c>
      <c r="AI85" s="173">
        <v>1026.2441913977998</v>
      </c>
      <c r="AJ85" s="173">
        <v>1261.45754637</v>
      </c>
      <c r="AK85" s="173">
        <v>92.858155940000003</v>
      </c>
      <c r="AL85" s="173">
        <v>18.14440682</v>
      </c>
      <c r="AM85" s="173">
        <v>160.83571832986817</v>
      </c>
      <c r="AN85" s="173">
        <v>60.076839769999999</v>
      </c>
      <c r="AO85" s="173">
        <v>435.69669278333305</v>
      </c>
      <c r="AP85" s="173">
        <v>5743.7801200000004</v>
      </c>
      <c r="AQ85" s="173">
        <v>462.4030352800001</v>
      </c>
      <c r="AR85" s="173">
        <v>0</v>
      </c>
      <c r="AS85" s="173">
        <v>100.49964741000001</v>
      </c>
      <c r="AT85" s="173">
        <v>62.432000000000002</v>
      </c>
      <c r="AU85" s="173">
        <v>115.05709552</v>
      </c>
      <c r="AV85" s="173">
        <v>622.29767650999975</v>
      </c>
      <c r="AW85" s="173">
        <v>449.50385</v>
      </c>
      <c r="AX85" s="173">
        <v>11.231714999999999</v>
      </c>
      <c r="AY85" s="173">
        <v>30.233313389999999</v>
      </c>
      <c r="AZ85" s="173">
        <v>57.611057129999999</v>
      </c>
      <c r="BA85" s="173">
        <v>3117.8505399999999</v>
      </c>
      <c r="BB85" s="173">
        <v>156.12800288999998</v>
      </c>
      <c r="BC85" s="173">
        <v>128.45425397000008</v>
      </c>
      <c r="BD85" s="173">
        <v>173.72794629800055</v>
      </c>
      <c r="BE85" s="173">
        <v>163.92396306000001</v>
      </c>
    </row>
    <row r="86" spans="2:57" x14ac:dyDescent="0.55000000000000004">
      <c r="B86" s="188"/>
      <c r="C86" s="140" t="s">
        <v>337</v>
      </c>
      <c r="D86" s="173">
        <v>0</v>
      </c>
      <c r="E86" s="173">
        <v>12806.265311877412</v>
      </c>
      <c r="F86" s="173">
        <v>5891.6813190605999</v>
      </c>
      <c r="G86" s="173">
        <v>7581.6834924899968</v>
      </c>
      <c r="H86" s="173">
        <v>593.71281310651284</v>
      </c>
      <c r="I86" s="173">
        <v>9920.2538640000002</v>
      </c>
      <c r="J86" s="173">
        <v>2753.8845322299999</v>
      </c>
      <c r="K86" s="173">
        <v>1201.83387024689</v>
      </c>
      <c r="L86" s="173">
        <v>3149.1366251000013</v>
      </c>
      <c r="M86" s="173">
        <v>2324.8985405631015</v>
      </c>
      <c r="N86" s="173">
        <v>9036.4697891699907</v>
      </c>
      <c r="O86" s="173">
        <v>4669.941096949964</v>
      </c>
      <c r="P86" s="173">
        <v>2245.766482930499</v>
      </c>
      <c r="Q86" s="173">
        <v>3501.4726350400001</v>
      </c>
      <c r="R86" s="173">
        <v>0</v>
      </c>
      <c r="S86" s="173">
        <v>1441.0885036499999</v>
      </c>
      <c r="T86" s="173">
        <v>5427.1049042835002</v>
      </c>
      <c r="U86" s="173">
        <v>4330.6388937003721</v>
      </c>
      <c r="V86" s="173">
        <v>8882.4261722709689</v>
      </c>
      <c r="W86" s="173">
        <v>1068.7302446720009</v>
      </c>
      <c r="X86" s="173">
        <v>20.208066800000001</v>
      </c>
      <c r="Y86" s="173">
        <v>21.016999999999999</v>
      </c>
      <c r="Z86" s="173">
        <v>0</v>
      </c>
      <c r="AA86" s="173">
        <v>0</v>
      </c>
      <c r="AB86" s="173">
        <v>78.617656650000157</v>
      </c>
      <c r="AC86" s="173">
        <v>8.7654934100000013</v>
      </c>
      <c r="AD86" s="173">
        <v>0</v>
      </c>
      <c r="AE86" s="173">
        <v>27.446233339999999</v>
      </c>
      <c r="AF86" s="173">
        <v>0</v>
      </c>
      <c r="AG86" s="173">
        <v>40.975630369999877</v>
      </c>
      <c r="AH86" s="173">
        <v>0</v>
      </c>
      <c r="AI86" s="173">
        <v>0</v>
      </c>
      <c r="AJ86" s="173">
        <v>848.06592999999998</v>
      </c>
      <c r="AK86" s="173">
        <v>0</v>
      </c>
      <c r="AL86" s="173">
        <v>0</v>
      </c>
      <c r="AM86" s="173">
        <v>2.6135575500000003</v>
      </c>
      <c r="AN86" s="173">
        <v>0</v>
      </c>
      <c r="AO86" s="173">
        <v>25.940777050000001</v>
      </c>
      <c r="AP86" s="173">
        <v>1150.655</v>
      </c>
      <c r="AQ86" s="173">
        <v>225.38359062999999</v>
      </c>
      <c r="AR86" s="173">
        <v>0</v>
      </c>
      <c r="AS86" s="173">
        <v>26.044289623002509</v>
      </c>
      <c r="AT86" s="173">
        <v>16.613</v>
      </c>
      <c r="AU86" s="173">
        <v>0</v>
      </c>
      <c r="AV86" s="173">
        <v>580.08976016999975</v>
      </c>
      <c r="AW86" s="173">
        <v>320.84156000000002</v>
      </c>
      <c r="AX86" s="173">
        <v>0</v>
      </c>
      <c r="AY86" s="173">
        <v>27.799216609999998</v>
      </c>
      <c r="AZ86" s="173">
        <v>28.366079240000001</v>
      </c>
      <c r="BA86" s="173">
        <v>3117.8505399999999</v>
      </c>
      <c r="BB86" s="173">
        <v>17.42314</v>
      </c>
      <c r="BC86" s="173">
        <v>94.442480390000071</v>
      </c>
      <c r="BD86" s="173">
        <v>53.080294373299779</v>
      </c>
      <c r="BE86" s="173">
        <v>108.69413555000001</v>
      </c>
    </row>
    <row r="87" spans="2:57" x14ac:dyDescent="0.55000000000000004">
      <c r="B87" s="177"/>
      <c r="C87" s="140" t="s">
        <v>338</v>
      </c>
      <c r="D87" s="173">
        <v>0</v>
      </c>
      <c r="E87" s="173">
        <v>1262.9069935</v>
      </c>
      <c r="F87" s="173">
        <v>635.57561570999985</v>
      </c>
      <c r="G87" s="173">
        <v>1493.90086961</v>
      </c>
      <c r="H87" s="173">
        <v>0.62558239000000004</v>
      </c>
      <c r="I87" s="173">
        <v>541.17760511999995</v>
      </c>
      <c r="J87" s="173">
        <v>369.50509567</v>
      </c>
      <c r="K87" s="173">
        <v>0</v>
      </c>
      <c r="L87" s="173">
        <v>1037.8832078100002</v>
      </c>
      <c r="M87" s="173">
        <v>483.57374679000003</v>
      </c>
      <c r="N87" s="173">
        <v>1200.89463303</v>
      </c>
      <c r="O87" s="173">
        <v>696.21059155</v>
      </c>
      <c r="P87" s="173">
        <v>644.00395486000002</v>
      </c>
      <c r="Q87" s="173">
        <v>777.77074650999998</v>
      </c>
      <c r="R87" s="173">
        <v>1182.8636307399997</v>
      </c>
      <c r="S87" s="173">
        <v>0</v>
      </c>
      <c r="T87" s="173">
        <v>701.75576658999989</v>
      </c>
      <c r="U87" s="173">
        <v>456.06223466298098</v>
      </c>
      <c r="V87" s="173">
        <v>1132.8412375700016</v>
      </c>
      <c r="W87" s="173">
        <v>452.70486299999993</v>
      </c>
      <c r="X87" s="173">
        <v>152.01976765000001</v>
      </c>
      <c r="Y87" s="173">
        <v>0</v>
      </c>
      <c r="Z87" s="173">
        <v>0</v>
      </c>
      <c r="AA87" s="173">
        <v>104.52185275999999</v>
      </c>
      <c r="AB87" s="173">
        <v>0</v>
      </c>
      <c r="AC87" s="173">
        <v>0.13689189000000002</v>
      </c>
      <c r="AD87" s="173">
        <v>145.27798008000002</v>
      </c>
      <c r="AE87" s="173">
        <v>0</v>
      </c>
      <c r="AF87" s="173">
        <v>138.62583555000001</v>
      </c>
      <c r="AG87" s="173">
        <v>0</v>
      </c>
      <c r="AH87" s="173">
        <v>159.95536365000001</v>
      </c>
      <c r="AI87" s="173">
        <v>110.421713</v>
      </c>
      <c r="AJ87" s="173">
        <v>110.78438637000001</v>
      </c>
      <c r="AK87" s="173">
        <v>6.3213868600000005</v>
      </c>
      <c r="AL87" s="173">
        <v>0</v>
      </c>
      <c r="AM87" s="173">
        <v>7.8644501132681013</v>
      </c>
      <c r="AN87" s="173">
        <v>6.3610294100000004</v>
      </c>
      <c r="AO87" s="173">
        <v>5.7085545633333332</v>
      </c>
      <c r="AP87" s="173">
        <v>0</v>
      </c>
      <c r="AQ87" s="173">
        <v>7.928708320000001</v>
      </c>
      <c r="AR87" s="173">
        <v>0</v>
      </c>
      <c r="AS87" s="173">
        <v>17.566345200000001</v>
      </c>
      <c r="AT87" s="173">
        <v>8.75</v>
      </c>
      <c r="AU87" s="173">
        <v>4.9265232800000005</v>
      </c>
      <c r="AV87" s="173">
        <v>3.8486000000000005E-4</v>
      </c>
      <c r="AW87" s="173">
        <v>0.34802</v>
      </c>
      <c r="AX87" s="173">
        <v>11.231714999999999</v>
      </c>
      <c r="AY87" s="173">
        <v>0</v>
      </c>
      <c r="AZ87" s="173">
        <v>2.50410888</v>
      </c>
      <c r="BA87" s="173">
        <v>0</v>
      </c>
      <c r="BB87" s="173">
        <v>20.488320269999999</v>
      </c>
      <c r="BC87" s="173">
        <v>34.011773599999998</v>
      </c>
      <c r="BD87" s="173">
        <v>37.664955969999994</v>
      </c>
      <c r="BE87" s="173">
        <v>20.028856230000002</v>
      </c>
    </row>
    <row r="88" spans="2:57" x14ac:dyDescent="0.55000000000000004">
      <c r="B88" s="177"/>
      <c r="C88" s="185" t="s">
        <v>339</v>
      </c>
      <c r="D88" s="173">
        <v>7149.2619012190999</v>
      </c>
      <c r="E88" s="173">
        <v>194.4516074</v>
      </c>
      <c r="F88" s="173">
        <v>3923.3262158469993</v>
      </c>
      <c r="G88" s="173">
        <v>191.55037165000002</v>
      </c>
      <c r="H88" s="173">
        <v>288.12736099604217</v>
      </c>
      <c r="I88" s="173">
        <v>159.9926672</v>
      </c>
      <c r="J88" s="173">
        <v>742.16081764</v>
      </c>
      <c r="K88" s="173">
        <v>926.67100429311085</v>
      </c>
      <c r="L88" s="173">
        <v>3460.9128187099996</v>
      </c>
      <c r="M88" s="173">
        <v>996.45541413399826</v>
      </c>
      <c r="N88" s="173">
        <v>1864.4319731990099</v>
      </c>
      <c r="O88" s="173">
        <v>795.33444520000171</v>
      </c>
      <c r="P88" s="173">
        <v>680.6707422531008</v>
      </c>
      <c r="Q88" s="173">
        <v>493.82950507921532</v>
      </c>
      <c r="R88" s="173">
        <v>5467.3707034053359</v>
      </c>
      <c r="S88" s="173">
        <v>1970.6252619899999</v>
      </c>
      <c r="T88" s="173">
        <v>939.29559390649933</v>
      </c>
      <c r="U88" s="173">
        <v>1203.7728154928595</v>
      </c>
      <c r="V88" s="173">
        <v>801.09444352900164</v>
      </c>
      <c r="W88" s="173">
        <v>450.01715576049901</v>
      </c>
      <c r="X88" s="173">
        <v>1463.1744871699998</v>
      </c>
      <c r="Y88" s="173">
        <v>8.7870000000000008</v>
      </c>
      <c r="Z88" s="173">
        <v>901.09731944800001</v>
      </c>
      <c r="AA88" s="173">
        <v>583.27317546999973</v>
      </c>
      <c r="AB88" s="173">
        <v>33.042448908999795</v>
      </c>
      <c r="AC88" s="173">
        <v>9.9139470999999961</v>
      </c>
      <c r="AD88" s="173">
        <v>0</v>
      </c>
      <c r="AE88" s="173">
        <v>617.93746286999999</v>
      </c>
      <c r="AF88" s="173">
        <v>544.05954884100015</v>
      </c>
      <c r="AG88" s="173">
        <v>52.631973850000108</v>
      </c>
      <c r="AH88" s="173">
        <v>847.11454070721629</v>
      </c>
      <c r="AI88" s="173">
        <v>915.82247839779973</v>
      </c>
      <c r="AJ88" s="173">
        <v>302.60722999999996</v>
      </c>
      <c r="AK88" s="173">
        <v>86.536769079999999</v>
      </c>
      <c r="AL88" s="173">
        <v>18.14440682</v>
      </c>
      <c r="AM88" s="173">
        <v>150.35771066660007</v>
      </c>
      <c r="AN88" s="173">
        <v>53.715810359999999</v>
      </c>
      <c r="AO88" s="173">
        <v>404.04736116999976</v>
      </c>
      <c r="AP88" s="173">
        <v>4593.1251199999997</v>
      </c>
      <c r="AQ88" s="173">
        <v>229.09073633000011</v>
      </c>
      <c r="AR88" s="173">
        <v>0</v>
      </c>
      <c r="AS88" s="173">
        <v>56.889012586997502</v>
      </c>
      <c r="AT88" s="173">
        <v>37.069000000000003</v>
      </c>
      <c r="AU88" s="173">
        <v>110.13057223999999</v>
      </c>
      <c r="AV88" s="173">
        <v>42.207531480000014</v>
      </c>
      <c r="AW88" s="173">
        <v>128.31426999999999</v>
      </c>
      <c r="AX88" s="173">
        <v>0</v>
      </c>
      <c r="AY88" s="173">
        <v>2.43409678</v>
      </c>
      <c r="AZ88" s="173">
        <v>26.740869010000001</v>
      </c>
      <c r="BA88" s="173">
        <v>0</v>
      </c>
      <c r="BB88" s="173">
        <v>118.21654261999998</v>
      </c>
      <c r="BC88" s="173">
        <v>-2E-8</v>
      </c>
      <c r="BD88" s="173">
        <v>82.982695954700759</v>
      </c>
      <c r="BE88" s="173">
        <v>35.200971279999997</v>
      </c>
    </row>
    <row r="89" spans="2:57" x14ac:dyDescent="0.55000000000000004">
      <c r="B89" s="177"/>
      <c r="C89" s="185" t="s">
        <v>340</v>
      </c>
      <c r="D89" s="173">
        <v>0</v>
      </c>
      <c r="E89" s="173">
        <v>10588.72772143064</v>
      </c>
      <c r="F89" s="173">
        <v>12505.86677907</v>
      </c>
      <c r="G89" s="173">
        <v>4415.3296148500003</v>
      </c>
      <c r="H89" s="173">
        <v>1207.1238147300005</v>
      </c>
      <c r="I89" s="173">
        <v>3929.514291</v>
      </c>
      <c r="J89" s="173">
        <v>3144.7139155600003</v>
      </c>
      <c r="K89" s="173">
        <v>3583.8157317799996</v>
      </c>
      <c r="L89" s="173">
        <v>5708.4918649199999</v>
      </c>
      <c r="M89" s="173">
        <v>4867.6405850000001</v>
      </c>
      <c r="N89" s="173">
        <v>5093.5592024200005</v>
      </c>
      <c r="O89" s="173">
        <v>7065.9555148199988</v>
      </c>
      <c r="P89" s="173">
        <v>3132.633283454114</v>
      </c>
      <c r="Q89" s="173">
        <v>5622.3063656499999</v>
      </c>
      <c r="R89" s="173">
        <v>3485.6494957885407</v>
      </c>
      <c r="S89" s="173">
        <v>2735.3349344600001</v>
      </c>
      <c r="T89" s="173">
        <v>2081.0586877200003</v>
      </c>
      <c r="U89" s="173">
        <v>2214.028018460052</v>
      </c>
      <c r="V89" s="173">
        <v>10995.47250127</v>
      </c>
      <c r="W89" s="173">
        <v>4795.1509160099995</v>
      </c>
      <c r="X89" s="173">
        <v>519.56709463000004</v>
      </c>
      <c r="Y89" s="173">
        <v>0.32200000000000001</v>
      </c>
      <c r="Z89" s="173">
        <v>53.076580319999998</v>
      </c>
      <c r="AA89" s="173">
        <v>1229.6713856100005</v>
      </c>
      <c r="AB89" s="173">
        <v>198.45038023999999</v>
      </c>
      <c r="AC89" s="173">
        <v>45.613240159999997</v>
      </c>
      <c r="AD89" s="173">
        <v>1.6778870000001043</v>
      </c>
      <c r="AE89" s="173">
        <v>712.60406620000003</v>
      </c>
      <c r="AF89" s="173">
        <v>440.92138234211404</v>
      </c>
      <c r="AG89" s="173">
        <v>2.1391261300000028</v>
      </c>
      <c r="AH89" s="173">
        <v>784.20066328999997</v>
      </c>
      <c r="AI89" s="173">
        <v>694.47821849000002</v>
      </c>
      <c r="AJ89" s="173">
        <v>71.495186540000006</v>
      </c>
      <c r="AK89" s="173">
        <v>7.4348482000000002</v>
      </c>
      <c r="AL89" s="173">
        <v>159.73841361000001</v>
      </c>
      <c r="AM89" s="173">
        <v>53.77612079</v>
      </c>
      <c r="AN89" s="173">
        <v>97.985466860000002</v>
      </c>
      <c r="AO89" s="173">
        <v>27.323500689999999</v>
      </c>
      <c r="AP89" s="173">
        <v>0</v>
      </c>
      <c r="AQ89" s="173">
        <v>130.92678442000002</v>
      </c>
      <c r="AR89" s="173">
        <v>0</v>
      </c>
      <c r="AS89" s="173">
        <v>50.695548310000007</v>
      </c>
      <c r="AT89" s="173">
        <v>66.771000000000001</v>
      </c>
      <c r="AU89" s="173">
        <v>68.194501110000004</v>
      </c>
      <c r="AV89" s="173">
        <v>4.6615633799999996</v>
      </c>
      <c r="AW89" s="173">
        <v>53.057519999999997</v>
      </c>
      <c r="AX89" s="173">
        <v>0</v>
      </c>
      <c r="AY89" s="173">
        <v>29.441503509999997</v>
      </c>
      <c r="AZ89" s="173">
        <v>20.216626539999996</v>
      </c>
      <c r="BA89" s="173">
        <v>0.74313699999999994</v>
      </c>
      <c r="BB89" s="173">
        <v>0.39250000000000002</v>
      </c>
      <c r="BC89" s="173">
        <v>172.5403461851175</v>
      </c>
      <c r="BD89" s="173">
        <v>358.85661040999997</v>
      </c>
      <c r="BE89" s="173">
        <v>112.89453876000002</v>
      </c>
    </row>
    <row r="90" spans="2:57" x14ac:dyDescent="0.55000000000000004">
      <c r="B90" s="177"/>
      <c r="C90" s="140" t="s">
        <v>341</v>
      </c>
      <c r="D90" s="173">
        <v>1551.1955756902687</v>
      </c>
      <c r="E90" s="173">
        <v>2532.5020265900002</v>
      </c>
      <c r="F90" s="173">
        <v>26664.587330775874</v>
      </c>
      <c r="G90" s="173">
        <v>4946.9498337122805</v>
      </c>
      <c r="H90" s="173">
        <v>1284.7998475261736</v>
      </c>
      <c r="I90" s="173">
        <v>0</v>
      </c>
      <c r="J90" s="173">
        <v>2362.57357766</v>
      </c>
      <c r="K90" s="173">
        <v>1242.3768050287376</v>
      </c>
      <c r="L90" s="173">
        <v>10165.375659540001</v>
      </c>
      <c r="M90" s="173">
        <v>20.171337421001226</v>
      </c>
      <c r="N90" s="173">
        <v>2983.7193947042547</v>
      </c>
      <c r="O90" s="173">
        <v>3.5993440000000002E-2</v>
      </c>
      <c r="P90" s="173">
        <v>1097.4092743409703</v>
      </c>
      <c r="Q90" s="173">
        <v>22073.924230368328</v>
      </c>
      <c r="R90" s="173">
        <v>3508.7377712860889</v>
      </c>
      <c r="S90" s="173">
        <v>21.51340334</v>
      </c>
      <c r="T90" s="173">
        <v>1537.1966901010001</v>
      </c>
      <c r="U90" s="173">
        <v>9.1973120999706648</v>
      </c>
      <c r="V90" s="173">
        <v>0</v>
      </c>
      <c r="W90" s="173">
        <v>108.27614836000201</v>
      </c>
      <c r="X90" s="173">
        <v>18.769455720000003</v>
      </c>
      <c r="Y90" s="173">
        <v>12.439</v>
      </c>
      <c r="Z90" s="173">
        <v>7.43574234</v>
      </c>
      <c r="AA90" s="173">
        <v>153.79596658749998</v>
      </c>
      <c r="AB90" s="173">
        <v>79.049688160000002</v>
      </c>
      <c r="AC90" s="173">
        <v>6.2279294400000005</v>
      </c>
      <c r="AD90" s="173">
        <v>41.421242130000003</v>
      </c>
      <c r="AE90" s="173">
        <v>0.5177933400000001</v>
      </c>
      <c r="AF90" s="173">
        <v>81.734838889999978</v>
      </c>
      <c r="AG90" s="173">
        <v>9.1879516799999976</v>
      </c>
      <c r="AH90" s="173">
        <v>269.06982469999997</v>
      </c>
      <c r="AI90" s="173">
        <v>131.95923969931511</v>
      </c>
      <c r="AJ90" s="173">
        <v>749.83666285000004</v>
      </c>
      <c r="AK90" s="173">
        <v>1.1684843500000002</v>
      </c>
      <c r="AL90" s="173">
        <v>2.6319455099999995</v>
      </c>
      <c r="AM90" s="173">
        <v>182.92260178000029</v>
      </c>
      <c r="AN90" s="173">
        <v>30.039117619999999</v>
      </c>
      <c r="AO90" s="173">
        <v>1.44271767</v>
      </c>
      <c r="AP90" s="173">
        <v>43.034330000000004</v>
      </c>
      <c r="AQ90" s="173">
        <v>1.11237604</v>
      </c>
      <c r="AR90" s="173">
        <v>0</v>
      </c>
      <c r="AS90" s="173">
        <v>27.550136559999991</v>
      </c>
      <c r="AT90" s="173">
        <v>1.0569999999999999</v>
      </c>
      <c r="AU90" s="173">
        <v>2.5618600699999998</v>
      </c>
      <c r="AV90" s="173">
        <v>108.05218230999934</v>
      </c>
      <c r="AW90" s="173">
        <v>5.1001000000000003</v>
      </c>
      <c r="AX90" s="173">
        <v>0.23376499999999997</v>
      </c>
      <c r="AY90" s="173">
        <v>0.45200988000000003</v>
      </c>
      <c r="AZ90" s="173">
        <v>53.253705299999986</v>
      </c>
      <c r="BA90" s="173">
        <v>3.7285999000000003</v>
      </c>
      <c r="BB90" s="173">
        <v>1.22311598</v>
      </c>
      <c r="BC90" s="173">
        <v>30.954185849999998</v>
      </c>
      <c r="BD90" s="173">
        <v>1.5130258000000001</v>
      </c>
      <c r="BE90" s="173">
        <v>23.773340000000001</v>
      </c>
    </row>
    <row r="91" spans="2:57" x14ac:dyDescent="0.55000000000000004">
      <c r="B91" s="177"/>
      <c r="C91" s="185" t="s">
        <v>342</v>
      </c>
      <c r="D91" s="173">
        <v>0</v>
      </c>
      <c r="E91" s="173">
        <v>76.031099999999995</v>
      </c>
      <c r="F91" s="173">
        <v>0</v>
      </c>
      <c r="G91" s="173">
        <v>0</v>
      </c>
      <c r="H91" s="173">
        <v>0</v>
      </c>
      <c r="I91" s="173">
        <v>0</v>
      </c>
      <c r="J91" s="173">
        <v>0</v>
      </c>
      <c r="K91" s="173">
        <v>0</v>
      </c>
      <c r="L91" s="173">
        <v>0</v>
      </c>
      <c r="M91" s="173">
        <v>0</v>
      </c>
      <c r="N91" s="173">
        <v>0</v>
      </c>
      <c r="O91" s="173">
        <v>0</v>
      </c>
      <c r="P91" s="173">
        <v>0</v>
      </c>
      <c r="Q91" s="173">
        <v>0</v>
      </c>
      <c r="R91" s="173">
        <v>0</v>
      </c>
      <c r="S91" s="173">
        <v>0</v>
      </c>
      <c r="T91" s="173">
        <v>0</v>
      </c>
      <c r="U91" s="173">
        <v>0</v>
      </c>
      <c r="V91" s="173">
        <v>0</v>
      </c>
      <c r="W91" s="173">
        <v>0</v>
      </c>
      <c r="X91" s="173">
        <v>0</v>
      </c>
      <c r="Y91" s="173">
        <v>0</v>
      </c>
      <c r="Z91" s="173">
        <v>0</v>
      </c>
      <c r="AA91" s="173">
        <v>0</v>
      </c>
      <c r="AB91" s="173">
        <v>0</v>
      </c>
      <c r="AC91" s="173">
        <v>0</v>
      </c>
      <c r="AD91" s="173">
        <v>0</v>
      </c>
      <c r="AE91" s="173">
        <v>0</v>
      </c>
      <c r="AF91" s="173">
        <v>0</v>
      </c>
      <c r="AG91" s="173">
        <v>0</v>
      </c>
      <c r="AH91" s="173">
        <v>0</v>
      </c>
      <c r="AI91" s="173">
        <v>0</v>
      </c>
      <c r="AJ91" s="173">
        <v>3.5216500000000005E-2</v>
      </c>
      <c r="AK91" s="173">
        <v>0</v>
      </c>
      <c r="AL91" s="173">
        <v>0</v>
      </c>
      <c r="AM91" s="173">
        <v>0</v>
      </c>
      <c r="AN91" s="173">
        <v>0</v>
      </c>
      <c r="AO91" s="173">
        <v>0</v>
      </c>
      <c r="AP91" s="173">
        <v>0</v>
      </c>
      <c r="AQ91" s="173">
        <v>0</v>
      </c>
      <c r="AR91" s="173">
        <v>0</v>
      </c>
      <c r="AS91" s="173">
        <v>0</v>
      </c>
      <c r="AT91" s="173">
        <v>0</v>
      </c>
      <c r="AU91" s="173">
        <v>0</v>
      </c>
      <c r="AV91" s="173">
        <v>0</v>
      </c>
      <c r="AW91" s="173">
        <v>0</v>
      </c>
      <c r="AX91" s="173">
        <v>0.44400000000000001</v>
      </c>
      <c r="AY91" s="173">
        <v>0</v>
      </c>
      <c r="AZ91" s="173">
        <v>0</v>
      </c>
      <c r="BA91" s="173">
        <v>0</v>
      </c>
      <c r="BB91" s="173">
        <v>0</v>
      </c>
      <c r="BC91" s="173">
        <v>0</v>
      </c>
      <c r="BD91" s="173">
        <v>0</v>
      </c>
      <c r="BE91" s="173">
        <v>0</v>
      </c>
    </row>
    <row r="92" spans="2:57" x14ac:dyDescent="0.55000000000000004">
      <c r="B92" s="177"/>
      <c r="C92" s="185" t="s">
        <v>343</v>
      </c>
      <c r="D92" s="173">
        <v>25975.252458991836</v>
      </c>
      <c r="E92" s="173">
        <v>10048.914153766862</v>
      </c>
      <c r="F92" s="173">
        <v>3395.549702559998</v>
      </c>
      <c r="G92" s="173">
        <v>32002.525242883275</v>
      </c>
      <c r="H92" s="173">
        <v>3378.6743639799988</v>
      </c>
      <c r="I92" s="173">
        <v>5821.0028453300001</v>
      </c>
      <c r="J92" s="173">
        <v>2928.302000521529</v>
      </c>
      <c r="K92" s="173">
        <v>7993.8807778164064</v>
      </c>
      <c r="L92" s="173">
        <v>12066.73363187</v>
      </c>
      <c r="M92" s="173">
        <v>2048.6518722239534</v>
      </c>
      <c r="N92" s="173">
        <v>10717.063364390047</v>
      </c>
      <c r="O92" s="173">
        <v>8984.2607598683317</v>
      </c>
      <c r="P92" s="173">
        <v>16035.132154256116</v>
      </c>
      <c r="Q92" s="173">
        <v>21138.749898301292</v>
      </c>
      <c r="R92" s="173">
        <v>22424.088265300175</v>
      </c>
      <c r="S92" s="173">
        <v>9466.0240468600005</v>
      </c>
      <c r="T92" s="173">
        <v>5131.2554331808351</v>
      </c>
      <c r="U92" s="173">
        <v>20082.082754167815</v>
      </c>
      <c r="V92" s="173">
        <v>5894.3415627642535</v>
      </c>
      <c r="W92" s="173">
        <v>3577.8265291970006</v>
      </c>
      <c r="X92" s="173">
        <v>631.82261471392746</v>
      </c>
      <c r="Y92" s="173">
        <v>26.934000000000001</v>
      </c>
      <c r="Z92" s="173">
        <v>1674.4715764500002</v>
      </c>
      <c r="AA92" s="173">
        <v>431.90591506000004</v>
      </c>
      <c r="AB92" s="173">
        <v>64.423033996389123</v>
      </c>
      <c r="AC92" s="173">
        <v>39.442769172829344</v>
      </c>
      <c r="AD92" s="173">
        <v>3700.3944405510938</v>
      </c>
      <c r="AE92" s="173">
        <v>838.64629320781319</v>
      </c>
      <c r="AF92" s="173">
        <v>611.19937830321862</v>
      </c>
      <c r="AG92" s="173">
        <v>96.545421890000796</v>
      </c>
      <c r="AH92" s="173">
        <v>1177.5399134354998</v>
      </c>
      <c r="AI92" s="173">
        <v>549.27155709055319</v>
      </c>
      <c r="AJ92" s="173">
        <v>1132.2600513450036</v>
      </c>
      <c r="AK92" s="173">
        <v>163.68325133999997</v>
      </c>
      <c r="AL92" s="173">
        <v>17.90958303</v>
      </c>
      <c r="AM92" s="173">
        <v>129.92567048000001</v>
      </c>
      <c r="AN92" s="173">
        <v>186.60119294</v>
      </c>
      <c r="AO92" s="173">
        <v>94.706731844700002</v>
      </c>
      <c r="AP92" s="173">
        <v>496.19860475000013</v>
      </c>
      <c r="AQ92" s="173">
        <v>291.48262720900004</v>
      </c>
      <c r="AR92" s="173">
        <v>953.1518265799732</v>
      </c>
      <c r="AS92" s="173">
        <v>40.410837945500006</v>
      </c>
      <c r="AT92" s="173">
        <v>102.251</v>
      </c>
      <c r="AU92" s="173">
        <v>75.794239929999989</v>
      </c>
      <c r="AV92" s="173">
        <v>239.13529329000002</v>
      </c>
      <c r="AW92" s="173">
        <v>514.98668999999995</v>
      </c>
      <c r="AX92" s="173">
        <v>173.23772600000001</v>
      </c>
      <c r="AY92" s="173">
        <v>25.629593272779996</v>
      </c>
      <c r="AZ92" s="173">
        <v>11.60802786999999</v>
      </c>
      <c r="BA92" s="173">
        <v>48.3939241</v>
      </c>
      <c r="BB92" s="173">
        <v>202.2305334067575</v>
      </c>
      <c r="BC92" s="173">
        <v>256.30101666722948</v>
      </c>
      <c r="BD92" s="173">
        <v>455.28298111999993</v>
      </c>
      <c r="BE92" s="173">
        <v>100.34570735999999</v>
      </c>
    </row>
    <row r="93" spans="2:57" x14ac:dyDescent="0.55000000000000004">
      <c r="B93" s="178">
        <v>8</v>
      </c>
      <c r="C93" s="138" t="s">
        <v>172</v>
      </c>
      <c r="D93" s="173">
        <v>0</v>
      </c>
      <c r="E93" s="173">
        <v>0</v>
      </c>
      <c r="F93" s="173">
        <v>0</v>
      </c>
      <c r="G93" s="173">
        <v>0</v>
      </c>
      <c r="H93" s="173">
        <v>0</v>
      </c>
      <c r="I93" s="173">
        <v>0</v>
      </c>
      <c r="J93" s="173">
        <v>0</v>
      </c>
      <c r="K93" s="173">
        <v>0</v>
      </c>
      <c r="L93" s="173">
        <v>45.386506689999997</v>
      </c>
      <c r="M93" s="173">
        <v>0</v>
      </c>
      <c r="N93" s="173">
        <v>0</v>
      </c>
      <c r="O93" s="173">
        <v>0</v>
      </c>
      <c r="P93" s="173">
        <v>0</v>
      </c>
      <c r="Q93" s="173">
        <v>0</v>
      </c>
      <c r="R93" s="173">
        <v>0</v>
      </c>
      <c r="S93" s="173">
        <v>0</v>
      </c>
      <c r="T93" s="173">
        <v>0</v>
      </c>
      <c r="U93" s="173">
        <v>0</v>
      </c>
      <c r="V93" s="173">
        <v>0</v>
      </c>
      <c r="W93" s="173">
        <v>0</v>
      </c>
      <c r="X93" s="173">
        <v>0</v>
      </c>
      <c r="Y93" s="173">
        <v>0</v>
      </c>
      <c r="Z93" s="173">
        <v>0</v>
      </c>
      <c r="AA93" s="173">
        <v>0</v>
      </c>
      <c r="AB93" s="173">
        <v>0</v>
      </c>
      <c r="AC93" s="173">
        <v>0</v>
      </c>
      <c r="AD93" s="173">
        <v>0</v>
      </c>
      <c r="AE93" s="173">
        <v>0</v>
      </c>
      <c r="AF93" s="173">
        <v>0</v>
      </c>
      <c r="AG93" s="173">
        <v>0</v>
      </c>
      <c r="AH93" s="173">
        <v>0</v>
      </c>
      <c r="AI93" s="173">
        <v>0</v>
      </c>
      <c r="AJ93" s="173">
        <v>0</v>
      </c>
      <c r="AK93" s="173">
        <v>0</v>
      </c>
      <c r="AL93" s="173">
        <v>0</v>
      </c>
      <c r="AM93" s="173">
        <v>0</v>
      </c>
      <c r="AN93" s="173">
        <v>0</v>
      </c>
      <c r="AO93" s="173">
        <v>0</v>
      </c>
      <c r="AP93" s="173">
        <v>0</v>
      </c>
      <c r="AQ93" s="173">
        <v>0</v>
      </c>
      <c r="AR93" s="173">
        <v>0</v>
      </c>
      <c r="AS93" s="173">
        <v>0</v>
      </c>
      <c r="AT93" s="173">
        <v>0</v>
      </c>
      <c r="AU93" s="173">
        <v>0</v>
      </c>
      <c r="AV93" s="173">
        <v>0</v>
      </c>
      <c r="AW93" s="173">
        <v>0</v>
      </c>
      <c r="AX93" s="173">
        <v>0</v>
      </c>
      <c r="AY93" s="173">
        <v>0</v>
      </c>
      <c r="AZ93" s="173">
        <v>0</v>
      </c>
      <c r="BA93" s="173">
        <v>0</v>
      </c>
      <c r="BB93" s="173">
        <v>0.27100000000000002</v>
      </c>
      <c r="BC93" s="173">
        <v>0</v>
      </c>
      <c r="BD93" s="173">
        <v>0</v>
      </c>
      <c r="BE93" s="173">
        <v>0</v>
      </c>
    </row>
    <row r="94" spans="2:57" x14ac:dyDescent="0.55000000000000004">
      <c r="B94" s="178">
        <v>9</v>
      </c>
      <c r="C94" s="190" t="s">
        <v>173</v>
      </c>
      <c r="D94" s="173">
        <v>264.22785025000002</v>
      </c>
      <c r="E94" s="173">
        <v>256.71177557999999</v>
      </c>
      <c r="F94" s="173">
        <v>3457.9983136999999</v>
      </c>
      <c r="G94" s="173">
        <v>3821.9965288899998</v>
      </c>
      <c r="H94" s="173">
        <v>0</v>
      </c>
      <c r="I94" s="173">
        <v>5823.9305874600004</v>
      </c>
      <c r="J94" s="173">
        <v>947.62378380999996</v>
      </c>
      <c r="K94" s="173">
        <v>564.29508645999999</v>
      </c>
      <c r="L94" s="173">
        <v>4590.9197474900002</v>
      </c>
      <c r="M94" s="173">
        <v>600.71420122000018</v>
      </c>
      <c r="N94" s="173">
        <v>2528.1589578600001</v>
      </c>
      <c r="O94" s="173">
        <v>2225.3720378699995</v>
      </c>
      <c r="P94" s="173">
        <v>772.03523186000007</v>
      </c>
      <c r="Q94" s="173">
        <v>1316.3831391400001</v>
      </c>
      <c r="R94" s="173">
        <v>6052.6662314899995</v>
      </c>
      <c r="S94" s="173">
        <v>1264.06566539</v>
      </c>
      <c r="T94" s="173">
        <v>3913.4628865499999</v>
      </c>
      <c r="U94" s="173">
        <v>1790.3397302799997</v>
      </c>
      <c r="V94" s="173">
        <v>1615.4433459200002</v>
      </c>
      <c r="W94" s="173">
        <v>1000.98392589</v>
      </c>
      <c r="X94" s="173">
        <v>547.66000076000012</v>
      </c>
      <c r="Y94" s="173">
        <v>36.131999999999998</v>
      </c>
      <c r="Z94" s="173">
        <v>61.125088000000005</v>
      </c>
      <c r="AA94" s="173">
        <v>528.09983762000002</v>
      </c>
      <c r="AB94" s="173">
        <v>263.52560877000002</v>
      </c>
      <c r="AC94" s="173">
        <v>8.3504437799999991</v>
      </c>
      <c r="AD94" s="173">
        <v>432.26492104000005</v>
      </c>
      <c r="AE94" s="173">
        <v>675.49624318000008</v>
      </c>
      <c r="AF94" s="173">
        <v>354.18002942999999</v>
      </c>
      <c r="AG94" s="173">
        <v>110.99033274</v>
      </c>
      <c r="AH94" s="173">
        <v>1032.46251667</v>
      </c>
      <c r="AI94" s="173">
        <v>151.99499477000001</v>
      </c>
      <c r="AJ94" s="173">
        <v>223.57036204000002</v>
      </c>
      <c r="AK94" s="173">
        <v>62.819968039999999</v>
      </c>
      <c r="AL94" s="173">
        <v>4.5944214800000012</v>
      </c>
      <c r="AM94" s="173">
        <v>187.37229037999998</v>
      </c>
      <c r="AN94" s="173">
        <v>5.1352174800000006</v>
      </c>
      <c r="AO94" s="173">
        <v>179.06528249000002</v>
      </c>
      <c r="AP94" s="173">
        <v>0</v>
      </c>
      <c r="AQ94" s="173">
        <v>472.12177871</v>
      </c>
      <c r="AR94" s="173">
        <v>517.43426357999999</v>
      </c>
      <c r="AS94" s="173">
        <v>15.303850000000001</v>
      </c>
      <c r="AT94" s="173">
        <v>229.36500000000001</v>
      </c>
      <c r="AU94" s="173">
        <v>257.52554197999996</v>
      </c>
      <c r="AV94" s="173">
        <v>131.24671499999999</v>
      </c>
      <c r="AW94" s="173">
        <v>494.61730999999997</v>
      </c>
      <c r="AX94" s="173">
        <v>83.232618000000002</v>
      </c>
      <c r="AY94" s="173">
        <v>16.388312999999997</v>
      </c>
      <c r="AZ94" s="173">
        <v>176.39272880000001</v>
      </c>
      <c r="BA94" s="173">
        <v>20.335799299999998</v>
      </c>
      <c r="BB94" s="173">
        <v>142.16762507999997</v>
      </c>
      <c r="BC94" s="173">
        <v>17.995287300000001</v>
      </c>
      <c r="BD94" s="173">
        <v>106.27109638999998</v>
      </c>
      <c r="BE94" s="173">
        <v>210.87425228000001</v>
      </c>
    </row>
    <row r="95" spans="2:57" x14ac:dyDescent="0.55000000000000004">
      <c r="B95" s="178">
        <v>10</v>
      </c>
      <c r="C95" s="190" t="s">
        <v>174</v>
      </c>
      <c r="D95" s="173">
        <v>0</v>
      </c>
      <c r="E95" s="173">
        <v>0</v>
      </c>
      <c r="F95" s="173">
        <v>0</v>
      </c>
      <c r="G95" s="173">
        <v>0</v>
      </c>
      <c r="H95" s="173">
        <v>0</v>
      </c>
      <c r="I95" s="173">
        <v>55.775149999999996</v>
      </c>
      <c r="J95" s="173">
        <v>0</v>
      </c>
      <c r="K95" s="173">
        <v>0</v>
      </c>
      <c r="L95" s="173">
        <v>0</v>
      </c>
      <c r="M95" s="173">
        <v>0</v>
      </c>
      <c r="N95" s="173">
        <v>0</v>
      </c>
      <c r="O95" s="173">
        <v>0</v>
      </c>
      <c r="P95" s="173">
        <v>0</v>
      </c>
      <c r="Q95" s="173">
        <v>0</v>
      </c>
      <c r="R95" s="173">
        <v>0</v>
      </c>
      <c r="S95" s="173">
        <v>0</v>
      </c>
      <c r="T95" s="173">
        <v>0</v>
      </c>
      <c r="U95" s="173">
        <v>0</v>
      </c>
      <c r="V95" s="173">
        <v>0</v>
      </c>
      <c r="W95" s="173">
        <v>0</v>
      </c>
      <c r="X95" s="173">
        <v>0</v>
      </c>
      <c r="Y95" s="173">
        <v>0</v>
      </c>
      <c r="Z95" s="173">
        <v>10.050541409999996</v>
      </c>
      <c r="AA95" s="173">
        <v>0</v>
      </c>
      <c r="AB95" s="173">
        <v>0</v>
      </c>
      <c r="AC95" s="173">
        <v>0</v>
      </c>
      <c r="AD95" s="173">
        <v>0</v>
      </c>
      <c r="AE95" s="173">
        <v>0</v>
      </c>
      <c r="AF95" s="173">
        <v>0</v>
      </c>
      <c r="AG95" s="173">
        <v>0</v>
      </c>
      <c r="AH95" s="173">
        <v>2.0000046044588091E-2</v>
      </c>
      <c r="AI95" s="173">
        <v>0</v>
      </c>
      <c r="AJ95" s="173">
        <v>0</v>
      </c>
      <c r="AK95" s="173">
        <v>0</v>
      </c>
      <c r="AL95" s="173">
        <v>0</v>
      </c>
      <c r="AM95" s="173">
        <v>0</v>
      </c>
      <c r="AN95" s="173">
        <v>0</v>
      </c>
      <c r="AO95" s="173">
        <v>0</v>
      </c>
      <c r="AP95" s="173">
        <v>0</v>
      </c>
      <c r="AQ95" s="173">
        <v>0</v>
      </c>
      <c r="AR95" s="173">
        <v>0</v>
      </c>
      <c r="AS95" s="173">
        <v>0</v>
      </c>
      <c r="AT95" s="173">
        <v>0</v>
      </c>
      <c r="AU95" s="173">
        <v>0</v>
      </c>
      <c r="AV95" s="173">
        <v>0</v>
      </c>
      <c r="AW95" s="173">
        <v>0</v>
      </c>
      <c r="AX95" s="173">
        <v>0</v>
      </c>
      <c r="AY95" s="173">
        <v>0</v>
      </c>
      <c r="AZ95" s="173">
        <v>0</v>
      </c>
      <c r="BA95" s="173">
        <v>0</v>
      </c>
      <c r="BB95" s="173">
        <v>0</v>
      </c>
      <c r="BC95" s="173">
        <v>0</v>
      </c>
      <c r="BD95" s="173">
        <v>0</v>
      </c>
      <c r="BE95" s="173">
        <v>0</v>
      </c>
    </row>
    <row r="96" spans="2:57" x14ac:dyDescent="0.55000000000000004">
      <c r="B96" s="179">
        <v>11</v>
      </c>
      <c r="C96" s="180" t="s">
        <v>144</v>
      </c>
      <c r="D96" s="173">
        <v>0</v>
      </c>
      <c r="E96" s="173">
        <v>0</v>
      </c>
      <c r="F96" s="173">
        <v>0</v>
      </c>
      <c r="G96" s="173">
        <v>0</v>
      </c>
      <c r="H96" s="173">
        <v>0</v>
      </c>
      <c r="I96" s="173">
        <v>0</v>
      </c>
      <c r="J96" s="173">
        <v>0</v>
      </c>
      <c r="K96" s="173">
        <v>0</v>
      </c>
      <c r="L96" s="173">
        <v>0</v>
      </c>
      <c r="M96" s="173">
        <v>0</v>
      </c>
      <c r="N96" s="173">
        <v>0</v>
      </c>
      <c r="O96" s="173">
        <v>0</v>
      </c>
      <c r="P96" s="173">
        <v>0</v>
      </c>
      <c r="Q96" s="173">
        <v>0</v>
      </c>
      <c r="R96" s="173">
        <v>0</v>
      </c>
      <c r="S96" s="173">
        <v>0</v>
      </c>
      <c r="T96" s="173">
        <v>0</v>
      </c>
      <c r="U96" s="173">
        <v>0</v>
      </c>
      <c r="V96" s="173">
        <v>0</v>
      </c>
      <c r="W96" s="173">
        <v>0</v>
      </c>
      <c r="X96" s="173">
        <v>0</v>
      </c>
      <c r="Y96" s="173">
        <v>2.843</v>
      </c>
      <c r="Z96" s="173">
        <v>858.04234439999993</v>
      </c>
      <c r="AA96" s="173">
        <v>0</v>
      </c>
      <c r="AB96" s="173">
        <v>104.20535271149558</v>
      </c>
      <c r="AC96" s="173">
        <v>0</v>
      </c>
      <c r="AD96" s="173">
        <v>0</v>
      </c>
      <c r="AE96" s="173">
        <v>0</v>
      </c>
      <c r="AF96" s="173">
        <v>3.1798623961069001</v>
      </c>
      <c r="AG96" s="173">
        <v>1.8008292100000065</v>
      </c>
      <c r="AH96" s="173">
        <v>0</v>
      </c>
      <c r="AI96" s="173">
        <v>0</v>
      </c>
      <c r="AJ96" s="173">
        <v>0</v>
      </c>
      <c r="AK96" s="173">
        <v>0</v>
      </c>
      <c r="AL96" s="173">
        <v>0</v>
      </c>
      <c r="AM96" s="173">
        <v>0</v>
      </c>
      <c r="AN96" s="173">
        <v>0</v>
      </c>
      <c r="AO96" s="173">
        <v>3.2586667641780003</v>
      </c>
      <c r="AP96" s="173">
        <v>0.65758224999904602</v>
      </c>
      <c r="AQ96" s="173">
        <v>15.313038473700436</v>
      </c>
      <c r="AR96" s="173">
        <v>0</v>
      </c>
      <c r="AS96" s="173">
        <v>0</v>
      </c>
      <c r="AT96" s="173">
        <v>0</v>
      </c>
      <c r="AU96" s="173">
        <v>0</v>
      </c>
      <c r="AV96" s="173">
        <v>0</v>
      </c>
      <c r="AW96" s="173">
        <v>0</v>
      </c>
      <c r="AX96" s="173">
        <v>0</v>
      </c>
      <c r="AY96" s="173">
        <v>0</v>
      </c>
      <c r="AZ96" s="173">
        <v>45.959629999999997</v>
      </c>
      <c r="BA96" s="173">
        <v>0.55835239999999997</v>
      </c>
      <c r="BB96" s="173">
        <v>0</v>
      </c>
      <c r="BC96" s="173">
        <v>0</v>
      </c>
      <c r="BD96" s="173">
        <v>0</v>
      </c>
      <c r="BE96" s="173">
        <v>0</v>
      </c>
    </row>
    <row r="97" spans="2:57" x14ac:dyDescent="0.55000000000000004">
      <c r="B97" s="181" t="s">
        <v>344</v>
      </c>
      <c r="C97" s="181"/>
      <c r="D97" s="182">
        <v>409647.17713714775</v>
      </c>
      <c r="E97" s="182">
        <v>595705.40482103359</v>
      </c>
      <c r="F97" s="182">
        <v>673066.59018513293</v>
      </c>
      <c r="G97" s="182">
        <v>621359.23220905929</v>
      </c>
      <c r="H97" s="182">
        <v>163433.12864226586</v>
      </c>
      <c r="I97" s="182">
        <v>399906.79010048608</v>
      </c>
      <c r="J97" s="182">
        <v>250056.33383333916</v>
      </c>
      <c r="K97" s="182">
        <v>358934.26501333603</v>
      </c>
      <c r="L97" s="182">
        <v>405798.99372954399</v>
      </c>
      <c r="M97" s="182">
        <v>219670.57982720903</v>
      </c>
      <c r="N97" s="182">
        <v>474149.62365477008</v>
      </c>
      <c r="O97" s="182">
        <v>451523.51239922375</v>
      </c>
      <c r="P97" s="182">
        <v>348601.33554146125</v>
      </c>
      <c r="Q97" s="182">
        <v>400933.96474143054</v>
      </c>
      <c r="R97" s="182">
        <v>729901.35147981334</v>
      </c>
      <c r="S97" s="182">
        <v>262819.23250278999</v>
      </c>
      <c r="T97" s="182">
        <v>333523.35536048817</v>
      </c>
      <c r="U97" s="182">
        <v>361107.6213175389</v>
      </c>
      <c r="V97" s="182">
        <v>418913.43740693486</v>
      </c>
      <c r="W97" s="182">
        <v>271351.6962437437</v>
      </c>
      <c r="X97" s="182">
        <v>67342.254539044166</v>
      </c>
      <c r="Y97" s="182">
        <v>666.29200000000003</v>
      </c>
      <c r="Z97" s="182">
        <v>6326.7557558849994</v>
      </c>
      <c r="AA97" s="182">
        <v>64399.732608785554</v>
      </c>
      <c r="AB97" s="182">
        <v>19696.813071430002</v>
      </c>
      <c r="AC97" s="182">
        <v>8721.0401227312705</v>
      </c>
      <c r="AD97" s="182">
        <v>138724.12825386281</v>
      </c>
      <c r="AE97" s="182">
        <v>107290.49326772826</v>
      </c>
      <c r="AF97" s="182">
        <v>74230.572068811132</v>
      </c>
      <c r="AG97" s="182">
        <v>3020.8751209100019</v>
      </c>
      <c r="AH97" s="182">
        <v>74973.74812041322</v>
      </c>
      <c r="AI97" s="182">
        <v>83827.210617401695</v>
      </c>
      <c r="AJ97" s="182">
        <v>72464.697296141007</v>
      </c>
      <c r="AK97" s="182">
        <v>6645.1128466400005</v>
      </c>
      <c r="AL97" s="182">
        <v>1820.34338688</v>
      </c>
      <c r="AM97" s="182">
        <v>8972.4695315563677</v>
      </c>
      <c r="AN97" s="182">
        <v>7465.9824589020018</v>
      </c>
      <c r="AO97" s="182">
        <v>5836.9466755622152</v>
      </c>
      <c r="AP97" s="182">
        <v>8733.9502369999991</v>
      </c>
      <c r="AQ97" s="182">
        <v>12257.467563494618</v>
      </c>
      <c r="AR97" s="182">
        <v>16245.05167875997</v>
      </c>
      <c r="AS97" s="182">
        <v>9786.5061710354985</v>
      </c>
      <c r="AT97" s="182">
        <v>7492.3190000000004</v>
      </c>
      <c r="AU97" s="182">
        <v>8467.7155537100007</v>
      </c>
      <c r="AV97" s="182">
        <v>4793.3688414499993</v>
      </c>
      <c r="AW97" s="182">
        <v>9764.1700700000001</v>
      </c>
      <c r="AX97" s="182">
        <v>9540.0793198250012</v>
      </c>
      <c r="AY97" s="182">
        <v>4045.8281383327799</v>
      </c>
      <c r="AZ97" s="182">
        <v>3601.42392174</v>
      </c>
      <c r="BA97" s="182">
        <v>4100.5951856000001</v>
      </c>
      <c r="BB97" s="182">
        <v>10434.532171508765</v>
      </c>
      <c r="BC97" s="182">
        <v>24061.184587605585</v>
      </c>
      <c r="BD97" s="182">
        <v>27852.524156245698</v>
      </c>
      <c r="BE97" s="182">
        <v>10635.250361184186</v>
      </c>
    </row>
  </sheetData>
  <mergeCells count="2">
    <mergeCell ref="B43:C43"/>
    <mergeCell ref="B97:C9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EF1C-2A6E-4848-9F1F-83E6C989E1BB}">
  <sheetPr codeName="Sheet82"/>
  <dimension ref="B2:BD64"/>
  <sheetViews>
    <sheetView workbookViewId="0">
      <pane xSplit="2" ySplit="4" topLeftCell="C50"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6.29296875" style="195" bestFit="1" customWidth="1"/>
    <col min="3" max="22" width="10.5859375" style="34" bestFit="1" customWidth="1"/>
    <col min="23" max="23" width="9.5859375" style="34" bestFit="1" customWidth="1"/>
    <col min="24" max="25" width="8" style="34" bestFit="1" customWidth="1"/>
    <col min="26" max="27" width="9.5859375" style="34" bestFit="1" customWidth="1"/>
    <col min="28" max="28" width="8" style="34" bestFit="1" customWidth="1"/>
    <col min="29" max="30" width="10.5859375" style="34" bestFit="1" customWidth="1"/>
    <col min="31" max="31" width="9.5859375" style="34" bestFit="1" customWidth="1"/>
    <col min="32" max="32" width="8" style="34" bestFit="1" customWidth="1"/>
    <col min="33" max="35" width="9.5859375" style="34" bestFit="1" customWidth="1"/>
    <col min="36" max="37" width="8" style="34" bestFit="1" customWidth="1"/>
    <col min="38" max="38" width="9.5859375" style="34" bestFit="1" customWidth="1"/>
    <col min="39" max="40" width="8" style="34" bestFit="1" customWidth="1"/>
    <col min="41" max="41" width="6.87890625" style="34" bestFit="1" customWidth="1"/>
    <col min="42" max="44" width="9.5859375" style="34" bestFit="1" customWidth="1"/>
    <col min="45" max="47" width="8" style="34" bestFit="1" customWidth="1"/>
    <col min="48" max="48" width="9.5859375" style="34" bestFit="1" customWidth="1"/>
    <col min="49" max="52" width="8" style="34" bestFit="1" customWidth="1"/>
    <col min="53" max="56" width="9.5859375" style="34" bestFit="1" customWidth="1"/>
    <col min="57" max="16384" width="9.1171875" style="34"/>
  </cols>
  <sheetData>
    <row r="2" spans="2:56" x14ac:dyDescent="0.55000000000000004">
      <c r="B2" s="113" t="s">
        <v>118</v>
      </c>
    </row>
    <row r="3" spans="2:56" s="167" customFormat="1" ht="61.35" x14ac:dyDescent="0.55000000000000004">
      <c r="B3" s="191" t="s">
        <v>298</v>
      </c>
      <c r="C3" s="166" t="s">
        <v>983</v>
      </c>
      <c r="D3" s="166" t="s">
        <v>984</v>
      </c>
      <c r="E3" s="166" t="s">
        <v>985</v>
      </c>
      <c r="F3" s="166" t="s">
        <v>986</v>
      </c>
      <c r="G3" s="166" t="s">
        <v>987</v>
      </c>
      <c r="H3" s="166" t="s">
        <v>988</v>
      </c>
      <c r="I3" s="166" t="s">
        <v>989</v>
      </c>
      <c r="J3" s="166" t="s">
        <v>990</v>
      </c>
      <c r="K3" s="166" t="s">
        <v>991</v>
      </c>
      <c r="L3" s="166" t="s">
        <v>992</v>
      </c>
      <c r="M3" s="166" t="s">
        <v>993</v>
      </c>
      <c r="N3" s="166" t="s">
        <v>994</v>
      </c>
      <c r="O3" s="166" t="s">
        <v>995</v>
      </c>
      <c r="P3" s="166" t="s">
        <v>996</v>
      </c>
      <c r="Q3" s="166" t="s">
        <v>997</v>
      </c>
      <c r="R3" s="166" t="s">
        <v>998</v>
      </c>
      <c r="S3" s="166" t="s">
        <v>999</v>
      </c>
      <c r="T3" s="166" t="s">
        <v>1000</v>
      </c>
      <c r="U3" s="166" t="s">
        <v>1001</v>
      </c>
      <c r="V3" s="166" t="s">
        <v>1002</v>
      </c>
      <c r="W3" s="166" t="s">
        <v>1003</v>
      </c>
      <c r="X3" s="166" t="s">
        <v>1004</v>
      </c>
      <c r="Y3" s="166" t="s">
        <v>1005</v>
      </c>
      <c r="Z3" s="166" t="s">
        <v>1006</v>
      </c>
      <c r="AA3" s="166" t="s">
        <v>1007</v>
      </c>
      <c r="AB3" s="166" t="s">
        <v>1008</v>
      </c>
      <c r="AC3" s="166" t="s">
        <v>1009</v>
      </c>
      <c r="AD3" s="166" t="s">
        <v>1010</v>
      </c>
      <c r="AE3" s="166" t="s">
        <v>1011</v>
      </c>
      <c r="AF3" s="166" t="s">
        <v>1012</v>
      </c>
      <c r="AG3" s="166" t="s">
        <v>1013</v>
      </c>
      <c r="AH3" s="166" t="s">
        <v>1014</v>
      </c>
      <c r="AI3" s="166" t="s">
        <v>1015</v>
      </c>
      <c r="AJ3" s="166" t="s">
        <v>1016</v>
      </c>
      <c r="AK3" s="166" t="s">
        <v>1017</v>
      </c>
      <c r="AL3" s="166" t="s">
        <v>1018</v>
      </c>
      <c r="AM3" s="166" t="s">
        <v>1019</v>
      </c>
      <c r="AN3" s="166" t="s">
        <v>1020</v>
      </c>
      <c r="AO3" s="166" t="s">
        <v>1021</v>
      </c>
      <c r="AP3" s="166" t="s">
        <v>1022</v>
      </c>
      <c r="AQ3" s="166" t="s">
        <v>1023</v>
      </c>
      <c r="AR3" s="166" t="s">
        <v>1024</v>
      </c>
      <c r="AS3" s="166" t="s">
        <v>1025</v>
      </c>
      <c r="AT3" s="166" t="s">
        <v>1026</v>
      </c>
      <c r="AU3" s="166" t="s">
        <v>1027</v>
      </c>
      <c r="AV3" s="166" t="s">
        <v>1028</v>
      </c>
      <c r="AW3" s="166" t="s">
        <v>1029</v>
      </c>
      <c r="AX3" s="166" t="s">
        <v>1030</v>
      </c>
      <c r="AY3" s="166" t="s">
        <v>1031</v>
      </c>
      <c r="AZ3" s="166" t="s">
        <v>1032</v>
      </c>
      <c r="BA3" s="166" t="s">
        <v>1033</v>
      </c>
      <c r="BB3" s="166" t="s">
        <v>1034</v>
      </c>
      <c r="BC3" s="166" t="s">
        <v>1035</v>
      </c>
      <c r="BD3" s="166" t="s">
        <v>1036</v>
      </c>
    </row>
    <row r="4" spans="2:56" x14ac:dyDescent="0.55000000000000004">
      <c r="B4" s="169" t="s">
        <v>345</v>
      </c>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row>
    <row r="5" spans="2:56" x14ac:dyDescent="0.55000000000000004">
      <c r="B5" s="141" t="s">
        <v>346</v>
      </c>
      <c r="C5" s="139">
        <v>1001.2578329462306</v>
      </c>
      <c r="D5" s="139">
        <v>1375.8730146000003</v>
      </c>
      <c r="E5" s="139">
        <v>1952.4956794000007</v>
      </c>
      <c r="F5" s="139">
        <v>1730.2750529199998</v>
      </c>
      <c r="G5" s="139">
        <v>299.69572367999996</v>
      </c>
      <c r="H5" s="139">
        <v>1268.6752220000001</v>
      </c>
      <c r="I5" s="139">
        <v>794.76894096000012</v>
      </c>
      <c r="J5" s="139">
        <v>962.36946110994336</v>
      </c>
      <c r="K5" s="139">
        <v>1339.4327168799996</v>
      </c>
      <c r="L5" s="139">
        <v>668.3361465000005</v>
      </c>
      <c r="M5" s="139">
        <v>1509.6848557699973</v>
      </c>
      <c r="N5" s="139">
        <v>1353.3318057599995</v>
      </c>
      <c r="O5" s="139">
        <v>1069.9158448999999</v>
      </c>
      <c r="P5" s="139">
        <v>1020.7371944</v>
      </c>
      <c r="Q5" s="139">
        <v>2054.5750204200003</v>
      </c>
      <c r="R5" s="139">
        <v>822.62002388000008</v>
      </c>
      <c r="S5" s="139">
        <v>1184.58338574</v>
      </c>
      <c r="T5" s="139">
        <v>1046.48300107</v>
      </c>
      <c r="U5" s="139">
        <v>1211.4221432000004</v>
      </c>
      <c r="V5" s="139">
        <v>895.22255570999971</v>
      </c>
      <c r="W5" s="139">
        <v>216.45407640000008</v>
      </c>
      <c r="X5" s="139">
        <v>2.2250000000000001</v>
      </c>
      <c r="Y5" s="139">
        <v>7.7485875000000002</v>
      </c>
      <c r="Z5" s="139">
        <v>226.25681581999999</v>
      </c>
      <c r="AA5" s="139">
        <v>52.034232129999999</v>
      </c>
      <c r="AB5" s="139">
        <v>27.466286879999995</v>
      </c>
      <c r="AC5" s="139">
        <v>497.24953054000002</v>
      </c>
      <c r="AD5" s="139">
        <v>358.76451477000001</v>
      </c>
      <c r="AE5" s="139">
        <v>266.70189706999997</v>
      </c>
      <c r="AF5" s="139">
        <v>11.398156109999999</v>
      </c>
      <c r="AG5" s="139">
        <v>251.72953425999995</v>
      </c>
      <c r="AH5" s="139">
        <v>290.48016197068489</v>
      </c>
      <c r="AI5" s="139">
        <v>258.12907852666666</v>
      </c>
      <c r="AJ5" s="139">
        <v>25.094221610000002</v>
      </c>
      <c r="AK5" s="139">
        <v>6.7569999999999997</v>
      </c>
      <c r="AL5" s="139">
        <v>26.496138980000005</v>
      </c>
      <c r="AM5" s="139">
        <v>27.92299534</v>
      </c>
      <c r="AN5" s="139">
        <v>22.385953859999997</v>
      </c>
      <c r="AO5" s="139">
        <v>0.17613999999999999</v>
      </c>
      <c r="AP5" s="139">
        <v>41.218794750000001</v>
      </c>
      <c r="AQ5" s="139">
        <v>65.820315669999999</v>
      </c>
      <c r="AR5" s="139">
        <v>43.950479999999999</v>
      </c>
      <c r="AS5" s="139">
        <v>32.045000000000002</v>
      </c>
      <c r="AT5" s="139">
        <v>30.402517830000004</v>
      </c>
      <c r="AU5" s="139">
        <v>18.968326090000001</v>
      </c>
      <c r="AV5" s="139">
        <v>39.00329</v>
      </c>
      <c r="AW5" s="139">
        <v>36.995663610000001</v>
      </c>
      <c r="AX5" s="139">
        <v>15.743502619999997</v>
      </c>
      <c r="AY5" s="139">
        <v>14.949028530000001</v>
      </c>
      <c r="AZ5" s="139">
        <v>2.1851099999999998E-2</v>
      </c>
      <c r="BA5" s="139">
        <v>40.361764998730585</v>
      </c>
      <c r="BB5" s="139">
        <v>106.87881729999998</v>
      </c>
      <c r="BC5" s="139">
        <v>111.08478504500002</v>
      </c>
      <c r="BD5" s="139">
        <v>42.443042240000004</v>
      </c>
    </row>
    <row r="6" spans="2:56" x14ac:dyDescent="0.55000000000000004">
      <c r="B6" s="142" t="s">
        <v>347</v>
      </c>
      <c r="C6" s="139">
        <v>970.2813676400001</v>
      </c>
      <c r="D6" s="139">
        <v>1338.8922565800003</v>
      </c>
      <c r="E6" s="139">
        <v>1859.3865973400007</v>
      </c>
      <c r="F6" s="139">
        <v>1629.0084171599997</v>
      </c>
      <c r="G6" s="139">
        <v>276.27869325999995</v>
      </c>
      <c r="H6" s="139">
        <v>1198.867866</v>
      </c>
      <c r="I6" s="139">
        <v>725.11763825000014</v>
      </c>
      <c r="J6" s="139">
        <v>912.47818002117629</v>
      </c>
      <c r="K6" s="139">
        <v>1243.9037143699995</v>
      </c>
      <c r="L6" s="139">
        <v>609.9904007400005</v>
      </c>
      <c r="M6" s="139">
        <v>1360.7125091199973</v>
      </c>
      <c r="N6" s="139">
        <v>1288.8225221899995</v>
      </c>
      <c r="O6" s="139">
        <v>916.39312297999993</v>
      </c>
      <c r="P6" s="139">
        <v>934.03900792000002</v>
      </c>
      <c r="Q6" s="139">
        <v>1884.8201392200006</v>
      </c>
      <c r="R6" s="139">
        <v>769.82609761000003</v>
      </c>
      <c r="S6" s="139">
        <v>1087.0944232500001</v>
      </c>
      <c r="T6" s="139">
        <v>939.87618826000005</v>
      </c>
      <c r="U6" s="139">
        <v>1142.1731172700004</v>
      </c>
      <c r="V6" s="139">
        <v>805.55412009999975</v>
      </c>
      <c r="W6" s="139">
        <v>207.11161064000009</v>
      </c>
      <c r="X6" s="139">
        <v>2.2250000000000001</v>
      </c>
      <c r="Y6" s="139">
        <v>7.7485875000000002</v>
      </c>
      <c r="Z6" s="139">
        <v>220.63181581999999</v>
      </c>
      <c r="AA6" s="139">
        <v>52.034232129999999</v>
      </c>
      <c r="AB6" s="139">
        <v>27.466286879999995</v>
      </c>
      <c r="AC6" s="139">
        <v>470.14310823</v>
      </c>
      <c r="AD6" s="139">
        <v>351.33300815000001</v>
      </c>
      <c r="AE6" s="139">
        <v>259.05806152999997</v>
      </c>
      <c r="AF6" s="139">
        <v>11.398156109999999</v>
      </c>
      <c r="AG6" s="139">
        <v>240.26378083999995</v>
      </c>
      <c r="AH6" s="139">
        <v>283.62460681999994</v>
      </c>
      <c r="AI6" s="139">
        <v>248.96241186000003</v>
      </c>
      <c r="AJ6" s="139">
        <v>25.094221610000002</v>
      </c>
      <c r="AK6" s="139">
        <v>6.7569999999999997</v>
      </c>
      <c r="AL6" s="139">
        <v>26.496138980000005</v>
      </c>
      <c r="AM6" s="139">
        <v>27.92299534</v>
      </c>
      <c r="AN6" s="139">
        <v>22.385953859999997</v>
      </c>
      <c r="AO6" s="139">
        <v>0.17613999999999999</v>
      </c>
      <c r="AP6" s="139">
        <v>41.218794750000001</v>
      </c>
      <c r="AQ6" s="139">
        <v>65.820315669999999</v>
      </c>
      <c r="AR6" s="139">
        <v>43.950479999999999</v>
      </c>
      <c r="AS6" s="139">
        <v>32.045000000000002</v>
      </c>
      <c r="AT6" s="139">
        <v>30.402517830000004</v>
      </c>
      <c r="AU6" s="139">
        <v>18.968326090000001</v>
      </c>
      <c r="AV6" s="139">
        <v>38.446889999999996</v>
      </c>
      <c r="AW6" s="139">
        <v>36.995663610000001</v>
      </c>
      <c r="AX6" s="139">
        <v>15.743502619999997</v>
      </c>
      <c r="AY6" s="139">
        <v>14.949028530000001</v>
      </c>
      <c r="AZ6" s="139">
        <v>2.1851099999999998E-2</v>
      </c>
      <c r="BA6" s="139">
        <v>40.016710750000009</v>
      </c>
      <c r="BB6" s="139">
        <v>102.53836659999997</v>
      </c>
      <c r="BC6" s="139">
        <v>107.05053835500001</v>
      </c>
      <c r="BD6" s="139">
        <v>42.443042240000004</v>
      </c>
    </row>
    <row r="7" spans="2:56" x14ac:dyDescent="0.55000000000000004">
      <c r="B7" s="142" t="s">
        <v>348</v>
      </c>
      <c r="C7" s="139">
        <v>418.01517962000003</v>
      </c>
      <c r="D7" s="139">
        <v>575.34390221999968</v>
      </c>
      <c r="E7" s="139">
        <v>556.88300820000006</v>
      </c>
      <c r="F7" s="139">
        <v>337.93973443999994</v>
      </c>
      <c r="G7" s="139">
        <v>141.77473752999998</v>
      </c>
      <c r="H7" s="139">
        <v>316.46123799999998</v>
      </c>
      <c r="I7" s="139">
        <v>152.13239023</v>
      </c>
      <c r="J7" s="139">
        <v>219.46092802117647</v>
      </c>
      <c r="K7" s="139">
        <v>329.92890747000001</v>
      </c>
      <c r="L7" s="139">
        <v>243.31803500000012</v>
      </c>
      <c r="M7" s="139">
        <v>312.80799678999909</v>
      </c>
      <c r="N7" s="139">
        <v>444.41392765999979</v>
      </c>
      <c r="O7" s="139">
        <v>260.01590298000002</v>
      </c>
      <c r="P7" s="139">
        <v>267.78957883999999</v>
      </c>
      <c r="Q7" s="139">
        <v>510.2426597500002</v>
      </c>
      <c r="R7" s="139">
        <v>192.81167952000001</v>
      </c>
      <c r="S7" s="139">
        <v>159.60077665000003</v>
      </c>
      <c r="T7" s="139">
        <v>270.59102778999988</v>
      </c>
      <c r="U7" s="139">
        <v>310.13064824000008</v>
      </c>
      <c r="V7" s="139">
        <v>208.74102445999992</v>
      </c>
      <c r="W7" s="139">
        <v>69.405304550000039</v>
      </c>
      <c r="X7" s="139">
        <v>0.20300000000000001</v>
      </c>
      <c r="Y7" s="139">
        <v>3.1635368499999998</v>
      </c>
      <c r="Z7" s="139">
        <v>51.174983550000022</v>
      </c>
      <c r="AA7" s="139">
        <v>16.30942035</v>
      </c>
      <c r="AB7" s="139">
        <v>6.1679674499999981</v>
      </c>
      <c r="AC7" s="139">
        <v>121.39577421999999</v>
      </c>
      <c r="AD7" s="139">
        <v>125.41981005000001</v>
      </c>
      <c r="AE7" s="139">
        <v>62.842665790000012</v>
      </c>
      <c r="AF7" s="139">
        <v>1.5344116799999998</v>
      </c>
      <c r="AG7" s="139">
        <v>88.766817349999968</v>
      </c>
      <c r="AH7" s="139">
        <v>85.218335830000001</v>
      </c>
      <c r="AI7" s="139">
        <v>56.267168709999993</v>
      </c>
      <c r="AJ7" s="139">
        <v>5.336383099999999</v>
      </c>
      <c r="AK7" s="139">
        <v>1.4758699999999998</v>
      </c>
      <c r="AL7" s="139">
        <v>5.6185144000000005</v>
      </c>
      <c r="AM7" s="139">
        <v>4.3757964099999986</v>
      </c>
      <c r="AN7" s="139">
        <v>3.2749537999999996</v>
      </c>
      <c r="AO7" s="139">
        <v>2.6419999999999999E-2</v>
      </c>
      <c r="AP7" s="139">
        <v>7.4942463999999998</v>
      </c>
      <c r="AQ7" s="139">
        <v>14.05023909</v>
      </c>
      <c r="AR7" s="139">
        <v>6.6736300000000002</v>
      </c>
      <c r="AS7" s="139">
        <v>6.97</v>
      </c>
      <c r="AT7" s="139">
        <v>5.3082612099999995</v>
      </c>
      <c r="AU7" s="139">
        <v>5.852463489999999</v>
      </c>
      <c r="AV7" s="139">
        <v>8.49343</v>
      </c>
      <c r="AW7" s="139">
        <v>8.43201</v>
      </c>
      <c r="AX7" s="139">
        <v>3.2447121399999999</v>
      </c>
      <c r="AY7" s="139">
        <v>2.7012093300000006</v>
      </c>
      <c r="AZ7" s="139">
        <v>1.8567299999999998E-2</v>
      </c>
      <c r="BA7" s="139">
        <v>6.1151959300000023</v>
      </c>
      <c r="BB7" s="139">
        <v>20.268984379999999</v>
      </c>
      <c r="BC7" s="139">
        <v>14.34202818</v>
      </c>
      <c r="BD7" s="139">
        <v>7.6447110300000007</v>
      </c>
    </row>
    <row r="8" spans="2:56" x14ac:dyDescent="0.55000000000000004">
      <c r="B8" s="142" t="s">
        <v>349</v>
      </c>
      <c r="C8" s="139">
        <v>542.93855427000005</v>
      </c>
      <c r="D8" s="139">
        <v>749.47761624000066</v>
      </c>
      <c r="E8" s="139">
        <v>1258.4653703900005</v>
      </c>
      <c r="F8" s="139">
        <v>1242.5878036999998</v>
      </c>
      <c r="G8" s="139">
        <v>121.70169333999999</v>
      </c>
      <c r="H8" s="139">
        <v>844.15886599999999</v>
      </c>
      <c r="I8" s="139">
        <v>550.66690728000003</v>
      </c>
      <c r="J8" s="139">
        <v>664.78079712999988</v>
      </c>
      <c r="K8" s="139">
        <v>885.90507891999971</v>
      </c>
      <c r="L8" s="139">
        <v>355.09296477000038</v>
      </c>
      <c r="M8" s="139">
        <v>1018.0355242299981</v>
      </c>
      <c r="N8" s="139">
        <v>807.97945361999962</v>
      </c>
      <c r="O8" s="139">
        <v>637.8427044199999</v>
      </c>
      <c r="P8" s="139">
        <v>656.35369072000003</v>
      </c>
      <c r="Q8" s="139">
        <v>1330.2612494100003</v>
      </c>
      <c r="R8" s="139">
        <v>557.73775185</v>
      </c>
      <c r="S8" s="139">
        <v>906.93166573000008</v>
      </c>
      <c r="T8" s="139">
        <v>640.52750016000016</v>
      </c>
      <c r="U8" s="139">
        <v>829.7986897200002</v>
      </c>
      <c r="V8" s="139">
        <v>587.17898314999979</v>
      </c>
      <c r="W8" s="139">
        <v>134.80233529000003</v>
      </c>
      <c r="X8" s="139">
        <v>1.9510000000000001</v>
      </c>
      <c r="Y8" s="139">
        <v>4.3463233700000004</v>
      </c>
      <c r="Z8" s="139">
        <v>165.97278675999999</v>
      </c>
      <c r="AA8" s="139">
        <v>33.560765429999996</v>
      </c>
      <c r="AB8" s="139">
        <v>20.860600910000002</v>
      </c>
      <c r="AC8" s="139">
        <v>340.9409686300001</v>
      </c>
      <c r="AD8" s="139">
        <v>214.44258006999999</v>
      </c>
      <c r="AE8" s="139">
        <v>191.83244257999996</v>
      </c>
      <c r="AF8" s="139">
        <v>9.5381433199999996</v>
      </c>
      <c r="AG8" s="139">
        <v>144.45254280999998</v>
      </c>
      <c r="AH8" s="139">
        <v>195.15829337999992</v>
      </c>
      <c r="AI8" s="139">
        <v>186.70557035000002</v>
      </c>
      <c r="AJ8" s="139">
        <v>19.112150880000002</v>
      </c>
      <c r="AK8" s="139">
        <v>5.2046299999999999</v>
      </c>
      <c r="AL8" s="139">
        <v>19.523886140000002</v>
      </c>
      <c r="AM8" s="139">
        <v>23.176153550000002</v>
      </c>
      <c r="AN8" s="139">
        <v>18.515727049999999</v>
      </c>
      <c r="AO8" s="139">
        <v>0</v>
      </c>
      <c r="AP8" s="139">
        <v>33.512401209999993</v>
      </c>
      <c r="AQ8" s="139">
        <v>51.481302479999997</v>
      </c>
      <c r="AR8" s="139">
        <v>36.588569999999997</v>
      </c>
      <c r="AS8" s="139">
        <v>24.603999999999999</v>
      </c>
      <c r="AT8" s="139">
        <v>24.064865530000002</v>
      </c>
      <c r="AU8" s="139">
        <v>13.056933810000002</v>
      </c>
      <c r="AV8" s="139">
        <v>29.390169999999998</v>
      </c>
      <c r="AW8" s="139">
        <v>28.563653610000003</v>
      </c>
      <c r="AX8" s="139">
        <v>12.022203539999998</v>
      </c>
      <c r="AY8" s="139">
        <v>11.458590900000001</v>
      </c>
      <c r="AZ8" s="139">
        <v>0</v>
      </c>
      <c r="BA8" s="139">
        <v>32.341050000000003</v>
      </c>
      <c r="BB8" s="139">
        <v>79.831712489999987</v>
      </c>
      <c r="BC8" s="139">
        <v>89.446797865000022</v>
      </c>
      <c r="BD8" s="139">
        <v>32.83258</v>
      </c>
    </row>
    <row r="9" spans="2:56" x14ac:dyDescent="0.55000000000000004">
      <c r="B9" s="142" t="s">
        <v>350</v>
      </c>
      <c r="C9" s="139">
        <v>56.308278840000007</v>
      </c>
      <c r="D9" s="139">
        <v>0</v>
      </c>
      <c r="E9" s="139">
        <v>377.53961111700016</v>
      </c>
      <c r="F9" s="139">
        <v>2.6753151600000002</v>
      </c>
      <c r="G9" s="139">
        <v>0</v>
      </c>
      <c r="H9" s="139">
        <v>0</v>
      </c>
      <c r="I9" s="139">
        <v>22.067937886396138</v>
      </c>
      <c r="J9" s="139">
        <v>0</v>
      </c>
      <c r="K9" s="139">
        <v>0</v>
      </c>
      <c r="L9" s="139">
        <v>0</v>
      </c>
      <c r="M9" s="139">
        <v>0</v>
      </c>
      <c r="N9" s="139">
        <v>0</v>
      </c>
      <c r="O9" s="139">
        <v>0</v>
      </c>
      <c r="P9" s="139">
        <v>0</v>
      </c>
      <c r="Q9" s="139">
        <v>0</v>
      </c>
      <c r="R9" s="139">
        <v>82.634815160000002</v>
      </c>
      <c r="S9" s="139">
        <v>0</v>
      </c>
      <c r="T9" s="139">
        <v>8.2876720000000001E-2</v>
      </c>
      <c r="U9" s="139">
        <v>0</v>
      </c>
      <c r="V9" s="139">
        <v>0</v>
      </c>
      <c r="W9" s="139">
        <v>0</v>
      </c>
      <c r="X9" s="139">
        <v>0.154</v>
      </c>
      <c r="Y9" s="139">
        <v>0</v>
      </c>
      <c r="Z9" s="139">
        <v>3.4170716100000016</v>
      </c>
      <c r="AA9" s="139">
        <v>0</v>
      </c>
      <c r="AB9" s="139">
        <v>0.83442403640000007</v>
      </c>
      <c r="AC9" s="139">
        <v>6.3421701500000003</v>
      </c>
      <c r="AD9" s="139">
        <v>12.03143569</v>
      </c>
      <c r="AE9" s="139">
        <v>3.0861009300000002</v>
      </c>
      <c r="AF9" s="139">
        <v>0</v>
      </c>
      <c r="AG9" s="139">
        <v>0.7288222099999998</v>
      </c>
      <c r="AH9" s="139">
        <v>0</v>
      </c>
      <c r="AI9" s="139">
        <v>38.374228690000002</v>
      </c>
      <c r="AJ9" s="139">
        <v>0</v>
      </c>
      <c r="AK9" s="139">
        <v>0.81564000000000003</v>
      </c>
      <c r="AL9" s="139">
        <v>0</v>
      </c>
      <c r="AM9" s="139">
        <v>1.7362946100000001</v>
      </c>
      <c r="AN9" s="139">
        <v>0</v>
      </c>
      <c r="AO9" s="139">
        <v>0</v>
      </c>
      <c r="AP9" s="139">
        <v>4.9445653600000004</v>
      </c>
      <c r="AQ9" s="139">
        <v>0.63772232999999989</v>
      </c>
      <c r="AR9" s="139">
        <v>0</v>
      </c>
      <c r="AS9" s="139">
        <v>0</v>
      </c>
      <c r="AT9" s="139">
        <v>2.5210100000000004</v>
      </c>
      <c r="AU9" s="139">
        <v>0.24357773999999999</v>
      </c>
      <c r="AV9" s="139">
        <v>0</v>
      </c>
      <c r="AW9" s="139">
        <v>0</v>
      </c>
      <c r="AX9" s="139">
        <v>0.72388622000000002</v>
      </c>
      <c r="AY9" s="139">
        <v>0.50967936000000003</v>
      </c>
      <c r="AZ9" s="139">
        <v>0</v>
      </c>
      <c r="BA9" s="139">
        <v>2.0002599999999999</v>
      </c>
      <c r="BB9" s="139">
        <v>0.69710693999999984</v>
      </c>
      <c r="BC9" s="139">
        <v>0</v>
      </c>
      <c r="BD9" s="139">
        <v>0</v>
      </c>
    </row>
    <row r="10" spans="2:56" x14ac:dyDescent="0.55000000000000004">
      <c r="B10" s="142" t="s">
        <v>351</v>
      </c>
      <c r="C10" s="139">
        <v>78.792711919999988</v>
      </c>
      <c r="D10" s="139">
        <v>0</v>
      </c>
      <c r="E10" s="139">
        <v>188.76980555850008</v>
      </c>
      <c r="F10" s="139">
        <v>0</v>
      </c>
      <c r="G10" s="139">
        <v>8.970912924141011</v>
      </c>
      <c r="H10" s="139">
        <v>0</v>
      </c>
      <c r="I10" s="139">
        <v>17.58689373063627</v>
      </c>
      <c r="J10" s="139">
        <v>294.37081240857304</v>
      </c>
      <c r="K10" s="139">
        <v>0</v>
      </c>
      <c r="L10" s="139">
        <v>0</v>
      </c>
      <c r="M10" s="139">
        <v>0</v>
      </c>
      <c r="N10" s="139">
        <v>0</v>
      </c>
      <c r="O10" s="139">
        <v>240.22672046521532</v>
      </c>
      <c r="P10" s="139">
        <v>0</v>
      </c>
      <c r="Q10" s="139">
        <v>184.43325963390706</v>
      </c>
      <c r="R10" s="139">
        <v>63.542659049999997</v>
      </c>
      <c r="S10" s="139">
        <v>379.55895126000007</v>
      </c>
      <c r="T10" s="139">
        <v>3.6763391499999463</v>
      </c>
      <c r="U10" s="139">
        <v>0</v>
      </c>
      <c r="V10" s="139">
        <v>0</v>
      </c>
      <c r="W10" s="139">
        <v>0.65893726000000008</v>
      </c>
      <c r="X10" s="139">
        <v>0.33700000000000002</v>
      </c>
      <c r="Y10" s="139">
        <v>0</v>
      </c>
      <c r="Z10" s="139">
        <v>35.68355141</v>
      </c>
      <c r="AA10" s="139">
        <v>4.6338140499999998</v>
      </c>
      <c r="AB10" s="139">
        <v>1.0430300455000001</v>
      </c>
      <c r="AC10" s="139">
        <v>38.664031210000019</v>
      </c>
      <c r="AD10" s="139">
        <v>19.452064750000002</v>
      </c>
      <c r="AE10" s="139">
        <v>19.441018330000002</v>
      </c>
      <c r="AF10" s="139">
        <v>0</v>
      </c>
      <c r="AG10" s="139">
        <v>6.3426689499999984</v>
      </c>
      <c r="AH10" s="139">
        <v>0</v>
      </c>
      <c r="AI10" s="139">
        <v>36.880508900000002</v>
      </c>
      <c r="AJ10" s="139">
        <v>3.6675732799999996</v>
      </c>
      <c r="AK10" s="139">
        <v>1.1339399999999999</v>
      </c>
      <c r="AL10" s="139">
        <v>6.8158826600000015</v>
      </c>
      <c r="AM10" s="139">
        <v>8.3588841099999982</v>
      </c>
      <c r="AN10" s="139">
        <v>0</v>
      </c>
      <c r="AO10" s="139">
        <v>0</v>
      </c>
      <c r="AP10" s="139">
        <v>6.3725724799999997</v>
      </c>
      <c r="AQ10" s="139">
        <v>0.28364150999999999</v>
      </c>
      <c r="AR10" s="139">
        <v>1.6282000000000001</v>
      </c>
      <c r="AS10" s="139">
        <v>0</v>
      </c>
      <c r="AT10" s="139">
        <v>5.0913900000000005</v>
      </c>
      <c r="AU10" s="139">
        <v>0.40371527000000001</v>
      </c>
      <c r="AV10" s="139">
        <v>1.98898</v>
      </c>
      <c r="AW10" s="139">
        <v>2.5829473300000001</v>
      </c>
      <c r="AX10" s="139">
        <v>2.2431211699999998</v>
      </c>
      <c r="AY10" s="139">
        <v>0.46852512000000002</v>
      </c>
      <c r="AZ10" s="139">
        <v>0</v>
      </c>
      <c r="BA10" s="139">
        <v>5.5004799999999996</v>
      </c>
      <c r="BB10" s="139">
        <v>1.3338358000000001</v>
      </c>
      <c r="BC10" s="139">
        <v>15.768505280000001</v>
      </c>
      <c r="BD10" s="139">
        <v>6.1860199999999992</v>
      </c>
    </row>
    <row r="11" spans="2:56" x14ac:dyDescent="0.55000000000000004">
      <c r="B11" s="142" t="s">
        <v>352</v>
      </c>
      <c r="C11" s="139">
        <v>135.02969697000003</v>
      </c>
      <c r="D11" s="139">
        <v>0</v>
      </c>
      <c r="E11" s="139">
        <v>339.78565000530017</v>
      </c>
      <c r="F11" s="139">
        <v>0</v>
      </c>
      <c r="G11" s="139">
        <v>89.72713230490011</v>
      </c>
      <c r="H11" s="139">
        <v>844.15886599999999</v>
      </c>
      <c r="I11" s="139">
        <v>48.270000381745433</v>
      </c>
      <c r="J11" s="139">
        <v>149.90673629385782</v>
      </c>
      <c r="K11" s="139">
        <v>0</v>
      </c>
      <c r="L11" s="139">
        <v>5.4369441000000007</v>
      </c>
      <c r="M11" s="139">
        <v>0</v>
      </c>
      <c r="N11" s="139">
        <v>510.73051556999991</v>
      </c>
      <c r="O11" s="139">
        <v>258.92338941226296</v>
      </c>
      <c r="P11" s="139">
        <v>656.32236504000002</v>
      </c>
      <c r="Q11" s="139">
        <v>494.50870780357411</v>
      </c>
      <c r="R11" s="139">
        <v>344.85712195999997</v>
      </c>
      <c r="S11" s="139">
        <v>377.76902818000002</v>
      </c>
      <c r="T11" s="139">
        <v>196.13215175000494</v>
      </c>
      <c r="U11" s="139">
        <v>0</v>
      </c>
      <c r="V11" s="139">
        <v>587.17898314999979</v>
      </c>
      <c r="W11" s="139">
        <v>37.684590030000003</v>
      </c>
      <c r="X11" s="139">
        <v>0.46500000000000002</v>
      </c>
      <c r="Y11" s="139">
        <v>0</v>
      </c>
      <c r="Z11" s="139">
        <v>72.334721880000004</v>
      </c>
      <c r="AA11" s="139">
        <v>9.129783000000001E-2</v>
      </c>
      <c r="AB11" s="139">
        <v>7.3012103184999999</v>
      </c>
      <c r="AC11" s="139">
        <v>212.60976414999996</v>
      </c>
      <c r="AD11" s="139">
        <v>124.82701383999998</v>
      </c>
      <c r="AE11" s="139">
        <v>78.761586869999988</v>
      </c>
      <c r="AF11" s="139">
        <v>7.2480366299999988</v>
      </c>
      <c r="AG11" s="139">
        <v>28.443546790000006</v>
      </c>
      <c r="AH11" s="139">
        <v>123.45062230999997</v>
      </c>
      <c r="AI11" s="139">
        <v>7.9846383100000002</v>
      </c>
      <c r="AJ11" s="139">
        <v>9.6688946400000013</v>
      </c>
      <c r="AK11" s="139">
        <v>1.98451</v>
      </c>
      <c r="AL11" s="139">
        <v>5.9634068800000009</v>
      </c>
      <c r="AM11" s="139">
        <v>8.4639952300000001</v>
      </c>
      <c r="AN11" s="139">
        <v>0</v>
      </c>
      <c r="AO11" s="139">
        <v>0</v>
      </c>
      <c r="AP11" s="139">
        <v>13.864713950000001</v>
      </c>
      <c r="AQ11" s="139">
        <v>2.8161954610000001E-2</v>
      </c>
      <c r="AR11" s="139">
        <v>19.006700000000002</v>
      </c>
      <c r="AS11" s="139">
        <v>24.603999999999999</v>
      </c>
      <c r="AT11" s="139">
        <v>9.3529999999999998</v>
      </c>
      <c r="AU11" s="139">
        <v>4.6289033799999997</v>
      </c>
      <c r="AV11" s="139">
        <v>8.9178499999999996</v>
      </c>
      <c r="AW11" s="139">
        <v>18.198742200000005</v>
      </c>
      <c r="AX11" s="139">
        <v>5.4366141900000002</v>
      </c>
      <c r="AY11" s="139">
        <v>5.0294974900000007</v>
      </c>
      <c r="AZ11" s="139">
        <v>0</v>
      </c>
      <c r="BA11" s="139">
        <v>10.721119999999999</v>
      </c>
      <c r="BB11" s="139">
        <v>38.272089189999996</v>
      </c>
      <c r="BC11" s="139">
        <v>36.060196805000004</v>
      </c>
      <c r="BD11" s="139">
        <v>13.5326</v>
      </c>
    </row>
    <row r="12" spans="2:56" x14ac:dyDescent="0.55000000000000004">
      <c r="B12" s="142" t="s">
        <v>353</v>
      </c>
      <c r="C12" s="139">
        <v>272.80786654000002</v>
      </c>
      <c r="D12" s="139">
        <v>749.47761624000066</v>
      </c>
      <c r="E12" s="139">
        <v>352.37030370920019</v>
      </c>
      <c r="F12" s="139">
        <v>1239.9124885399997</v>
      </c>
      <c r="G12" s="139">
        <v>23.003648110958867</v>
      </c>
      <c r="H12" s="139">
        <v>0</v>
      </c>
      <c r="I12" s="139">
        <v>462.74207528122224</v>
      </c>
      <c r="J12" s="139">
        <v>220.50324842756905</v>
      </c>
      <c r="K12" s="139">
        <v>885.90507891999971</v>
      </c>
      <c r="L12" s="139">
        <v>349.65602067000037</v>
      </c>
      <c r="M12" s="139">
        <v>1018.0355242299981</v>
      </c>
      <c r="N12" s="139">
        <v>297.24893804999971</v>
      </c>
      <c r="O12" s="139">
        <v>138.69259454252162</v>
      </c>
      <c r="P12" s="139">
        <v>3.1325680000000002E-2</v>
      </c>
      <c r="Q12" s="139">
        <v>651.31928197251921</v>
      </c>
      <c r="R12" s="139">
        <v>66.703155679999995</v>
      </c>
      <c r="S12" s="139">
        <v>149.60368628999998</v>
      </c>
      <c r="T12" s="139">
        <v>440.63613253999529</v>
      </c>
      <c r="U12" s="139">
        <v>829.7986897200002</v>
      </c>
      <c r="V12" s="139">
        <v>0</v>
      </c>
      <c r="W12" s="139">
        <v>96.458808000000005</v>
      </c>
      <c r="X12" s="139">
        <v>0.995</v>
      </c>
      <c r="Y12" s="139">
        <v>4.3463233700000004</v>
      </c>
      <c r="Z12" s="139">
        <v>54.537441860000001</v>
      </c>
      <c r="AA12" s="139">
        <v>28.83565355</v>
      </c>
      <c r="AB12" s="139">
        <v>11.681936509600002</v>
      </c>
      <c r="AC12" s="139">
        <v>83.325003120000076</v>
      </c>
      <c r="AD12" s="139">
        <v>58.132065789999999</v>
      </c>
      <c r="AE12" s="139">
        <v>90.543736449999983</v>
      </c>
      <c r="AF12" s="139">
        <v>2.2901066900000004</v>
      </c>
      <c r="AG12" s="139">
        <v>108.93750485999999</v>
      </c>
      <c r="AH12" s="139">
        <v>71.707671069999961</v>
      </c>
      <c r="AI12" s="139">
        <v>103.46619445000002</v>
      </c>
      <c r="AJ12" s="139">
        <v>5.7756829600000001</v>
      </c>
      <c r="AK12" s="139">
        <v>1.27054</v>
      </c>
      <c r="AL12" s="139">
        <v>6.7445965999999995</v>
      </c>
      <c r="AM12" s="139">
        <v>4.6169796000000005</v>
      </c>
      <c r="AN12" s="139">
        <v>18.515727049999999</v>
      </c>
      <c r="AO12" s="139">
        <v>0</v>
      </c>
      <c r="AP12" s="139">
        <v>8.3305494199999988</v>
      </c>
      <c r="AQ12" s="139">
        <v>50.531776685389993</v>
      </c>
      <c r="AR12" s="139">
        <v>15.953670000000001</v>
      </c>
      <c r="AS12" s="139">
        <v>0</v>
      </c>
      <c r="AT12" s="139">
        <v>7.0994655300000016</v>
      </c>
      <c r="AU12" s="139">
        <v>7.7807374200000012</v>
      </c>
      <c r="AV12" s="139">
        <v>18.483340000000002</v>
      </c>
      <c r="AW12" s="139">
        <v>7.7819640799999998</v>
      </c>
      <c r="AX12" s="139">
        <v>3.6185819599999998</v>
      </c>
      <c r="AY12" s="139">
        <v>5.4508889299999996</v>
      </c>
      <c r="AZ12" s="139">
        <v>0</v>
      </c>
      <c r="BA12" s="139">
        <v>14.11919</v>
      </c>
      <c r="BB12" s="139">
        <v>39.528680559999991</v>
      </c>
      <c r="BC12" s="139">
        <v>37.618095780000004</v>
      </c>
      <c r="BD12" s="139">
        <v>13.113960000000001</v>
      </c>
    </row>
    <row r="13" spans="2:56" x14ac:dyDescent="0.55000000000000004">
      <c r="B13" s="142" t="s">
        <v>354</v>
      </c>
      <c r="C13" s="139">
        <v>9.3276337500000004</v>
      </c>
      <c r="D13" s="139">
        <v>14.07073812000001</v>
      </c>
      <c r="E13" s="139">
        <v>44.038218750000006</v>
      </c>
      <c r="F13" s="139">
        <v>48.480879020000003</v>
      </c>
      <c r="G13" s="139">
        <v>12.802262389999999</v>
      </c>
      <c r="H13" s="139">
        <v>38.247762000000002</v>
      </c>
      <c r="I13" s="139">
        <v>22.318340740000004</v>
      </c>
      <c r="J13" s="139">
        <v>28.236454869999999</v>
      </c>
      <c r="K13" s="139">
        <v>28.069727979999996</v>
      </c>
      <c r="L13" s="139">
        <v>11.579400969999996</v>
      </c>
      <c r="M13" s="139">
        <v>29.868988100000035</v>
      </c>
      <c r="N13" s="139">
        <v>36.429140910000008</v>
      </c>
      <c r="O13" s="139">
        <v>18.534515579999997</v>
      </c>
      <c r="P13" s="139">
        <v>9.8957383599999993</v>
      </c>
      <c r="Q13" s="139">
        <v>44.316230059999995</v>
      </c>
      <c r="R13" s="139">
        <v>19.276666239999997</v>
      </c>
      <c r="S13" s="139">
        <v>20.561980869999999</v>
      </c>
      <c r="T13" s="139">
        <v>25.42839506</v>
      </c>
      <c r="U13" s="139">
        <v>2.2437793099999999</v>
      </c>
      <c r="V13" s="139">
        <v>9.6341124899999997</v>
      </c>
      <c r="W13" s="139">
        <v>2.9039707999999997</v>
      </c>
      <c r="X13" s="139">
        <v>7.0999999999999994E-2</v>
      </c>
      <c r="Y13" s="139">
        <v>0.23872728000000001</v>
      </c>
      <c r="Z13" s="139">
        <v>3.4840455100000027</v>
      </c>
      <c r="AA13" s="139">
        <v>2.16404635</v>
      </c>
      <c r="AB13" s="139">
        <v>0.43771852</v>
      </c>
      <c r="AC13" s="139">
        <v>7.8063653799999999</v>
      </c>
      <c r="AD13" s="139">
        <v>11.470618030000001</v>
      </c>
      <c r="AE13" s="139">
        <v>4.3829531600000005</v>
      </c>
      <c r="AF13" s="139">
        <v>0.32560111000000003</v>
      </c>
      <c r="AG13" s="139">
        <v>7.0444206799999982</v>
      </c>
      <c r="AH13" s="139">
        <v>3.24797761</v>
      </c>
      <c r="AI13" s="139">
        <v>5.9896727999999992</v>
      </c>
      <c r="AJ13" s="139">
        <v>0.64568763000000007</v>
      </c>
      <c r="AK13" s="139">
        <v>7.6499999999999999E-2</v>
      </c>
      <c r="AL13" s="139">
        <v>1.3537384399999999</v>
      </c>
      <c r="AM13" s="139">
        <v>0.37104538000000004</v>
      </c>
      <c r="AN13" s="139">
        <v>0.59527300999999999</v>
      </c>
      <c r="AO13" s="139">
        <v>0.14971999999999999</v>
      </c>
      <c r="AP13" s="139">
        <v>0.21214713999999996</v>
      </c>
      <c r="AQ13" s="139">
        <v>0.28877409999999998</v>
      </c>
      <c r="AR13" s="139">
        <v>0.68828</v>
      </c>
      <c r="AS13" s="139">
        <v>0.47099999999999997</v>
      </c>
      <c r="AT13" s="139">
        <v>1.0293910900000001</v>
      </c>
      <c r="AU13" s="139">
        <v>5.8928790000000002E-2</v>
      </c>
      <c r="AV13" s="139">
        <v>0.56328999999999996</v>
      </c>
      <c r="AW13" s="139">
        <v>0</v>
      </c>
      <c r="AX13" s="139">
        <v>0.47658694000000001</v>
      </c>
      <c r="AY13" s="139">
        <v>0.78922829999999999</v>
      </c>
      <c r="AZ13" s="139">
        <v>3.2837999999999999E-3</v>
      </c>
      <c r="BA13" s="139">
        <v>1.5604648200000002</v>
      </c>
      <c r="BB13" s="139">
        <v>2.4376697300000001</v>
      </c>
      <c r="BC13" s="139">
        <v>3.2617123099999996</v>
      </c>
      <c r="BD13" s="139">
        <v>1.9657512099999999</v>
      </c>
    </row>
    <row r="14" spans="2:56" x14ac:dyDescent="0.55000000000000004">
      <c r="B14" s="142" t="s">
        <v>355</v>
      </c>
      <c r="C14" s="139">
        <v>0</v>
      </c>
      <c r="D14" s="139">
        <v>0</v>
      </c>
      <c r="E14" s="139">
        <v>0</v>
      </c>
      <c r="F14" s="139">
        <v>0</v>
      </c>
      <c r="G14" s="139">
        <v>0</v>
      </c>
      <c r="H14" s="139">
        <v>0</v>
      </c>
      <c r="I14" s="139">
        <v>0</v>
      </c>
      <c r="J14" s="139">
        <v>0</v>
      </c>
      <c r="K14" s="139">
        <v>0</v>
      </c>
      <c r="L14" s="139">
        <v>0</v>
      </c>
      <c r="M14" s="139">
        <v>0</v>
      </c>
      <c r="N14" s="139">
        <v>0</v>
      </c>
      <c r="O14" s="139">
        <v>0</v>
      </c>
      <c r="P14" s="139">
        <v>0</v>
      </c>
      <c r="Q14" s="139">
        <v>0</v>
      </c>
      <c r="R14" s="139">
        <v>0</v>
      </c>
      <c r="S14" s="139">
        <v>0</v>
      </c>
      <c r="T14" s="139">
        <v>3.3292652500000002</v>
      </c>
      <c r="U14" s="139">
        <v>0</v>
      </c>
      <c r="V14" s="139">
        <v>0</v>
      </c>
      <c r="W14" s="139">
        <v>0</v>
      </c>
      <c r="X14" s="139">
        <v>0</v>
      </c>
      <c r="Y14" s="139">
        <v>0</v>
      </c>
      <c r="Z14" s="139">
        <v>0</v>
      </c>
      <c r="AA14" s="139">
        <v>0</v>
      </c>
      <c r="AB14" s="139">
        <v>0</v>
      </c>
      <c r="AC14" s="139">
        <v>0</v>
      </c>
      <c r="AD14" s="139">
        <v>0</v>
      </c>
      <c r="AE14" s="139">
        <v>0</v>
      </c>
      <c r="AF14" s="139">
        <v>0</v>
      </c>
      <c r="AG14" s="139">
        <v>0</v>
      </c>
      <c r="AH14" s="139">
        <v>0</v>
      </c>
      <c r="AI14" s="139">
        <v>0</v>
      </c>
      <c r="AJ14" s="139">
        <v>0</v>
      </c>
      <c r="AK14" s="139">
        <v>0</v>
      </c>
      <c r="AL14" s="139">
        <v>0</v>
      </c>
      <c r="AM14" s="139">
        <v>0</v>
      </c>
      <c r="AN14" s="139">
        <v>0</v>
      </c>
      <c r="AO14" s="139">
        <v>0</v>
      </c>
      <c r="AP14" s="139">
        <v>0</v>
      </c>
      <c r="AQ14" s="139">
        <v>0</v>
      </c>
      <c r="AR14" s="139">
        <v>0</v>
      </c>
      <c r="AS14" s="139">
        <v>0</v>
      </c>
      <c r="AT14" s="139">
        <v>0</v>
      </c>
      <c r="AU14" s="139">
        <v>0</v>
      </c>
      <c r="AV14" s="139">
        <v>0</v>
      </c>
      <c r="AW14" s="139">
        <v>0</v>
      </c>
      <c r="AX14" s="139">
        <v>0</v>
      </c>
      <c r="AY14" s="139">
        <v>0</v>
      </c>
      <c r="AZ14" s="139">
        <v>0</v>
      </c>
      <c r="BA14" s="139">
        <v>0</v>
      </c>
      <c r="BB14" s="139">
        <v>0</v>
      </c>
      <c r="BC14" s="139">
        <v>0</v>
      </c>
      <c r="BD14" s="139">
        <v>0</v>
      </c>
    </row>
    <row r="15" spans="2:56" x14ac:dyDescent="0.55000000000000004">
      <c r="B15" s="142" t="s">
        <v>356</v>
      </c>
      <c r="C15" s="139">
        <v>30.976465306230516</v>
      </c>
      <c r="D15" s="139">
        <v>36.980758019999996</v>
      </c>
      <c r="E15" s="139">
        <v>93.109082059999992</v>
      </c>
      <c r="F15" s="139">
        <v>101.26663576</v>
      </c>
      <c r="G15" s="139">
        <v>23.41703042</v>
      </c>
      <c r="H15" s="139">
        <v>69.807355999999999</v>
      </c>
      <c r="I15" s="139">
        <v>69.651302709999996</v>
      </c>
      <c r="J15" s="139">
        <v>49.891281088767123</v>
      </c>
      <c r="K15" s="139">
        <v>95.529002510000012</v>
      </c>
      <c r="L15" s="139">
        <v>58.34574576</v>
      </c>
      <c r="M15" s="139">
        <v>148.97234665000002</v>
      </c>
      <c r="N15" s="139">
        <v>64.509283570000008</v>
      </c>
      <c r="O15" s="139">
        <v>153.52272191999998</v>
      </c>
      <c r="P15" s="139">
        <v>86.698186480000004</v>
      </c>
      <c r="Q15" s="139">
        <v>169.7548812</v>
      </c>
      <c r="R15" s="139">
        <v>52.793926269999993</v>
      </c>
      <c r="S15" s="139">
        <v>97.488962490000006</v>
      </c>
      <c r="T15" s="139">
        <v>106.60681281000001</v>
      </c>
      <c r="U15" s="139">
        <v>69.249025929999988</v>
      </c>
      <c r="V15" s="139">
        <v>89.668435610000003</v>
      </c>
      <c r="W15" s="139">
        <v>9.3424657599999996</v>
      </c>
      <c r="X15" s="139">
        <v>0</v>
      </c>
      <c r="Y15" s="139">
        <v>0</v>
      </c>
      <c r="Z15" s="139">
        <v>5.625</v>
      </c>
      <c r="AA15" s="139">
        <v>0</v>
      </c>
      <c r="AB15" s="139">
        <v>0</v>
      </c>
      <c r="AC15" s="139">
        <v>27.106422310000003</v>
      </c>
      <c r="AD15" s="139">
        <v>7.4315066200000004</v>
      </c>
      <c r="AE15" s="139">
        <v>7.6438355400000004</v>
      </c>
      <c r="AF15" s="139">
        <v>0</v>
      </c>
      <c r="AG15" s="139">
        <v>11.465753419999999</v>
      </c>
      <c r="AH15" s="139">
        <v>6.8555551506849302</v>
      </c>
      <c r="AI15" s="139">
        <v>9.1666666666666661</v>
      </c>
      <c r="AJ15" s="139">
        <v>0</v>
      </c>
      <c r="AK15" s="139">
        <v>0</v>
      </c>
      <c r="AL15" s="139">
        <v>0</v>
      </c>
      <c r="AM15" s="139">
        <v>0</v>
      </c>
      <c r="AN15" s="139">
        <v>0</v>
      </c>
      <c r="AO15" s="139">
        <v>0</v>
      </c>
      <c r="AP15" s="139">
        <v>0</v>
      </c>
      <c r="AQ15" s="139">
        <v>0</v>
      </c>
      <c r="AR15" s="139">
        <v>0</v>
      </c>
      <c r="AS15" s="139">
        <v>0</v>
      </c>
      <c r="AT15" s="139">
        <v>0</v>
      </c>
      <c r="AU15" s="139">
        <v>0</v>
      </c>
      <c r="AV15" s="139">
        <v>0.55640000000000001</v>
      </c>
      <c r="AW15" s="139">
        <v>0</v>
      </c>
      <c r="AX15" s="139">
        <v>0</v>
      </c>
      <c r="AY15" s="139">
        <v>0</v>
      </c>
      <c r="AZ15" s="139">
        <v>0</v>
      </c>
      <c r="BA15" s="139">
        <v>0.34505424873057605</v>
      </c>
      <c r="BB15" s="139">
        <v>4.3404506999999999</v>
      </c>
      <c r="BC15" s="139">
        <v>4.0342466899999998</v>
      </c>
      <c r="BD15" s="139">
        <v>0</v>
      </c>
    </row>
    <row r="16" spans="2:56" x14ac:dyDescent="0.55000000000000004">
      <c r="B16" s="141" t="s">
        <v>357</v>
      </c>
      <c r="C16" s="139">
        <v>20.95823786916667</v>
      </c>
      <c r="D16" s="139">
        <v>31.977721327499996</v>
      </c>
      <c r="E16" s="139">
        <v>57.087494250000006</v>
      </c>
      <c r="F16" s="139">
        <v>34.303989739999992</v>
      </c>
      <c r="G16" s="139">
        <v>36.439713771617065</v>
      </c>
      <c r="H16" s="139">
        <v>0</v>
      </c>
      <c r="I16" s="139">
        <v>13.14537934</v>
      </c>
      <c r="J16" s="139">
        <v>1.95394622</v>
      </c>
      <c r="K16" s="139">
        <v>7.4610402000000002</v>
      </c>
      <c r="L16" s="139">
        <v>5.5841063000000011</v>
      </c>
      <c r="M16" s="139">
        <v>33.436459599999999</v>
      </c>
      <c r="N16" s="139">
        <v>1.8899999999999999E-5</v>
      </c>
      <c r="O16" s="139">
        <v>0</v>
      </c>
      <c r="P16" s="139">
        <v>3.0824299500000003</v>
      </c>
      <c r="Q16" s="139">
        <v>59.567357049999991</v>
      </c>
      <c r="R16" s="139">
        <v>11.06043878</v>
      </c>
      <c r="S16" s="139">
        <v>0</v>
      </c>
      <c r="T16" s="139">
        <v>30.946285920000001</v>
      </c>
      <c r="U16" s="139">
        <v>2.8978522500000001</v>
      </c>
      <c r="V16" s="139">
        <v>0</v>
      </c>
      <c r="W16" s="139">
        <v>0.5645255400000001</v>
      </c>
      <c r="X16" s="139">
        <v>4.0000000000000001E-3</v>
      </c>
      <c r="Y16" s="139">
        <v>0</v>
      </c>
      <c r="Z16" s="139">
        <v>0.45276291000000002</v>
      </c>
      <c r="AA16" s="139">
        <v>0.19111776</v>
      </c>
      <c r="AB16" s="139">
        <v>0</v>
      </c>
      <c r="AC16" s="139">
        <v>0</v>
      </c>
      <c r="AD16" s="139">
        <v>0.27024724999999999</v>
      </c>
      <c r="AE16" s="139">
        <v>0.95763108000000008</v>
      </c>
      <c r="AF16" s="139">
        <v>0</v>
      </c>
      <c r="AG16" s="139">
        <v>0</v>
      </c>
      <c r="AH16" s="139">
        <v>0</v>
      </c>
      <c r="AI16" s="139">
        <v>0</v>
      </c>
      <c r="AJ16" s="139">
        <v>3.8009999999999997E-5</v>
      </c>
      <c r="AK16" s="139">
        <v>0</v>
      </c>
      <c r="AL16" s="139">
        <v>0</v>
      </c>
      <c r="AM16" s="139">
        <v>0</v>
      </c>
      <c r="AN16" s="139">
        <v>0</v>
      </c>
      <c r="AO16" s="139">
        <v>0</v>
      </c>
      <c r="AP16" s="139">
        <v>0</v>
      </c>
      <c r="AQ16" s="139">
        <v>0</v>
      </c>
      <c r="AR16" s="139">
        <v>0</v>
      </c>
      <c r="AS16" s="139">
        <v>0</v>
      </c>
      <c r="AT16" s="139">
        <v>0</v>
      </c>
      <c r="AU16" s="139">
        <v>0</v>
      </c>
      <c r="AV16" s="139">
        <v>0</v>
      </c>
      <c r="AW16" s="139">
        <v>0</v>
      </c>
      <c r="AX16" s="139">
        <v>0</v>
      </c>
      <c r="AY16" s="139">
        <v>0</v>
      </c>
      <c r="AZ16" s="139">
        <v>0</v>
      </c>
      <c r="BA16" s="139">
        <v>0.18613354000000001</v>
      </c>
      <c r="BB16" s="139">
        <v>0.15214625000000001</v>
      </c>
      <c r="BC16" s="139">
        <v>0</v>
      </c>
      <c r="BD16" s="139">
        <v>0</v>
      </c>
    </row>
    <row r="17" spans="2:56" x14ac:dyDescent="0.55000000000000004">
      <c r="B17" s="141" t="s">
        <v>358</v>
      </c>
      <c r="C17" s="139">
        <v>318.75052147967324</v>
      </c>
      <c r="D17" s="139">
        <v>358.15941779403329</v>
      </c>
      <c r="E17" s="139">
        <v>316.58350087999992</v>
      </c>
      <c r="F17" s="139">
        <v>232.50420905999999</v>
      </c>
      <c r="G17" s="139">
        <v>76.047603752037048</v>
      </c>
      <c r="H17" s="139">
        <v>205.34791999999999</v>
      </c>
      <c r="I17" s="139">
        <v>138.24114557999999</v>
      </c>
      <c r="J17" s="139">
        <v>154.55760948825198</v>
      </c>
      <c r="K17" s="139">
        <v>214.58229567000004</v>
      </c>
      <c r="L17" s="139">
        <v>184.01961267000001</v>
      </c>
      <c r="M17" s="139">
        <v>319.63164050000023</v>
      </c>
      <c r="N17" s="139">
        <v>327.75674654000017</v>
      </c>
      <c r="O17" s="139">
        <v>208.82639335000002</v>
      </c>
      <c r="P17" s="139">
        <v>305.54441202416666</v>
      </c>
      <c r="Q17" s="139">
        <v>363.16710292000005</v>
      </c>
      <c r="R17" s="139">
        <v>142.89608754</v>
      </c>
      <c r="S17" s="139">
        <v>119.61513886600861</v>
      </c>
      <c r="T17" s="139">
        <v>261.02810817</v>
      </c>
      <c r="U17" s="139">
        <v>298.21406552999997</v>
      </c>
      <c r="V17" s="139">
        <v>127.99265330999999</v>
      </c>
      <c r="W17" s="139">
        <v>50.638988862499993</v>
      </c>
      <c r="X17" s="139">
        <v>1.3520000000000001</v>
      </c>
      <c r="Y17" s="139">
        <v>2.7581874399999999</v>
      </c>
      <c r="Z17" s="139">
        <v>52.857892809999996</v>
      </c>
      <c r="AA17" s="139">
        <v>13.276627000000003</v>
      </c>
      <c r="AB17" s="139">
        <v>4.6082270999999997</v>
      </c>
      <c r="AC17" s="139">
        <v>106.80481008999999</v>
      </c>
      <c r="AD17" s="139">
        <v>84.432017619999996</v>
      </c>
      <c r="AE17" s="139">
        <v>59.470902799999998</v>
      </c>
      <c r="AF17" s="139">
        <v>2.0374454800000001</v>
      </c>
      <c r="AG17" s="139">
        <v>46.084865565648151</v>
      </c>
      <c r="AH17" s="139">
        <v>50.080926289999994</v>
      </c>
      <c r="AI17" s="139">
        <v>26.046476769999998</v>
      </c>
      <c r="AJ17" s="139">
        <v>6.3329244899999999</v>
      </c>
      <c r="AK17" s="139">
        <v>3.1511399999999998</v>
      </c>
      <c r="AL17" s="139">
        <v>7.8841785999999985</v>
      </c>
      <c r="AM17" s="139">
        <v>5.2247463700000001</v>
      </c>
      <c r="AN17" s="139">
        <v>4.5658499500000005</v>
      </c>
      <c r="AO17" s="139">
        <v>0.31760000000000005</v>
      </c>
      <c r="AP17" s="139">
        <v>9.0485678800000002</v>
      </c>
      <c r="AQ17" s="139">
        <v>25.315489900999992</v>
      </c>
      <c r="AR17" s="139">
        <v>4.6083611499999995</v>
      </c>
      <c r="AS17" s="139">
        <v>8.9559999999999995</v>
      </c>
      <c r="AT17" s="139">
        <v>9.1430633000000014</v>
      </c>
      <c r="AU17" s="139">
        <v>1.4666862300000001</v>
      </c>
      <c r="AV17" s="139">
        <v>9.4934399999999997</v>
      </c>
      <c r="AW17" s="139">
        <v>7.2961363600000002</v>
      </c>
      <c r="AX17" s="139">
        <v>2.7300694400000003</v>
      </c>
      <c r="AY17" s="139">
        <v>6.7207982300000007</v>
      </c>
      <c r="AZ17" s="139">
        <v>0.53751559999999998</v>
      </c>
      <c r="BA17" s="139">
        <v>7.5946246599999974</v>
      </c>
      <c r="BB17" s="139">
        <v>21.753697459999998</v>
      </c>
      <c r="BC17" s="139">
        <v>27.950821349999998</v>
      </c>
      <c r="BD17" s="139">
        <v>8.3474706800000007</v>
      </c>
    </row>
    <row r="18" spans="2:56" x14ac:dyDescent="0.55000000000000004">
      <c r="B18" s="141" t="s">
        <v>359</v>
      </c>
      <c r="C18" s="139">
        <v>111.7726064599882</v>
      </c>
      <c r="D18" s="139">
        <v>77.442160105833338</v>
      </c>
      <c r="E18" s="139">
        <v>172.69561719000004</v>
      </c>
      <c r="F18" s="139">
        <v>175.80970336999999</v>
      </c>
      <c r="G18" s="139">
        <v>51.139222609999983</v>
      </c>
      <c r="H18" s="139">
        <v>161.67742245999997</v>
      </c>
      <c r="I18" s="139">
        <v>82.758706978333322</v>
      </c>
      <c r="J18" s="139">
        <v>116.93075264100001</v>
      </c>
      <c r="K18" s="139">
        <v>157.84498241</v>
      </c>
      <c r="L18" s="139">
        <v>85.995191900000052</v>
      </c>
      <c r="M18" s="139">
        <v>142.96136213999998</v>
      </c>
      <c r="N18" s="139">
        <v>180.44538537999995</v>
      </c>
      <c r="O18" s="139">
        <v>167.42055095999962</v>
      </c>
      <c r="P18" s="139">
        <v>91.965836350000004</v>
      </c>
      <c r="Q18" s="139">
        <v>243.35645382000001</v>
      </c>
      <c r="R18" s="139">
        <v>107.27320247999999</v>
      </c>
      <c r="S18" s="139">
        <v>66.013569579999995</v>
      </c>
      <c r="T18" s="139">
        <v>155.74489808999994</v>
      </c>
      <c r="U18" s="139">
        <v>180.08923562000001</v>
      </c>
      <c r="V18" s="139">
        <v>102.57749258</v>
      </c>
      <c r="W18" s="139">
        <v>36.334152000000003</v>
      </c>
      <c r="X18" s="139">
        <v>1.077</v>
      </c>
      <c r="Y18" s="139">
        <v>1.1706411399999999</v>
      </c>
      <c r="Z18" s="139">
        <v>43.629603489999994</v>
      </c>
      <c r="AA18" s="139">
        <v>11.753519360000002</v>
      </c>
      <c r="AB18" s="139">
        <v>3.7732110799999998</v>
      </c>
      <c r="AC18" s="139">
        <v>62.312427580000005</v>
      </c>
      <c r="AD18" s="139">
        <v>64.739566570000008</v>
      </c>
      <c r="AE18" s="139">
        <v>36.817849669999994</v>
      </c>
      <c r="AF18" s="139">
        <v>1.18816181</v>
      </c>
      <c r="AG18" s="139">
        <v>36.339412979999985</v>
      </c>
      <c r="AH18" s="139">
        <v>32.643860000000004</v>
      </c>
      <c r="AI18" s="139">
        <v>11.76360558</v>
      </c>
      <c r="AJ18" s="139">
        <v>5.3455513000000003</v>
      </c>
      <c r="AK18" s="139">
        <v>1.0322631900000001</v>
      </c>
      <c r="AL18" s="139">
        <v>5.8332361299999995</v>
      </c>
      <c r="AM18" s="139">
        <v>4.6989614800000004</v>
      </c>
      <c r="AN18" s="139">
        <v>2.6206919499999994</v>
      </c>
      <c r="AO18" s="139">
        <v>0.27756999999999998</v>
      </c>
      <c r="AP18" s="139">
        <v>25.31287129</v>
      </c>
      <c r="AQ18" s="139">
        <v>10.528213760000002</v>
      </c>
      <c r="AR18" s="139">
        <v>3.8750839499999992</v>
      </c>
      <c r="AS18" s="139">
        <v>5.3250000000000002</v>
      </c>
      <c r="AT18" s="139">
        <v>10.84940574</v>
      </c>
      <c r="AU18" s="139">
        <v>2.3028141299999998</v>
      </c>
      <c r="AV18" s="139">
        <v>5.5400400000000003</v>
      </c>
      <c r="AW18" s="139">
        <v>6.4774330700000009</v>
      </c>
      <c r="AX18" s="139">
        <v>1.6764727099999948</v>
      </c>
      <c r="AY18" s="139">
        <v>3.4297693100000006</v>
      </c>
      <c r="AZ18" s="139">
        <v>9.9036100000000002E-2</v>
      </c>
      <c r="BA18" s="139">
        <v>4.7434325731723712</v>
      </c>
      <c r="BB18" s="139">
        <v>10.17337077</v>
      </c>
      <c r="BC18" s="139">
        <v>15.70258552</v>
      </c>
      <c r="BD18" s="139">
        <v>6.1486333599999998</v>
      </c>
    </row>
    <row r="19" spans="2:56" x14ac:dyDescent="0.55000000000000004">
      <c r="B19" s="141" t="s">
        <v>360</v>
      </c>
      <c r="C19" s="139">
        <v>0</v>
      </c>
      <c r="D19" s="139">
        <v>0</v>
      </c>
      <c r="E19" s="139">
        <v>0</v>
      </c>
      <c r="F19" s="139">
        <v>0</v>
      </c>
      <c r="G19" s="139">
        <v>0</v>
      </c>
      <c r="H19" s="139">
        <v>0</v>
      </c>
      <c r="I19" s="139">
        <v>0</v>
      </c>
      <c r="J19" s="139">
        <v>0</v>
      </c>
      <c r="K19" s="139">
        <v>0</v>
      </c>
      <c r="L19" s="139">
        <v>0</v>
      </c>
      <c r="M19" s="139">
        <v>0</v>
      </c>
      <c r="N19" s="139">
        <v>0</v>
      </c>
      <c r="O19" s="139">
        <v>0</v>
      </c>
      <c r="P19" s="139">
        <v>0</v>
      </c>
      <c r="Q19" s="139">
        <v>0</v>
      </c>
      <c r="R19" s="139">
        <v>0</v>
      </c>
      <c r="S19" s="139">
        <v>0</v>
      </c>
      <c r="T19" s="139">
        <v>0</v>
      </c>
      <c r="U19" s="139">
        <v>0</v>
      </c>
      <c r="V19" s="139">
        <v>0</v>
      </c>
      <c r="W19" s="139">
        <v>0</v>
      </c>
      <c r="X19" s="139">
        <v>0</v>
      </c>
      <c r="Y19" s="139">
        <v>0</v>
      </c>
      <c r="Z19" s="139">
        <v>0</v>
      </c>
      <c r="AA19" s="139">
        <v>0</v>
      </c>
      <c r="AB19" s="139">
        <v>0</v>
      </c>
      <c r="AC19" s="139">
        <v>0</v>
      </c>
      <c r="AD19" s="139">
        <v>0</v>
      </c>
      <c r="AE19" s="139">
        <v>0</v>
      </c>
      <c r="AF19" s="139">
        <v>0</v>
      </c>
      <c r="AG19" s="139">
        <v>0</v>
      </c>
      <c r="AH19" s="139">
        <v>0</v>
      </c>
      <c r="AI19" s="139">
        <v>0</v>
      </c>
      <c r="AJ19" s="139">
        <v>0</v>
      </c>
      <c r="AK19" s="139">
        <v>0</v>
      </c>
      <c r="AL19" s="139">
        <v>0</v>
      </c>
      <c r="AM19" s="139">
        <v>0</v>
      </c>
      <c r="AN19" s="139">
        <v>0</v>
      </c>
      <c r="AO19" s="139">
        <v>0</v>
      </c>
      <c r="AP19" s="139">
        <v>0</v>
      </c>
      <c r="AQ19" s="139">
        <v>0</v>
      </c>
      <c r="AR19" s="139">
        <v>0</v>
      </c>
      <c r="AS19" s="139">
        <v>0</v>
      </c>
      <c r="AT19" s="139">
        <v>0</v>
      </c>
      <c r="AU19" s="139">
        <v>0</v>
      </c>
      <c r="AV19" s="139">
        <v>0</v>
      </c>
      <c r="AW19" s="139">
        <v>0</v>
      </c>
      <c r="AX19" s="139">
        <v>0</v>
      </c>
      <c r="AY19" s="139">
        <v>0</v>
      </c>
      <c r="AZ19" s="139">
        <v>0</v>
      </c>
      <c r="BA19" s="139">
        <v>0</v>
      </c>
      <c r="BB19" s="139">
        <v>0</v>
      </c>
      <c r="BC19" s="139">
        <v>0</v>
      </c>
      <c r="BD19" s="139">
        <v>0</v>
      </c>
    </row>
    <row r="20" spans="2:56" x14ac:dyDescent="0.55000000000000004">
      <c r="B20" s="142" t="s">
        <v>361</v>
      </c>
      <c r="C20" s="139">
        <v>0</v>
      </c>
      <c r="D20" s="139">
        <v>0</v>
      </c>
      <c r="E20" s="139">
        <v>0</v>
      </c>
      <c r="F20" s="139">
        <v>0</v>
      </c>
      <c r="G20" s="139">
        <v>0</v>
      </c>
      <c r="H20" s="139">
        <v>0</v>
      </c>
      <c r="I20" s="139">
        <v>0</v>
      </c>
      <c r="J20" s="139">
        <v>0</v>
      </c>
      <c r="K20" s="139">
        <v>0</v>
      </c>
      <c r="L20" s="139">
        <v>0</v>
      </c>
      <c r="M20" s="139">
        <v>0</v>
      </c>
      <c r="N20" s="139">
        <v>0</v>
      </c>
      <c r="O20" s="139">
        <v>0</v>
      </c>
      <c r="P20" s="139">
        <v>0</v>
      </c>
      <c r="Q20" s="139">
        <v>0</v>
      </c>
      <c r="R20" s="139">
        <v>0</v>
      </c>
      <c r="S20" s="139">
        <v>0</v>
      </c>
      <c r="T20" s="139">
        <v>0</v>
      </c>
      <c r="U20" s="139">
        <v>0</v>
      </c>
      <c r="V20" s="139">
        <v>0</v>
      </c>
      <c r="W20" s="139">
        <v>0</v>
      </c>
      <c r="X20" s="139">
        <v>0</v>
      </c>
      <c r="Y20" s="139">
        <v>0</v>
      </c>
      <c r="Z20" s="139">
        <v>0</v>
      </c>
      <c r="AA20" s="139">
        <v>0</v>
      </c>
      <c r="AB20" s="139">
        <v>0</v>
      </c>
      <c r="AC20" s="139">
        <v>0</v>
      </c>
      <c r="AD20" s="139">
        <v>0</v>
      </c>
      <c r="AE20" s="139">
        <v>0</v>
      </c>
      <c r="AF20" s="139">
        <v>0</v>
      </c>
      <c r="AG20" s="139">
        <v>0</v>
      </c>
      <c r="AH20" s="139">
        <v>0</v>
      </c>
      <c r="AI20" s="139">
        <v>0</v>
      </c>
      <c r="AJ20" s="139">
        <v>0</v>
      </c>
      <c r="AK20" s="139">
        <v>0</v>
      </c>
      <c r="AL20" s="139">
        <v>0</v>
      </c>
      <c r="AM20" s="139">
        <v>0</v>
      </c>
      <c r="AN20" s="139">
        <v>0</v>
      </c>
      <c r="AO20" s="139">
        <v>0</v>
      </c>
      <c r="AP20" s="139">
        <v>0</v>
      </c>
      <c r="AQ20" s="139">
        <v>0</v>
      </c>
      <c r="AR20" s="139">
        <v>0</v>
      </c>
      <c r="AS20" s="139">
        <v>0</v>
      </c>
      <c r="AT20" s="139">
        <v>0</v>
      </c>
      <c r="AU20" s="139">
        <v>0</v>
      </c>
      <c r="AV20" s="139">
        <v>0</v>
      </c>
      <c r="AW20" s="139">
        <v>0</v>
      </c>
      <c r="AX20" s="139">
        <v>0</v>
      </c>
      <c r="AY20" s="139">
        <v>0</v>
      </c>
      <c r="AZ20" s="139">
        <v>0</v>
      </c>
      <c r="BA20" s="139">
        <v>0</v>
      </c>
      <c r="BB20" s="139">
        <v>0</v>
      </c>
      <c r="BC20" s="139">
        <v>0</v>
      </c>
      <c r="BD20" s="139">
        <v>0</v>
      </c>
    </row>
    <row r="21" spans="2:56" x14ac:dyDescent="0.55000000000000004">
      <c r="B21" s="142" t="s">
        <v>362</v>
      </c>
      <c r="C21" s="139">
        <v>0</v>
      </c>
      <c r="D21" s="139">
        <v>0</v>
      </c>
      <c r="E21" s="139">
        <v>0</v>
      </c>
      <c r="F21" s="139">
        <v>0</v>
      </c>
      <c r="G21" s="139">
        <v>0</v>
      </c>
      <c r="H21" s="139">
        <v>0</v>
      </c>
      <c r="I21" s="139">
        <v>0</v>
      </c>
      <c r="J21" s="139">
        <v>0</v>
      </c>
      <c r="K21" s="139">
        <v>0</v>
      </c>
      <c r="L21" s="139">
        <v>0</v>
      </c>
      <c r="M21" s="139">
        <v>0</v>
      </c>
      <c r="N21" s="139">
        <v>0</v>
      </c>
      <c r="O21" s="139">
        <v>0</v>
      </c>
      <c r="P21" s="139">
        <v>0</v>
      </c>
      <c r="Q21" s="139">
        <v>0</v>
      </c>
      <c r="R21" s="139">
        <v>0</v>
      </c>
      <c r="S21" s="139">
        <v>0</v>
      </c>
      <c r="T21" s="139">
        <v>0</v>
      </c>
      <c r="U21" s="139">
        <v>0</v>
      </c>
      <c r="V21" s="139">
        <v>0</v>
      </c>
      <c r="W21" s="139">
        <v>0</v>
      </c>
      <c r="X21" s="139">
        <v>0</v>
      </c>
      <c r="Y21" s="139">
        <v>0</v>
      </c>
      <c r="Z21" s="139">
        <v>0</v>
      </c>
      <c r="AA21" s="139">
        <v>0</v>
      </c>
      <c r="AB21" s="139">
        <v>0</v>
      </c>
      <c r="AC21" s="139">
        <v>0</v>
      </c>
      <c r="AD21" s="139">
        <v>0</v>
      </c>
      <c r="AE21" s="139">
        <v>0</v>
      </c>
      <c r="AF21" s="139">
        <v>0</v>
      </c>
      <c r="AG21" s="139">
        <v>0</v>
      </c>
      <c r="AH21" s="139">
        <v>0</v>
      </c>
      <c r="AI21" s="139">
        <v>0</v>
      </c>
      <c r="AJ21" s="139">
        <v>0</v>
      </c>
      <c r="AK21" s="139">
        <v>0</v>
      </c>
      <c r="AL21" s="139">
        <v>0</v>
      </c>
      <c r="AM21" s="139">
        <v>0</v>
      </c>
      <c r="AN21" s="139">
        <v>0</v>
      </c>
      <c r="AO21" s="139">
        <v>0</v>
      </c>
      <c r="AP21" s="139">
        <v>0</v>
      </c>
      <c r="AQ21" s="139">
        <v>0</v>
      </c>
      <c r="AR21" s="139">
        <v>0</v>
      </c>
      <c r="AS21" s="139">
        <v>0</v>
      </c>
      <c r="AT21" s="139">
        <v>0</v>
      </c>
      <c r="AU21" s="139">
        <v>0</v>
      </c>
      <c r="AV21" s="139">
        <v>0</v>
      </c>
      <c r="AW21" s="139">
        <v>0</v>
      </c>
      <c r="AX21" s="139">
        <v>0</v>
      </c>
      <c r="AY21" s="139">
        <v>0</v>
      </c>
      <c r="AZ21" s="139">
        <v>0</v>
      </c>
      <c r="BA21" s="139">
        <v>0</v>
      </c>
      <c r="BB21" s="139">
        <v>0</v>
      </c>
      <c r="BC21" s="139">
        <v>0</v>
      </c>
      <c r="BD21" s="139">
        <v>0</v>
      </c>
    </row>
    <row r="22" spans="2:56" x14ac:dyDescent="0.55000000000000004">
      <c r="B22" s="141" t="s">
        <v>363</v>
      </c>
      <c r="C22" s="139">
        <v>0</v>
      </c>
      <c r="D22" s="139">
        <v>0</v>
      </c>
      <c r="E22" s="139">
        <v>0</v>
      </c>
      <c r="F22" s="139">
        <v>0</v>
      </c>
      <c r="G22" s="139">
        <v>0</v>
      </c>
      <c r="H22" s="139">
        <v>0</v>
      </c>
      <c r="I22" s="139">
        <v>0</v>
      </c>
      <c r="J22" s="139">
        <v>0</v>
      </c>
      <c r="K22" s="139">
        <v>7.5896405900000001</v>
      </c>
      <c r="L22" s="139">
        <v>0.24642216</v>
      </c>
      <c r="M22" s="139">
        <v>0</v>
      </c>
      <c r="N22" s="139">
        <v>0</v>
      </c>
      <c r="O22" s="139">
        <v>23.066203680000001</v>
      </c>
      <c r="P22" s="139">
        <v>0.06</v>
      </c>
      <c r="Q22" s="139">
        <v>0.33923496999999997</v>
      </c>
      <c r="R22" s="139">
        <v>0</v>
      </c>
      <c r="S22" s="139">
        <v>0</v>
      </c>
      <c r="T22" s="139">
        <v>0</v>
      </c>
      <c r="U22" s="139">
        <v>27.576446839999999</v>
      </c>
      <c r="V22" s="139">
        <v>0</v>
      </c>
      <c r="W22" s="139">
        <v>0</v>
      </c>
      <c r="X22" s="139">
        <v>0</v>
      </c>
      <c r="Y22" s="139">
        <v>0</v>
      </c>
      <c r="Z22" s="139">
        <v>1.2999999999999999E-5</v>
      </c>
      <c r="AA22" s="139">
        <v>0</v>
      </c>
      <c r="AB22" s="139">
        <v>0</v>
      </c>
      <c r="AC22" s="139">
        <v>0</v>
      </c>
      <c r="AD22" s="139">
        <v>0</v>
      </c>
      <c r="AE22" s="139">
        <v>0</v>
      </c>
      <c r="AF22" s="139">
        <v>0</v>
      </c>
      <c r="AG22" s="139">
        <v>0</v>
      </c>
      <c r="AH22" s="139">
        <v>0</v>
      </c>
      <c r="AI22" s="139">
        <v>0</v>
      </c>
      <c r="AJ22" s="139">
        <v>0</v>
      </c>
      <c r="AK22" s="139">
        <v>0</v>
      </c>
      <c r="AL22" s="139">
        <v>0</v>
      </c>
      <c r="AM22" s="139">
        <v>0</v>
      </c>
      <c r="AN22" s="139">
        <v>0</v>
      </c>
      <c r="AO22" s="139">
        <v>0</v>
      </c>
      <c r="AP22" s="139">
        <v>0</v>
      </c>
      <c r="AQ22" s="139">
        <v>0</v>
      </c>
      <c r="AR22" s="139">
        <v>0</v>
      </c>
      <c r="AS22" s="139">
        <v>0</v>
      </c>
      <c r="AT22" s="139">
        <v>0.28987599999999997</v>
      </c>
      <c r="AU22" s="139">
        <v>0</v>
      </c>
      <c r="AV22" s="139">
        <v>0</v>
      </c>
      <c r="AW22" s="139">
        <v>0</v>
      </c>
      <c r="AX22" s="139">
        <v>0</v>
      </c>
      <c r="AY22" s="139">
        <v>0</v>
      </c>
      <c r="AZ22" s="139">
        <v>0</v>
      </c>
      <c r="BA22" s="139">
        <v>0</v>
      </c>
      <c r="BB22" s="139">
        <v>0.12148</v>
      </c>
      <c r="BC22" s="139">
        <v>0.71720000000000006</v>
      </c>
      <c r="BD22" s="139">
        <v>0</v>
      </c>
    </row>
    <row r="23" spans="2:56" x14ac:dyDescent="0.55000000000000004">
      <c r="B23" s="141" t="s">
        <v>364</v>
      </c>
      <c r="C23" s="139">
        <v>0</v>
      </c>
      <c r="D23" s="139">
        <v>0</v>
      </c>
      <c r="E23" s="139">
        <v>0</v>
      </c>
      <c r="F23" s="139">
        <v>0</v>
      </c>
      <c r="G23" s="139">
        <v>64.656506451875231</v>
      </c>
      <c r="H23" s="139">
        <v>0</v>
      </c>
      <c r="I23" s="139">
        <v>11.296328405540057</v>
      </c>
      <c r="J23" s="139">
        <v>0</v>
      </c>
      <c r="K23" s="139">
        <v>27.764713220000008</v>
      </c>
      <c r="L23" s="139">
        <v>0</v>
      </c>
      <c r="M23" s="139">
        <v>0</v>
      </c>
      <c r="N23" s="139">
        <v>0</v>
      </c>
      <c r="O23" s="139">
        <v>8.8575108399999998</v>
      </c>
      <c r="P23" s="139">
        <v>7.9474893799999995</v>
      </c>
      <c r="Q23" s="139">
        <v>0</v>
      </c>
      <c r="R23" s="139">
        <v>0</v>
      </c>
      <c r="S23" s="139">
        <v>-13.548731053383825</v>
      </c>
      <c r="T23" s="139">
        <v>0</v>
      </c>
      <c r="U23" s="139">
        <v>0</v>
      </c>
      <c r="V23" s="139">
        <v>0.21126124620020392</v>
      </c>
      <c r="W23" s="139">
        <v>32.248071903749711</v>
      </c>
      <c r="X23" s="139">
        <v>0.26600000000000001</v>
      </c>
      <c r="Y23" s="139">
        <v>0</v>
      </c>
      <c r="Z23" s="139">
        <v>0</v>
      </c>
      <c r="AA23" s="139">
        <v>127.98916704449974</v>
      </c>
      <c r="AB23" s="139">
        <v>0</v>
      </c>
      <c r="AC23" s="139">
        <v>0</v>
      </c>
      <c r="AD23" s="139">
        <v>0</v>
      </c>
      <c r="AE23" s="139">
        <v>0</v>
      </c>
      <c r="AF23" s="139">
        <v>-3.977325719999993</v>
      </c>
      <c r="AG23" s="139">
        <v>0</v>
      </c>
      <c r="AH23" s="139">
        <v>0</v>
      </c>
      <c r="AI23" s="139">
        <v>0</v>
      </c>
      <c r="AJ23" s="139">
        <v>0</v>
      </c>
      <c r="AK23" s="139">
        <v>0</v>
      </c>
      <c r="AL23" s="139">
        <v>0</v>
      </c>
      <c r="AM23" s="139">
        <v>0</v>
      </c>
      <c r="AN23" s="139">
        <v>0</v>
      </c>
      <c r="AO23" s="139">
        <v>0</v>
      </c>
      <c r="AP23" s="139">
        <v>2.3109192637004337</v>
      </c>
      <c r="AQ23" s="139">
        <v>0</v>
      </c>
      <c r="AR23" s="139">
        <v>0</v>
      </c>
      <c r="AS23" s="139">
        <v>0</v>
      </c>
      <c r="AT23" s="139">
        <v>16.603711260000001</v>
      </c>
      <c r="AU23" s="139">
        <v>0</v>
      </c>
      <c r="AV23" s="139">
        <v>0</v>
      </c>
      <c r="AW23" s="139">
        <v>0</v>
      </c>
      <c r="AX23" s="139">
        <v>0</v>
      </c>
      <c r="AY23" s="139">
        <v>44.443650049999995</v>
      </c>
      <c r="AZ23" s="139">
        <v>0</v>
      </c>
      <c r="BA23" s="139">
        <v>0</v>
      </c>
      <c r="BB23" s="139">
        <v>0</v>
      </c>
      <c r="BC23" s="139">
        <v>17.861878449700598</v>
      </c>
      <c r="BD23" s="139">
        <v>0</v>
      </c>
    </row>
    <row r="24" spans="2:56" x14ac:dyDescent="0.55000000000000004">
      <c r="B24" s="142" t="s">
        <v>199</v>
      </c>
      <c r="C24" s="139">
        <v>0</v>
      </c>
      <c r="D24" s="139">
        <v>0</v>
      </c>
      <c r="E24" s="139">
        <v>0</v>
      </c>
      <c r="F24" s="139">
        <v>0</v>
      </c>
      <c r="G24" s="139">
        <v>64.656506451875231</v>
      </c>
      <c r="H24" s="139">
        <v>0</v>
      </c>
      <c r="I24" s="139">
        <v>11.296328405540057</v>
      </c>
      <c r="J24" s="139">
        <v>0</v>
      </c>
      <c r="K24" s="139">
        <v>27.764713220000008</v>
      </c>
      <c r="L24" s="139">
        <v>0</v>
      </c>
      <c r="M24" s="139">
        <v>0</v>
      </c>
      <c r="N24" s="139">
        <v>0</v>
      </c>
      <c r="O24" s="139">
        <v>8.8575108399999998</v>
      </c>
      <c r="P24" s="139">
        <v>0</v>
      </c>
      <c r="Q24" s="139">
        <v>0</v>
      </c>
      <c r="R24" s="139">
        <v>0</v>
      </c>
      <c r="S24" s="139">
        <v>-13.548731053383825</v>
      </c>
      <c r="T24" s="139">
        <v>0</v>
      </c>
      <c r="U24" s="139">
        <v>0</v>
      </c>
      <c r="V24" s="139">
        <v>0.21126124620020392</v>
      </c>
      <c r="W24" s="139">
        <v>32.248071903749711</v>
      </c>
      <c r="X24" s="139">
        <v>0.26600000000000001</v>
      </c>
      <c r="Y24" s="139">
        <v>0</v>
      </c>
      <c r="Z24" s="139">
        <v>0</v>
      </c>
      <c r="AA24" s="139">
        <v>127.98916704449974</v>
      </c>
      <c r="AB24" s="139">
        <v>0</v>
      </c>
      <c r="AC24" s="139">
        <v>0</v>
      </c>
      <c r="AD24" s="139">
        <v>0</v>
      </c>
      <c r="AE24" s="139">
        <v>0</v>
      </c>
      <c r="AF24" s="139">
        <v>-3.977325719999993</v>
      </c>
      <c r="AG24" s="139">
        <v>0</v>
      </c>
      <c r="AH24" s="139">
        <v>0</v>
      </c>
      <c r="AI24" s="139">
        <v>0</v>
      </c>
      <c r="AJ24" s="139">
        <v>0</v>
      </c>
      <c r="AK24" s="139">
        <v>0</v>
      </c>
      <c r="AL24" s="139">
        <v>0</v>
      </c>
      <c r="AM24" s="139">
        <v>0</v>
      </c>
      <c r="AN24" s="139">
        <v>0</v>
      </c>
      <c r="AO24" s="139">
        <v>0</v>
      </c>
      <c r="AP24" s="139">
        <v>2.3109192637004337</v>
      </c>
      <c r="AQ24" s="139">
        <v>0</v>
      </c>
      <c r="AR24" s="139">
        <v>0</v>
      </c>
      <c r="AS24" s="139">
        <v>0</v>
      </c>
      <c r="AT24" s="139">
        <v>16.603711260000001</v>
      </c>
      <c r="AU24" s="139">
        <v>0</v>
      </c>
      <c r="AV24" s="139">
        <v>0</v>
      </c>
      <c r="AW24" s="139">
        <v>0</v>
      </c>
      <c r="AX24" s="139">
        <v>0</v>
      </c>
      <c r="AY24" s="139">
        <v>44.443650049999995</v>
      </c>
      <c r="AZ24" s="139">
        <v>0</v>
      </c>
      <c r="BA24" s="139">
        <v>0</v>
      </c>
      <c r="BB24" s="139">
        <v>0</v>
      </c>
      <c r="BC24" s="139">
        <v>17.861878449700598</v>
      </c>
      <c r="BD24" s="139">
        <v>0</v>
      </c>
    </row>
    <row r="25" spans="2:56" x14ac:dyDescent="0.55000000000000004">
      <c r="B25" s="143" t="s">
        <v>200</v>
      </c>
      <c r="C25" s="139">
        <v>0</v>
      </c>
      <c r="D25" s="139">
        <v>0</v>
      </c>
      <c r="E25" s="139">
        <v>0</v>
      </c>
      <c r="F25" s="139">
        <v>0</v>
      </c>
      <c r="G25" s="139">
        <v>27.754116041875026</v>
      </c>
      <c r="H25" s="139">
        <v>0</v>
      </c>
      <c r="I25" s="139">
        <v>11.204299179290055</v>
      </c>
      <c r="J25" s="139">
        <v>0</v>
      </c>
      <c r="K25" s="139">
        <v>0</v>
      </c>
      <c r="L25" s="139">
        <v>0</v>
      </c>
      <c r="M25" s="139">
        <v>0</v>
      </c>
      <c r="N25" s="139">
        <v>0</v>
      </c>
      <c r="O25" s="139">
        <v>8.8575108399999998</v>
      </c>
      <c r="P25" s="139">
        <v>0</v>
      </c>
      <c r="Q25" s="139">
        <v>0</v>
      </c>
      <c r="R25" s="139">
        <v>0</v>
      </c>
      <c r="S25" s="139">
        <v>-4.2404432608821381</v>
      </c>
      <c r="T25" s="139">
        <v>0</v>
      </c>
      <c r="U25" s="139">
        <v>0</v>
      </c>
      <c r="V25" s="139">
        <v>0.21126124620020392</v>
      </c>
      <c r="W25" s="139">
        <v>0</v>
      </c>
      <c r="X25" s="139">
        <v>0.49399999999999999</v>
      </c>
      <c r="Y25" s="139">
        <v>0</v>
      </c>
      <c r="Z25" s="139">
        <v>0</v>
      </c>
      <c r="AA25" s="139">
        <v>30.42245419075001</v>
      </c>
      <c r="AB25" s="139">
        <v>0</v>
      </c>
      <c r="AC25" s="139">
        <v>0</v>
      </c>
      <c r="AD25" s="139">
        <v>0</v>
      </c>
      <c r="AE25" s="139">
        <v>0</v>
      </c>
      <c r="AF25" s="139">
        <v>-0.18854902999999934</v>
      </c>
      <c r="AG25" s="139">
        <v>0</v>
      </c>
      <c r="AH25" s="139">
        <v>0</v>
      </c>
      <c r="AI25" s="139">
        <v>0</v>
      </c>
      <c r="AJ25" s="139">
        <v>0</v>
      </c>
      <c r="AK25" s="139">
        <v>0</v>
      </c>
      <c r="AL25" s="139">
        <v>0</v>
      </c>
      <c r="AM25" s="139">
        <v>0</v>
      </c>
      <c r="AN25" s="139">
        <v>0</v>
      </c>
      <c r="AO25" s="139">
        <v>0</v>
      </c>
      <c r="AP25" s="139">
        <v>-4.2818885838000247</v>
      </c>
      <c r="AQ25" s="139">
        <v>0</v>
      </c>
      <c r="AR25" s="139">
        <v>0</v>
      </c>
      <c r="AS25" s="139">
        <v>0</v>
      </c>
      <c r="AT25" s="139">
        <v>4.0891466699999999</v>
      </c>
      <c r="AU25" s="139">
        <v>0</v>
      </c>
      <c r="AV25" s="139">
        <v>0</v>
      </c>
      <c r="AW25" s="139">
        <v>0</v>
      </c>
      <c r="AX25" s="139">
        <v>0</v>
      </c>
      <c r="AY25" s="139">
        <v>44.443650049999995</v>
      </c>
      <c r="AZ25" s="139">
        <v>0</v>
      </c>
      <c r="BA25" s="139">
        <v>0</v>
      </c>
      <c r="BB25" s="139">
        <v>0</v>
      </c>
      <c r="BC25" s="139">
        <v>-22.323500887799369</v>
      </c>
      <c r="BD25" s="139">
        <v>0</v>
      </c>
    </row>
    <row r="26" spans="2:56" x14ac:dyDescent="0.55000000000000004">
      <c r="B26" s="142" t="s">
        <v>201</v>
      </c>
      <c r="C26" s="139">
        <v>0</v>
      </c>
      <c r="D26" s="139">
        <v>0</v>
      </c>
      <c r="E26" s="139">
        <v>0</v>
      </c>
      <c r="F26" s="139">
        <v>0</v>
      </c>
      <c r="G26" s="139">
        <v>0</v>
      </c>
      <c r="H26" s="139">
        <v>0</v>
      </c>
      <c r="I26" s="139">
        <v>11.204299179290055</v>
      </c>
      <c r="J26" s="139">
        <v>0</v>
      </c>
      <c r="K26" s="139">
        <v>0</v>
      </c>
      <c r="L26" s="139">
        <v>0</v>
      </c>
      <c r="M26" s="139">
        <v>0</v>
      </c>
      <c r="N26" s="139">
        <v>0</v>
      </c>
      <c r="O26" s="139">
        <v>8.8575108399999998</v>
      </c>
      <c r="P26" s="139">
        <v>0</v>
      </c>
      <c r="Q26" s="139">
        <v>0</v>
      </c>
      <c r="R26" s="139">
        <v>0</v>
      </c>
      <c r="S26" s="139">
        <v>12.54657355711937</v>
      </c>
      <c r="T26" s="139">
        <v>0</v>
      </c>
      <c r="U26" s="139">
        <v>0</v>
      </c>
      <c r="V26" s="139">
        <v>0</v>
      </c>
      <c r="W26" s="139">
        <v>0</v>
      </c>
      <c r="X26" s="139">
        <v>-0.33400000000000002</v>
      </c>
      <c r="Y26" s="139">
        <v>0</v>
      </c>
      <c r="Z26" s="139">
        <v>0</v>
      </c>
      <c r="AA26" s="139">
        <v>0</v>
      </c>
      <c r="AB26" s="139">
        <v>0</v>
      </c>
      <c r="AC26" s="139">
        <v>0</v>
      </c>
      <c r="AD26" s="139">
        <v>0</v>
      </c>
      <c r="AE26" s="139">
        <v>0</v>
      </c>
      <c r="AF26" s="139">
        <v>-0.35809500999999977</v>
      </c>
      <c r="AG26" s="139">
        <v>0</v>
      </c>
      <c r="AH26" s="139">
        <v>0</v>
      </c>
      <c r="AI26" s="139">
        <v>0</v>
      </c>
      <c r="AJ26" s="139">
        <v>0</v>
      </c>
      <c r="AK26" s="139">
        <v>0</v>
      </c>
      <c r="AL26" s="139">
        <v>0</v>
      </c>
      <c r="AM26" s="139">
        <v>0</v>
      </c>
      <c r="AN26" s="139">
        <v>0</v>
      </c>
      <c r="AO26" s="139">
        <v>0</v>
      </c>
      <c r="AP26" s="139">
        <v>-6.5682228007999957</v>
      </c>
      <c r="AQ26" s="139">
        <v>0</v>
      </c>
      <c r="AR26" s="139">
        <v>0</v>
      </c>
      <c r="AS26" s="139">
        <v>0</v>
      </c>
      <c r="AT26" s="139">
        <v>0</v>
      </c>
      <c r="AU26" s="139">
        <v>0</v>
      </c>
      <c r="AV26" s="139">
        <v>0</v>
      </c>
      <c r="AW26" s="139">
        <v>0</v>
      </c>
      <c r="AX26" s="139">
        <v>0</v>
      </c>
      <c r="AY26" s="139">
        <v>44.443650049999995</v>
      </c>
      <c r="AZ26" s="139">
        <v>0</v>
      </c>
      <c r="BA26" s="139">
        <v>0</v>
      </c>
      <c r="BB26" s="139">
        <v>0</v>
      </c>
      <c r="BC26" s="139">
        <v>-4.9283222487993248</v>
      </c>
      <c r="BD26" s="139">
        <v>0</v>
      </c>
    </row>
    <row r="27" spans="2:56" x14ac:dyDescent="0.55000000000000004">
      <c r="B27" s="142" t="s">
        <v>202</v>
      </c>
      <c r="C27" s="192">
        <v>0</v>
      </c>
      <c r="D27" s="139">
        <v>0</v>
      </c>
      <c r="E27" s="139">
        <v>0</v>
      </c>
      <c r="F27" s="139">
        <v>0</v>
      </c>
      <c r="G27" s="139">
        <v>27.754116041875026</v>
      </c>
      <c r="H27" s="139">
        <v>0</v>
      </c>
      <c r="I27" s="139">
        <v>0</v>
      </c>
      <c r="J27" s="139">
        <v>0</v>
      </c>
      <c r="K27" s="139">
        <v>0</v>
      </c>
      <c r="L27" s="139">
        <v>0</v>
      </c>
      <c r="M27" s="139">
        <v>0</v>
      </c>
      <c r="N27" s="139">
        <v>0</v>
      </c>
      <c r="O27" s="139">
        <v>0</v>
      </c>
      <c r="P27" s="139">
        <v>0</v>
      </c>
      <c r="Q27" s="139">
        <v>0</v>
      </c>
      <c r="R27" s="139">
        <v>0</v>
      </c>
      <c r="S27" s="139">
        <v>-16.787016818001508</v>
      </c>
      <c r="T27" s="139">
        <v>0</v>
      </c>
      <c r="U27" s="139">
        <v>0</v>
      </c>
      <c r="V27" s="139">
        <v>0.21126124620020392</v>
      </c>
      <c r="W27" s="139">
        <v>0</v>
      </c>
      <c r="X27" s="139">
        <v>0.82799999999999996</v>
      </c>
      <c r="Y27" s="139">
        <v>0</v>
      </c>
      <c r="Z27" s="139">
        <v>0</v>
      </c>
      <c r="AA27" s="139">
        <v>30.42245419075001</v>
      </c>
      <c r="AB27" s="139">
        <v>0</v>
      </c>
      <c r="AC27" s="139">
        <v>0</v>
      </c>
      <c r="AD27" s="139">
        <v>0</v>
      </c>
      <c r="AE27" s="139">
        <v>0</v>
      </c>
      <c r="AF27" s="139">
        <v>0.16954598000000043</v>
      </c>
      <c r="AG27" s="139">
        <v>0</v>
      </c>
      <c r="AH27" s="139">
        <v>0</v>
      </c>
      <c r="AI27" s="139">
        <v>0</v>
      </c>
      <c r="AJ27" s="139">
        <v>0</v>
      </c>
      <c r="AK27" s="139">
        <v>0</v>
      </c>
      <c r="AL27" s="139">
        <v>0</v>
      </c>
      <c r="AM27" s="139">
        <v>0</v>
      </c>
      <c r="AN27" s="139">
        <v>0</v>
      </c>
      <c r="AO27" s="139">
        <v>0</v>
      </c>
      <c r="AP27" s="139">
        <v>2.2863342169999705</v>
      </c>
      <c r="AQ27" s="139">
        <v>0</v>
      </c>
      <c r="AR27" s="139">
        <v>0</v>
      </c>
      <c r="AS27" s="139">
        <v>0</v>
      </c>
      <c r="AT27" s="139">
        <v>4.0891466699999999</v>
      </c>
      <c r="AU27" s="139">
        <v>0</v>
      </c>
      <c r="AV27" s="139">
        <v>0</v>
      </c>
      <c r="AW27" s="139">
        <v>0</v>
      </c>
      <c r="AX27" s="139">
        <v>0</v>
      </c>
      <c r="AY27" s="139">
        <v>0</v>
      </c>
      <c r="AZ27" s="139">
        <v>0</v>
      </c>
      <c r="BA27" s="139">
        <v>0</v>
      </c>
      <c r="BB27" s="139">
        <v>0</v>
      </c>
      <c r="BC27" s="139">
        <v>-17.39517863900004</v>
      </c>
      <c r="BD27" s="139">
        <v>0</v>
      </c>
    </row>
    <row r="28" spans="2:56" x14ac:dyDescent="0.55000000000000004">
      <c r="B28" s="143" t="s">
        <v>203</v>
      </c>
      <c r="C28" s="139">
        <v>0</v>
      </c>
      <c r="D28" s="139">
        <v>0</v>
      </c>
      <c r="E28" s="139">
        <v>0</v>
      </c>
      <c r="F28" s="139">
        <v>0</v>
      </c>
      <c r="G28" s="139">
        <v>36.902390410000208</v>
      </c>
      <c r="H28" s="139">
        <v>0</v>
      </c>
      <c r="I28" s="139">
        <v>9.2029226250001345E-2</v>
      </c>
      <c r="J28" s="139">
        <v>0</v>
      </c>
      <c r="K28" s="139">
        <v>27.764713220000008</v>
      </c>
      <c r="L28" s="139">
        <v>0</v>
      </c>
      <c r="M28" s="139">
        <v>0</v>
      </c>
      <c r="N28" s="139">
        <v>0</v>
      </c>
      <c r="O28" s="139">
        <v>0</v>
      </c>
      <c r="P28" s="139">
        <v>0</v>
      </c>
      <c r="Q28" s="139">
        <v>0</v>
      </c>
      <c r="R28" s="139">
        <v>0</v>
      </c>
      <c r="S28" s="139">
        <v>-9.3082877925016874</v>
      </c>
      <c r="T28" s="139">
        <v>0</v>
      </c>
      <c r="U28" s="139">
        <v>0</v>
      </c>
      <c r="V28" s="139">
        <v>0</v>
      </c>
      <c r="W28" s="139">
        <v>32.248071903749711</v>
      </c>
      <c r="X28" s="139">
        <v>-0.22800000000000001</v>
      </c>
      <c r="Y28" s="139">
        <v>0</v>
      </c>
      <c r="Z28" s="139">
        <v>0</v>
      </c>
      <c r="AA28" s="139">
        <v>97.566712853749735</v>
      </c>
      <c r="AB28" s="139">
        <v>0</v>
      </c>
      <c r="AC28" s="139">
        <v>0</v>
      </c>
      <c r="AD28" s="139">
        <v>0</v>
      </c>
      <c r="AE28" s="139">
        <v>0</v>
      </c>
      <c r="AF28" s="139">
        <v>-3.788776689999994</v>
      </c>
      <c r="AG28" s="139">
        <v>0</v>
      </c>
      <c r="AH28" s="139">
        <v>0</v>
      </c>
      <c r="AI28" s="139">
        <v>0</v>
      </c>
      <c r="AJ28" s="139">
        <v>0</v>
      </c>
      <c r="AK28" s="139">
        <v>0</v>
      </c>
      <c r="AL28" s="139">
        <v>0</v>
      </c>
      <c r="AM28" s="139">
        <v>0</v>
      </c>
      <c r="AN28" s="139">
        <v>0</v>
      </c>
      <c r="AO28" s="139">
        <v>0</v>
      </c>
      <c r="AP28" s="139">
        <v>6.5928078475004588</v>
      </c>
      <c r="AQ28" s="139">
        <v>0</v>
      </c>
      <c r="AR28" s="139">
        <v>0</v>
      </c>
      <c r="AS28" s="139">
        <v>0</v>
      </c>
      <c r="AT28" s="139">
        <v>12.514564589999999</v>
      </c>
      <c r="AU28" s="139">
        <v>0</v>
      </c>
      <c r="AV28" s="139">
        <v>0</v>
      </c>
      <c r="AW28" s="139">
        <v>0</v>
      </c>
      <c r="AX28" s="139">
        <v>0</v>
      </c>
      <c r="AY28" s="139">
        <v>0</v>
      </c>
      <c r="AZ28" s="139">
        <v>0</v>
      </c>
      <c r="BA28" s="139">
        <v>0</v>
      </c>
      <c r="BB28" s="139">
        <v>0</v>
      </c>
      <c r="BC28" s="139">
        <v>40.185379337499967</v>
      </c>
      <c r="BD28" s="139">
        <v>0</v>
      </c>
    </row>
    <row r="29" spans="2:56" x14ac:dyDescent="0.55000000000000004">
      <c r="B29" s="143" t="s">
        <v>204</v>
      </c>
      <c r="C29" s="139">
        <v>0</v>
      </c>
      <c r="D29" s="139">
        <v>0</v>
      </c>
      <c r="E29" s="139">
        <v>0</v>
      </c>
      <c r="F29" s="139">
        <v>0</v>
      </c>
      <c r="G29" s="139">
        <v>0</v>
      </c>
      <c r="H29" s="139">
        <v>0</v>
      </c>
      <c r="I29" s="139">
        <v>0</v>
      </c>
      <c r="J29" s="139">
        <v>0</v>
      </c>
      <c r="K29" s="139">
        <v>0</v>
      </c>
      <c r="L29" s="139">
        <v>0</v>
      </c>
      <c r="M29" s="139">
        <v>0</v>
      </c>
      <c r="N29" s="139">
        <v>0</v>
      </c>
      <c r="O29" s="139">
        <v>0</v>
      </c>
      <c r="P29" s="139">
        <v>0</v>
      </c>
      <c r="Q29" s="139">
        <v>0</v>
      </c>
      <c r="R29" s="139">
        <v>0</v>
      </c>
      <c r="S29" s="139">
        <v>0</v>
      </c>
      <c r="T29" s="139">
        <v>0</v>
      </c>
      <c r="U29" s="139">
        <v>0</v>
      </c>
      <c r="V29" s="139">
        <v>0</v>
      </c>
      <c r="W29" s="139">
        <v>0</v>
      </c>
      <c r="X29" s="139">
        <v>0</v>
      </c>
      <c r="Y29" s="139">
        <v>0</v>
      </c>
      <c r="Z29" s="139">
        <v>0</v>
      </c>
      <c r="AA29" s="139">
        <v>0</v>
      </c>
      <c r="AB29" s="139">
        <v>0</v>
      </c>
      <c r="AC29" s="139">
        <v>0</v>
      </c>
      <c r="AD29" s="139">
        <v>0</v>
      </c>
      <c r="AE29" s="139">
        <v>0</v>
      </c>
      <c r="AF29" s="139">
        <v>0</v>
      </c>
      <c r="AG29" s="139">
        <v>0</v>
      </c>
      <c r="AH29" s="139">
        <v>0</v>
      </c>
      <c r="AI29" s="139">
        <v>0</v>
      </c>
      <c r="AJ29" s="139">
        <v>0</v>
      </c>
      <c r="AK29" s="139">
        <v>0</v>
      </c>
      <c r="AL29" s="139">
        <v>0</v>
      </c>
      <c r="AM29" s="139">
        <v>0</v>
      </c>
      <c r="AN29" s="139">
        <v>0</v>
      </c>
      <c r="AO29" s="139">
        <v>0</v>
      </c>
      <c r="AP29" s="139">
        <v>0</v>
      </c>
      <c r="AQ29" s="139">
        <v>0</v>
      </c>
      <c r="AR29" s="139">
        <v>0</v>
      </c>
      <c r="AS29" s="139">
        <v>0</v>
      </c>
      <c r="AT29" s="139">
        <v>0</v>
      </c>
      <c r="AU29" s="139">
        <v>0</v>
      </c>
      <c r="AV29" s="139">
        <v>0</v>
      </c>
      <c r="AW29" s="139">
        <v>0</v>
      </c>
      <c r="AX29" s="139">
        <v>0</v>
      </c>
      <c r="AY29" s="139">
        <v>0</v>
      </c>
      <c r="AZ29" s="139">
        <v>0</v>
      </c>
      <c r="BA29" s="139">
        <v>0</v>
      </c>
      <c r="BB29" s="139">
        <v>0</v>
      </c>
      <c r="BC29" s="139">
        <v>0</v>
      </c>
      <c r="BD29" s="139">
        <v>0</v>
      </c>
    </row>
    <row r="30" spans="2:56" x14ac:dyDescent="0.55000000000000004">
      <c r="B30" s="142" t="s">
        <v>205</v>
      </c>
      <c r="C30" s="139">
        <v>0</v>
      </c>
      <c r="D30" s="139">
        <v>0</v>
      </c>
      <c r="E30" s="139">
        <v>0</v>
      </c>
      <c r="F30" s="139">
        <v>0</v>
      </c>
      <c r="G30" s="139">
        <v>0</v>
      </c>
      <c r="H30" s="139">
        <v>0</v>
      </c>
      <c r="I30" s="139">
        <v>0</v>
      </c>
      <c r="J30" s="139">
        <v>0</v>
      </c>
      <c r="K30" s="139">
        <v>0</v>
      </c>
      <c r="L30" s="139">
        <v>0</v>
      </c>
      <c r="M30" s="139">
        <v>0</v>
      </c>
      <c r="N30" s="139">
        <v>0</v>
      </c>
      <c r="O30" s="139">
        <v>0</v>
      </c>
      <c r="P30" s="139">
        <v>7.9474893799999995</v>
      </c>
      <c r="Q30" s="139">
        <v>0</v>
      </c>
      <c r="R30" s="139">
        <v>0</v>
      </c>
      <c r="S30" s="139">
        <v>0</v>
      </c>
      <c r="T30" s="139">
        <v>0</v>
      </c>
      <c r="U30" s="139">
        <v>0</v>
      </c>
      <c r="V30" s="139">
        <v>0</v>
      </c>
      <c r="W30" s="139">
        <v>0</v>
      </c>
      <c r="X30" s="139">
        <v>0</v>
      </c>
      <c r="Y30" s="139">
        <v>0</v>
      </c>
      <c r="Z30" s="139">
        <v>0</v>
      </c>
      <c r="AA30" s="139">
        <v>0</v>
      </c>
      <c r="AB30" s="139">
        <v>0</v>
      </c>
      <c r="AC30" s="139">
        <v>0</v>
      </c>
      <c r="AD30" s="139">
        <v>0</v>
      </c>
      <c r="AE30" s="139">
        <v>0</v>
      </c>
      <c r="AF30" s="139">
        <v>0</v>
      </c>
      <c r="AG30" s="139">
        <v>0</v>
      </c>
      <c r="AH30" s="139">
        <v>0</v>
      </c>
      <c r="AI30" s="139">
        <v>0</v>
      </c>
      <c r="AJ30" s="139">
        <v>0</v>
      </c>
      <c r="AK30" s="139">
        <v>0</v>
      </c>
      <c r="AL30" s="139">
        <v>0</v>
      </c>
      <c r="AM30" s="139">
        <v>0</v>
      </c>
      <c r="AN30" s="139">
        <v>0</v>
      </c>
      <c r="AO30" s="139">
        <v>0</v>
      </c>
      <c r="AP30" s="139">
        <v>0</v>
      </c>
      <c r="AQ30" s="139">
        <v>0</v>
      </c>
      <c r="AR30" s="139">
        <v>0</v>
      </c>
      <c r="AS30" s="139">
        <v>0</v>
      </c>
      <c r="AT30" s="139">
        <v>0</v>
      </c>
      <c r="AU30" s="139">
        <v>0</v>
      </c>
      <c r="AV30" s="139">
        <v>0</v>
      </c>
      <c r="AW30" s="139">
        <v>0</v>
      </c>
      <c r="AX30" s="139">
        <v>0</v>
      </c>
      <c r="AY30" s="139">
        <v>0</v>
      </c>
      <c r="AZ30" s="139">
        <v>0</v>
      </c>
      <c r="BA30" s="139">
        <v>0</v>
      </c>
      <c r="BB30" s="139">
        <v>0</v>
      </c>
      <c r="BC30" s="139">
        <v>0</v>
      </c>
      <c r="BD30" s="139">
        <v>0</v>
      </c>
    </row>
    <row r="31" spans="2:56" x14ac:dyDescent="0.55000000000000004">
      <c r="B31" s="142" t="s">
        <v>206</v>
      </c>
      <c r="C31" s="139">
        <v>0</v>
      </c>
      <c r="D31" s="139">
        <v>0</v>
      </c>
      <c r="E31" s="139">
        <v>0</v>
      </c>
      <c r="F31" s="139">
        <v>0</v>
      </c>
      <c r="G31" s="139">
        <v>0</v>
      </c>
      <c r="H31" s="139">
        <v>0</v>
      </c>
      <c r="I31" s="139">
        <v>0</v>
      </c>
      <c r="J31" s="139">
        <v>0</v>
      </c>
      <c r="K31" s="139">
        <v>0</v>
      </c>
      <c r="L31" s="139">
        <v>0</v>
      </c>
      <c r="M31" s="139">
        <v>0</v>
      </c>
      <c r="N31" s="139">
        <v>0</v>
      </c>
      <c r="O31" s="139">
        <v>0</v>
      </c>
      <c r="P31" s="139">
        <v>0</v>
      </c>
      <c r="Q31" s="139">
        <v>0</v>
      </c>
      <c r="R31" s="139">
        <v>0</v>
      </c>
      <c r="S31" s="139">
        <v>0</v>
      </c>
      <c r="T31" s="139">
        <v>0</v>
      </c>
      <c r="U31" s="139">
        <v>0</v>
      </c>
      <c r="V31" s="139">
        <v>0</v>
      </c>
      <c r="W31" s="139">
        <v>0</v>
      </c>
      <c r="X31" s="139">
        <v>0</v>
      </c>
      <c r="Y31" s="139">
        <v>0</v>
      </c>
      <c r="Z31" s="139">
        <v>0</v>
      </c>
      <c r="AA31" s="139">
        <v>0</v>
      </c>
      <c r="AB31" s="139">
        <v>0</v>
      </c>
      <c r="AC31" s="139">
        <v>0</v>
      </c>
      <c r="AD31" s="139">
        <v>0</v>
      </c>
      <c r="AE31" s="139">
        <v>0</v>
      </c>
      <c r="AF31" s="139">
        <v>0</v>
      </c>
      <c r="AG31" s="139">
        <v>0</v>
      </c>
      <c r="AH31" s="139">
        <v>0</v>
      </c>
      <c r="AI31" s="139">
        <v>0</v>
      </c>
      <c r="AJ31" s="139">
        <v>0</v>
      </c>
      <c r="AK31" s="139">
        <v>0</v>
      </c>
      <c r="AL31" s="139">
        <v>0</v>
      </c>
      <c r="AM31" s="139">
        <v>0</v>
      </c>
      <c r="AN31" s="139">
        <v>0</v>
      </c>
      <c r="AO31" s="139">
        <v>0</v>
      </c>
      <c r="AP31" s="139">
        <v>0</v>
      </c>
      <c r="AQ31" s="139">
        <v>0</v>
      </c>
      <c r="AR31" s="139">
        <v>0</v>
      </c>
      <c r="AS31" s="139">
        <v>0</v>
      </c>
      <c r="AT31" s="139">
        <v>0</v>
      </c>
      <c r="AU31" s="139">
        <v>0</v>
      </c>
      <c r="AV31" s="139">
        <v>0</v>
      </c>
      <c r="AW31" s="139">
        <v>0</v>
      </c>
      <c r="AX31" s="139">
        <v>0</v>
      </c>
      <c r="AY31" s="139">
        <v>0</v>
      </c>
      <c r="AZ31" s="139">
        <v>0</v>
      </c>
      <c r="BA31" s="139">
        <v>0</v>
      </c>
      <c r="BB31" s="139">
        <v>0</v>
      </c>
      <c r="BC31" s="139">
        <v>0</v>
      </c>
      <c r="BD31" s="139">
        <v>0</v>
      </c>
    </row>
    <row r="32" spans="2:56" x14ac:dyDescent="0.55000000000000004">
      <c r="B32" s="142" t="s">
        <v>365</v>
      </c>
      <c r="C32" s="139">
        <v>0</v>
      </c>
      <c r="D32" s="139">
        <v>0</v>
      </c>
      <c r="E32" s="139">
        <v>0</v>
      </c>
      <c r="F32" s="139">
        <v>0</v>
      </c>
      <c r="G32" s="139">
        <v>0</v>
      </c>
      <c r="H32" s="139">
        <v>0</v>
      </c>
      <c r="I32" s="139">
        <v>0</v>
      </c>
      <c r="J32" s="139">
        <v>0</v>
      </c>
      <c r="K32" s="139">
        <v>0</v>
      </c>
      <c r="L32" s="139">
        <v>0</v>
      </c>
      <c r="M32" s="139">
        <v>0</v>
      </c>
      <c r="N32" s="139">
        <v>0</v>
      </c>
      <c r="O32" s="139">
        <v>0</v>
      </c>
      <c r="P32" s="139">
        <v>0</v>
      </c>
      <c r="Q32" s="139">
        <v>0</v>
      </c>
      <c r="R32" s="139">
        <v>0</v>
      </c>
      <c r="S32" s="139">
        <v>0</v>
      </c>
      <c r="T32" s="139">
        <v>0</v>
      </c>
      <c r="U32" s="139">
        <v>0</v>
      </c>
      <c r="V32" s="139">
        <v>0</v>
      </c>
      <c r="W32" s="139">
        <v>0</v>
      </c>
      <c r="X32" s="139">
        <v>0</v>
      </c>
      <c r="Y32" s="139">
        <v>0</v>
      </c>
      <c r="Z32" s="139">
        <v>0</v>
      </c>
      <c r="AA32" s="139">
        <v>0</v>
      </c>
      <c r="AB32" s="139">
        <v>0</v>
      </c>
      <c r="AC32" s="139">
        <v>0</v>
      </c>
      <c r="AD32" s="139">
        <v>0</v>
      </c>
      <c r="AE32" s="139">
        <v>0</v>
      </c>
      <c r="AF32" s="139">
        <v>0</v>
      </c>
      <c r="AG32" s="139">
        <v>0</v>
      </c>
      <c r="AH32" s="139">
        <v>0</v>
      </c>
      <c r="AI32" s="139">
        <v>0</v>
      </c>
      <c r="AJ32" s="139">
        <v>0</v>
      </c>
      <c r="AK32" s="139">
        <v>0</v>
      </c>
      <c r="AL32" s="139">
        <v>0</v>
      </c>
      <c r="AM32" s="139">
        <v>0</v>
      </c>
      <c r="AN32" s="139">
        <v>0</v>
      </c>
      <c r="AO32" s="139">
        <v>0</v>
      </c>
      <c r="AP32" s="139">
        <v>0</v>
      </c>
      <c r="AQ32" s="139">
        <v>0</v>
      </c>
      <c r="AR32" s="139">
        <v>0</v>
      </c>
      <c r="AS32" s="139">
        <v>0</v>
      </c>
      <c r="AT32" s="139">
        <v>0</v>
      </c>
      <c r="AU32" s="139">
        <v>0</v>
      </c>
      <c r="AV32" s="139">
        <v>0</v>
      </c>
      <c r="AW32" s="139">
        <v>0</v>
      </c>
      <c r="AX32" s="139">
        <v>0</v>
      </c>
      <c r="AY32" s="139">
        <v>0</v>
      </c>
      <c r="AZ32" s="139">
        <v>0</v>
      </c>
      <c r="BA32" s="139">
        <v>0</v>
      </c>
      <c r="BB32" s="139">
        <v>0</v>
      </c>
      <c r="BC32" s="139">
        <v>0</v>
      </c>
      <c r="BD32" s="139">
        <v>0</v>
      </c>
    </row>
    <row r="33" spans="2:56" x14ac:dyDescent="0.55000000000000004">
      <c r="B33" s="141" t="s">
        <v>366</v>
      </c>
      <c r="C33" s="139">
        <v>0</v>
      </c>
      <c r="D33" s="139">
        <v>0</v>
      </c>
      <c r="E33" s="139">
        <v>0</v>
      </c>
      <c r="F33" s="139">
        <v>8.7418051500000011</v>
      </c>
      <c r="G33" s="139">
        <v>0</v>
      </c>
      <c r="H33" s="139">
        <v>0.14102154</v>
      </c>
      <c r="I33" s="139">
        <v>0</v>
      </c>
      <c r="J33" s="139">
        <v>0</v>
      </c>
      <c r="K33" s="139">
        <v>0</v>
      </c>
      <c r="L33" s="139">
        <v>0</v>
      </c>
      <c r="M33" s="139">
        <v>0</v>
      </c>
      <c r="N33" s="139">
        <v>0</v>
      </c>
      <c r="O33" s="139">
        <v>0</v>
      </c>
      <c r="P33" s="139">
        <v>0</v>
      </c>
      <c r="Q33" s="139">
        <v>0</v>
      </c>
      <c r="R33" s="139">
        <v>0</v>
      </c>
      <c r="S33" s="139">
        <v>0</v>
      </c>
      <c r="T33" s="139">
        <v>0</v>
      </c>
      <c r="U33" s="139">
        <v>0</v>
      </c>
      <c r="V33" s="139">
        <v>23.545930370000001</v>
      </c>
      <c r="W33" s="139">
        <v>0</v>
      </c>
      <c r="X33" s="139">
        <v>0</v>
      </c>
      <c r="Y33" s="139">
        <v>0</v>
      </c>
      <c r="Z33" s="139">
        <v>0</v>
      </c>
      <c r="AA33" s="139">
        <v>0</v>
      </c>
      <c r="AB33" s="139">
        <v>0</v>
      </c>
      <c r="AC33" s="139">
        <v>0</v>
      </c>
      <c r="AD33" s="139">
        <v>0</v>
      </c>
      <c r="AE33" s="139">
        <v>0</v>
      </c>
      <c r="AF33" s="139">
        <v>0</v>
      </c>
      <c r="AG33" s="139">
        <v>0</v>
      </c>
      <c r="AH33" s="139">
        <v>0</v>
      </c>
      <c r="AI33" s="139">
        <v>0</v>
      </c>
      <c r="AJ33" s="139">
        <v>0</v>
      </c>
      <c r="AK33" s="139">
        <v>0</v>
      </c>
      <c r="AL33" s="139">
        <v>0</v>
      </c>
      <c r="AM33" s="139">
        <v>0</v>
      </c>
      <c r="AN33" s="139">
        <v>0</v>
      </c>
      <c r="AO33" s="139">
        <v>0</v>
      </c>
      <c r="AP33" s="139">
        <v>0</v>
      </c>
      <c r="AQ33" s="139">
        <v>0</v>
      </c>
      <c r="AR33" s="139">
        <v>0</v>
      </c>
      <c r="AS33" s="139">
        <v>0</v>
      </c>
      <c r="AT33" s="139">
        <v>0</v>
      </c>
      <c r="AU33" s="139">
        <v>0</v>
      </c>
      <c r="AV33" s="139">
        <v>0</v>
      </c>
      <c r="AW33" s="139">
        <v>0</v>
      </c>
      <c r="AX33" s="139">
        <v>0</v>
      </c>
      <c r="AY33" s="139">
        <v>0</v>
      </c>
      <c r="AZ33" s="139">
        <v>0</v>
      </c>
      <c r="BA33" s="139">
        <v>0</v>
      </c>
      <c r="BB33" s="139">
        <v>0</v>
      </c>
      <c r="BC33" s="139">
        <v>0</v>
      </c>
      <c r="BD33" s="139">
        <v>0</v>
      </c>
    </row>
    <row r="34" spans="2:56" x14ac:dyDescent="0.55000000000000004">
      <c r="B34" s="141" t="s">
        <v>367</v>
      </c>
      <c r="C34" s="139">
        <v>39.218990665873491</v>
      </c>
      <c r="D34" s="139">
        <v>41.977393868576762</v>
      </c>
      <c r="E34" s="139">
        <v>113.71365778038562</v>
      </c>
      <c r="F34" s="139">
        <v>100.98188791799973</v>
      </c>
      <c r="G34" s="139">
        <v>43.115590837167417</v>
      </c>
      <c r="H34" s="139">
        <v>65.661518000000001</v>
      </c>
      <c r="I34" s="139">
        <v>25.22709291</v>
      </c>
      <c r="J34" s="139">
        <v>76.808822910000004</v>
      </c>
      <c r="K34" s="139">
        <v>50.693099258000288</v>
      </c>
      <c r="L34" s="139">
        <v>42.09936316043963</v>
      </c>
      <c r="M34" s="139">
        <v>86.10101827248009</v>
      </c>
      <c r="N34" s="139">
        <v>62.611435417799925</v>
      </c>
      <c r="O34" s="139">
        <v>63.946988813999965</v>
      </c>
      <c r="P34" s="139">
        <v>3.0445950490191014</v>
      </c>
      <c r="Q34" s="139">
        <v>124.52937767299998</v>
      </c>
      <c r="R34" s="139">
        <v>44.379532570000002</v>
      </c>
      <c r="S34" s="139">
        <v>80.291583373668061</v>
      </c>
      <c r="T34" s="139">
        <v>74.090763784000004</v>
      </c>
      <c r="U34" s="139">
        <v>44.493001195152843</v>
      </c>
      <c r="V34" s="139">
        <v>61.965822177380097</v>
      </c>
      <c r="W34" s="139">
        <v>9.6241786920427348</v>
      </c>
      <c r="X34" s="139">
        <v>0</v>
      </c>
      <c r="Y34" s="139">
        <v>0</v>
      </c>
      <c r="Z34" s="139">
        <v>11.042481707999977</v>
      </c>
      <c r="AA34" s="139">
        <v>0</v>
      </c>
      <c r="AB34" s="139">
        <v>1.3957351381818182</v>
      </c>
      <c r="AC34" s="139">
        <v>24.965118703012276</v>
      </c>
      <c r="AD34" s="139">
        <v>21.265359740000001</v>
      </c>
      <c r="AE34" s="139">
        <v>14.876737441000008</v>
      </c>
      <c r="AF34" s="139">
        <v>0</v>
      </c>
      <c r="AG34" s="139">
        <v>13.891223521656768</v>
      </c>
      <c r="AH34" s="139">
        <v>13.599337</v>
      </c>
      <c r="AI34" s="139">
        <v>17.586724102333328</v>
      </c>
      <c r="AJ34" s="139">
        <v>0</v>
      </c>
      <c r="AK34" s="139">
        <v>0</v>
      </c>
      <c r="AL34" s="139">
        <v>0.51368712532681049</v>
      </c>
      <c r="AM34" s="139">
        <v>0.57567399300000111</v>
      </c>
      <c r="AN34" s="139">
        <v>0.13909764933333638</v>
      </c>
      <c r="AO34" s="139">
        <v>0</v>
      </c>
      <c r="AP34" s="139">
        <v>0</v>
      </c>
      <c r="AQ34" s="139">
        <v>0</v>
      </c>
      <c r="AR34" s="139">
        <v>2.3844395020000002</v>
      </c>
      <c r="AS34" s="139">
        <v>0</v>
      </c>
      <c r="AT34" s="139">
        <v>0.19476238399999932</v>
      </c>
      <c r="AU34" s="139">
        <v>1.0178857449999246</v>
      </c>
      <c r="AV34" s="139">
        <v>1.5943499999999999</v>
      </c>
      <c r="AW34" s="139">
        <v>0.12522769</v>
      </c>
      <c r="AX34" s="139">
        <v>0</v>
      </c>
      <c r="AY34" s="139">
        <v>0</v>
      </c>
      <c r="AZ34" s="139">
        <v>0</v>
      </c>
      <c r="BA34" s="139">
        <v>0.75587768780970077</v>
      </c>
      <c r="BB34" s="139">
        <v>2.8338001710000156</v>
      </c>
      <c r="BC34" s="139">
        <v>0.94946337042998352</v>
      </c>
      <c r="BD34" s="139">
        <v>1.57816</v>
      </c>
    </row>
    <row r="35" spans="2:56" x14ac:dyDescent="0.55000000000000004">
      <c r="B35" s="141" t="s">
        <v>368</v>
      </c>
      <c r="C35" s="139">
        <v>192.38682770437413</v>
      </c>
      <c r="D35" s="139">
        <v>239.27114505088753</v>
      </c>
      <c r="E35" s="139">
        <v>307.02687600704115</v>
      </c>
      <c r="F35" s="139">
        <v>274.60487237859928</v>
      </c>
      <c r="G35" s="139">
        <v>116.41209526035202</v>
      </c>
      <c r="H35" s="139">
        <v>182.01279099999999</v>
      </c>
      <c r="I35" s="139">
        <v>68.113150849999997</v>
      </c>
      <c r="J35" s="139">
        <v>207.38382184559413</v>
      </c>
      <c r="K35" s="139">
        <v>136.87136799660075</v>
      </c>
      <c r="L35" s="139">
        <v>113.668280533187</v>
      </c>
      <c r="M35" s="139">
        <v>282.47274933569622</v>
      </c>
      <c r="N35" s="139">
        <v>169.05087562805977</v>
      </c>
      <c r="O35" s="139">
        <v>174.17606979779993</v>
      </c>
      <c r="P35" s="139">
        <v>54.09992918414958</v>
      </c>
      <c r="Q35" s="139">
        <v>336.22931971709988</v>
      </c>
      <c r="R35" s="139">
        <v>126.95826653</v>
      </c>
      <c r="S35" s="139">
        <v>217.66003930890392</v>
      </c>
      <c r="T35" s="139">
        <v>200.04506221679998</v>
      </c>
      <c r="U35" s="139">
        <v>98.106529030000004</v>
      </c>
      <c r="V35" s="139">
        <v>167.43695800392626</v>
      </c>
      <c r="W35" s="139">
        <v>25.985282468515379</v>
      </c>
      <c r="X35" s="139">
        <v>0</v>
      </c>
      <c r="Y35" s="139">
        <v>0</v>
      </c>
      <c r="Z35" s="139">
        <v>29.814700611599946</v>
      </c>
      <c r="AA35" s="139">
        <v>0</v>
      </c>
      <c r="AB35" s="139">
        <v>4.1872054145454509</v>
      </c>
      <c r="AC35" s="139">
        <v>67.405820498133153</v>
      </c>
      <c r="AD35" s="139">
        <v>57.416471299999998</v>
      </c>
      <c r="AE35" s="139">
        <v>40.167191090700022</v>
      </c>
      <c r="AF35" s="139">
        <v>0</v>
      </c>
      <c r="AG35" s="139">
        <v>37.506303508473266</v>
      </c>
      <c r="AH35" s="139">
        <v>36.718209193353665</v>
      </c>
      <c r="AI35" s="139">
        <v>47.484155076299977</v>
      </c>
      <c r="AJ35" s="139">
        <v>0</v>
      </c>
      <c r="AK35" s="139">
        <v>0</v>
      </c>
      <c r="AL35" s="139">
        <v>1.3869552383823884</v>
      </c>
      <c r="AM35" s="139">
        <v>1.5543197811000027</v>
      </c>
      <c r="AN35" s="139">
        <v>0.37556365320000812</v>
      </c>
      <c r="AO35" s="139">
        <v>0</v>
      </c>
      <c r="AP35" s="139">
        <v>0</v>
      </c>
      <c r="AQ35" s="139">
        <v>39.53201308469999</v>
      </c>
      <c r="AR35" s="139">
        <v>6.4379866553999987</v>
      </c>
      <c r="AS35" s="139">
        <v>2.915</v>
      </c>
      <c r="AT35" s="139">
        <v>0.52585843679999811</v>
      </c>
      <c r="AU35" s="139">
        <v>2.7482915114997963</v>
      </c>
      <c r="AV35" s="139">
        <v>9.3026800000000005</v>
      </c>
      <c r="AW35" s="139">
        <v>0.49912179300000004</v>
      </c>
      <c r="AX35" s="139">
        <v>1.795207164000002</v>
      </c>
      <c r="AY35" s="139">
        <v>0</v>
      </c>
      <c r="AZ35" s="139">
        <v>0</v>
      </c>
      <c r="BA35" s="139">
        <v>2.0408697570861918</v>
      </c>
      <c r="BB35" s="139">
        <v>7.6512604617000415</v>
      </c>
      <c r="BC35" s="139">
        <v>2.7787111001609559</v>
      </c>
      <c r="BD35" s="139">
        <v>0.42610000000000003</v>
      </c>
    </row>
    <row r="36" spans="2:56" x14ac:dyDescent="0.55000000000000004">
      <c r="B36" s="141" t="s">
        <v>369</v>
      </c>
      <c r="C36" s="139">
        <v>0</v>
      </c>
      <c r="D36" s="139">
        <v>0</v>
      </c>
      <c r="E36" s="139">
        <v>0</v>
      </c>
      <c r="F36" s="139">
        <v>0</v>
      </c>
      <c r="G36" s="139">
        <v>0</v>
      </c>
      <c r="H36" s="139">
        <v>0</v>
      </c>
      <c r="I36" s="139">
        <v>0</v>
      </c>
      <c r="J36" s="139">
        <v>0</v>
      </c>
      <c r="K36" s="139">
        <v>0</v>
      </c>
      <c r="L36" s="139">
        <v>0</v>
      </c>
      <c r="M36" s="139">
        <v>0</v>
      </c>
      <c r="N36" s="139">
        <v>0</v>
      </c>
      <c r="O36" s="139">
        <v>0</v>
      </c>
      <c r="P36" s="139">
        <v>0</v>
      </c>
      <c r="Q36" s="139">
        <v>0</v>
      </c>
      <c r="R36" s="139">
        <v>0</v>
      </c>
      <c r="S36" s="139">
        <v>0</v>
      </c>
      <c r="T36" s="139">
        <v>0</v>
      </c>
      <c r="U36" s="139">
        <v>0</v>
      </c>
      <c r="V36" s="139">
        <v>2.084227E-2</v>
      </c>
      <c r="W36" s="139">
        <v>0</v>
      </c>
      <c r="X36" s="139">
        <v>0</v>
      </c>
      <c r="Y36" s="139">
        <v>0</v>
      </c>
      <c r="Z36" s="139">
        <v>0</v>
      </c>
      <c r="AA36" s="139">
        <v>0</v>
      </c>
      <c r="AB36" s="139">
        <v>0</v>
      </c>
      <c r="AC36" s="139">
        <v>0</v>
      </c>
      <c r="AD36" s="139">
        <v>0</v>
      </c>
      <c r="AE36" s="139">
        <v>0</v>
      </c>
      <c r="AF36" s="139">
        <v>0</v>
      </c>
      <c r="AG36" s="139">
        <v>0</v>
      </c>
      <c r="AH36" s="139">
        <v>0</v>
      </c>
      <c r="AI36" s="139">
        <v>0</v>
      </c>
      <c r="AJ36" s="139">
        <v>0</v>
      </c>
      <c r="AK36" s="139">
        <v>0</v>
      </c>
      <c r="AL36" s="139">
        <v>0</v>
      </c>
      <c r="AM36" s="139">
        <v>0</v>
      </c>
      <c r="AN36" s="139">
        <v>0</v>
      </c>
      <c r="AO36" s="139">
        <v>0</v>
      </c>
      <c r="AP36" s="139">
        <v>0</v>
      </c>
      <c r="AQ36" s="139">
        <v>0</v>
      </c>
      <c r="AR36" s="139">
        <v>0</v>
      </c>
      <c r="AS36" s="139">
        <v>0</v>
      </c>
      <c r="AT36" s="139">
        <v>0</v>
      </c>
      <c r="AU36" s="139">
        <v>0</v>
      </c>
      <c r="AV36" s="139">
        <v>0</v>
      </c>
      <c r="AW36" s="139">
        <v>0</v>
      </c>
      <c r="AX36" s="139">
        <v>0</v>
      </c>
      <c r="AY36" s="139">
        <v>0</v>
      </c>
      <c r="AZ36" s="139">
        <v>0</v>
      </c>
      <c r="BA36" s="139">
        <v>0</v>
      </c>
      <c r="BB36" s="139">
        <v>0</v>
      </c>
      <c r="BC36" s="139">
        <v>0</v>
      </c>
      <c r="BD36" s="139">
        <v>0</v>
      </c>
    </row>
    <row r="37" spans="2:56" x14ac:dyDescent="0.55000000000000004">
      <c r="B37" s="193" t="s">
        <v>370</v>
      </c>
      <c r="C37" s="139">
        <v>552.71580777724853</v>
      </c>
      <c r="D37" s="139">
        <v>558.29933845207006</v>
      </c>
      <c r="E37" s="139">
        <v>716.39604401642941</v>
      </c>
      <c r="F37" s="139">
        <v>634.23211888340211</v>
      </c>
      <c r="G37" s="139">
        <v>271.62822227415472</v>
      </c>
      <c r="H37" s="139">
        <v>408.94087085493135</v>
      </c>
      <c r="I37" s="139">
        <v>158.93068531174731</v>
      </c>
      <c r="J37" s="139">
        <v>483.89558430638635</v>
      </c>
      <c r="K37" s="139">
        <v>319.36652532540177</v>
      </c>
      <c r="L37" s="139">
        <v>265.22598791076967</v>
      </c>
      <c r="M37" s="139">
        <v>492.43641511662452</v>
      </c>
      <c r="N37" s="139">
        <v>394.45204313213947</v>
      </c>
      <c r="O37" s="139">
        <v>401.34682952820054</v>
      </c>
      <c r="P37" s="139">
        <v>3.7473767472132948</v>
      </c>
      <c r="Q37" s="139">
        <v>784.53507933989999</v>
      </c>
      <c r="R37" s="139">
        <v>272.45752663999997</v>
      </c>
      <c r="S37" s="139">
        <v>504.96421105410911</v>
      </c>
      <c r="T37" s="139">
        <v>466.77181183919998</v>
      </c>
      <c r="U37" s="139">
        <v>302.33048172637558</v>
      </c>
      <c r="V37" s="139">
        <v>390.25544159249455</v>
      </c>
      <c r="W37" s="139">
        <v>60.632325759869232</v>
      </c>
      <c r="X37" s="139">
        <v>0</v>
      </c>
      <c r="Y37" s="139">
        <v>0</v>
      </c>
      <c r="Z37" s="139">
        <v>69.567634760399869</v>
      </c>
      <c r="AA37" s="139">
        <v>0</v>
      </c>
      <c r="AB37" s="139">
        <v>9.7701459672727289</v>
      </c>
      <c r="AC37" s="139">
        <v>157.28024782897737</v>
      </c>
      <c r="AD37" s="139">
        <v>133.97176635999998</v>
      </c>
      <c r="AE37" s="139">
        <v>93.723445878300041</v>
      </c>
      <c r="AF37" s="139">
        <v>0</v>
      </c>
      <c r="AG37" s="139">
        <v>87.514708186437645</v>
      </c>
      <c r="AH37" s="139">
        <v>85.675821451158555</v>
      </c>
      <c r="AI37" s="139">
        <v>110.79636184469994</v>
      </c>
      <c r="AJ37" s="139">
        <v>0</v>
      </c>
      <c r="AK37" s="139">
        <v>0.68531600000000004</v>
      </c>
      <c r="AL37" s="139">
        <v>3.2362288895589062</v>
      </c>
      <c r="AM37" s="139">
        <v>3.6267461559000065</v>
      </c>
      <c r="AN37" s="139">
        <v>0.87631519080001896</v>
      </c>
      <c r="AO37" s="139">
        <v>0</v>
      </c>
      <c r="AP37" s="139">
        <v>0</v>
      </c>
      <c r="AQ37" s="139">
        <v>92.406687954299969</v>
      </c>
      <c r="AR37" s="139">
        <v>15.0219688626</v>
      </c>
      <c r="AS37" s="139">
        <v>6.8029999999999999</v>
      </c>
      <c r="AT37" s="139">
        <v>1.2270030191999919</v>
      </c>
      <c r="AU37" s="139">
        <v>6.4126801934995257</v>
      </c>
      <c r="AV37" s="139">
        <v>5.0464399999999996</v>
      </c>
      <c r="AW37" s="139">
        <v>1.1646175169999999</v>
      </c>
      <c r="AX37" s="139">
        <v>4.1888167160000043</v>
      </c>
      <c r="AY37" s="139">
        <v>0</v>
      </c>
      <c r="AZ37" s="139">
        <v>0</v>
      </c>
      <c r="BA37" s="139">
        <v>4.7620294332011177</v>
      </c>
      <c r="BB37" s="139">
        <v>17.852941077300098</v>
      </c>
      <c r="BC37" s="139">
        <v>5.7664592337088836</v>
      </c>
      <c r="BD37" s="139">
        <v>13.777389999999999</v>
      </c>
    </row>
    <row r="38" spans="2:56" x14ac:dyDescent="0.55000000000000004">
      <c r="B38" s="194" t="s">
        <v>371</v>
      </c>
      <c r="C38" s="146">
        <v>2237.0608249025545</v>
      </c>
      <c r="D38" s="146">
        <v>2683.0001911989011</v>
      </c>
      <c r="E38" s="146">
        <v>3635.9988695238567</v>
      </c>
      <c r="F38" s="146">
        <v>3191.4536394200009</v>
      </c>
      <c r="G38" s="146">
        <v>959.13467863720348</v>
      </c>
      <c r="H38" s="146">
        <v>2292.4567658549313</v>
      </c>
      <c r="I38" s="146">
        <v>1292.4814303356206</v>
      </c>
      <c r="J38" s="146">
        <v>2003.8999985211758</v>
      </c>
      <c r="K38" s="146">
        <v>2261.6063815500029</v>
      </c>
      <c r="L38" s="146">
        <v>1365.175111134397</v>
      </c>
      <c r="M38" s="146">
        <v>2866.7245007347983</v>
      </c>
      <c r="N38" s="146">
        <v>2487.6483107579988</v>
      </c>
      <c r="O38" s="146">
        <v>2117.55639187</v>
      </c>
      <c r="P38" s="146">
        <v>1490.2292630845486</v>
      </c>
      <c r="Q38" s="146">
        <v>3966.2989459099999</v>
      </c>
      <c r="R38" s="146">
        <v>1527.6450784200001</v>
      </c>
      <c r="S38" s="146">
        <v>2159.5791968693061</v>
      </c>
      <c r="T38" s="146">
        <v>2235.1099310899999</v>
      </c>
      <c r="U38" s="146">
        <v>2165.1297553915288</v>
      </c>
      <c r="V38" s="146">
        <v>1769.2289572600007</v>
      </c>
      <c r="W38" s="146">
        <v>432.48160162667716</v>
      </c>
      <c r="X38" s="146">
        <v>4.9240000000000004</v>
      </c>
      <c r="Y38" s="146">
        <v>11.67741608</v>
      </c>
      <c r="Z38" s="146">
        <v>433.62190510999983</v>
      </c>
      <c r="AA38" s="146">
        <v>205.24466329449973</v>
      </c>
      <c r="AB38" s="146">
        <v>51.200811579999993</v>
      </c>
      <c r="AC38" s="146">
        <v>916.01795524012277</v>
      </c>
      <c r="AD38" s="146">
        <v>720.85994360999996</v>
      </c>
      <c r="AE38" s="146">
        <v>512.71565502999999</v>
      </c>
      <c r="AF38" s="146">
        <v>10.646437680000005</v>
      </c>
      <c r="AG38" s="146">
        <v>473.06604802221574</v>
      </c>
      <c r="AH38" s="146">
        <v>509.19831590519703</v>
      </c>
      <c r="AI38" s="146">
        <v>471.80640189999991</v>
      </c>
      <c r="AJ38" s="146">
        <v>36.772735410000003</v>
      </c>
      <c r="AK38" s="146">
        <v>11.62571919</v>
      </c>
      <c r="AL38" s="146">
        <v>45.350424963268104</v>
      </c>
      <c r="AM38" s="146">
        <v>43.603443120000009</v>
      </c>
      <c r="AN38" s="146">
        <v>30.963472253333361</v>
      </c>
      <c r="AO38" s="146">
        <v>0.77130999999999994</v>
      </c>
      <c r="AP38" s="146">
        <v>77.891153183700425</v>
      </c>
      <c r="AQ38" s="146">
        <v>233.60272036999993</v>
      </c>
      <c r="AR38" s="146">
        <v>76.278320119999989</v>
      </c>
      <c r="AS38" s="146">
        <v>56.043999999999997</v>
      </c>
      <c r="AT38" s="146">
        <v>69.236197969999992</v>
      </c>
      <c r="AU38" s="146">
        <v>32.916683899999249</v>
      </c>
      <c r="AV38" s="146">
        <v>69.980240000000009</v>
      </c>
      <c r="AW38" s="146">
        <v>52.558200040000003</v>
      </c>
      <c r="AX38" s="146">
        <v>26.13406865</v>
      </c>
      <c r="AY38" s="146">
        <v>69.543246119999992</v>
      </c>
      <c r="AZ38" s="146">
        <v>0.65840279999999995</v>
      </c>
      <c r="BA38" s="146">
        <v>60.444732649999978</v>
      </c>
      <c r="BB38" s="146">
        <v>167.41751349000015</v>
      </c>
      <c r="BC38" s="146">
        <v>182.81190406900043</v>
      </c>
      <c r="BD38" s="146">
        <v>72.720796280000002</v>
      </c>
    </row>
    <row r="39" spans="2:56" x14ac:dyDescent="0.55000000000000004">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row>
    <row r="40" spans="2:56" x14ac:dyDescent="0.55000000000000004">
      <c r="B40" s="169" t="s">
        <v>214</v>
      </c>
      <c r="C40" s="196"/>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row>
    <row r="41" spans="2:56" x14ac:dyDescent="0.55000000000000004">
      <c r="B41" s="141" t="s">
        <v>372</v>
      </c>
      <c r="C41" s="139">
        <v>1880.8172287361331</v>
      </c>
      <c r="D41" s="139">
        <v>2359.4652853059179</v>
      </c>
      <c r="E41" s="139">
        <v>3197.3619628038564</v>
      </c>
      <c r="F41" s="139">
        <v>2824.3104199500003</v>
      </c>
      <c r="G41" s="139">
        <v>686.62479863731494</v>
      </c>
      <c r="H41" s="139">
        <v>2053.2720518549318</v>
      </c>
      <c r="I41" s="139">
        <v>1126.5481079945905</v>
      </c>
      <c r="J41" s="139">
        <v>1723.2132482111763</v>
      </c>
      <c r="K41" s="139">
        <v>2118.0902155700032</v>
      </c>
      <c r="L41" s="139">
        <v>1179.6538415099967</v>
      </c>
      <c r="M41" s="139">
        <v>2382.2880023199987</v>
      </c>
      <c r="N41" s="139">
        <v>2190.218701249999</v>
      </c>
      <c r="O41" s="139">
        <v>1852.2313678800001</v>
      </c>
      <c r="P41" s="139">
        <v>1374.3342898299923</v>
      </c>
      <c r="Q41" s="139">
        <v>3485.1621224599999</v>
      </c>
      <c r="R41" s="139">
        <v>1367.2618140499997</v>
      </c>
      <c r="S41" s="139">
        <v>1957.6669534700629</v>
      </c>
      <c r="T41" s="139">
        <v>1888.9208902</v>
      </c>
      <c r="U41" s="139">
        <v>1937.6377999915289</v>
      </c>
      <c r="V41" s="139">
        <v>1482.450284160001</v>
      </c>
      <c r="W41" s="139">
        <v>363.52464357000065</v>
      </c>
      <c r="X41" s="139">
        <v>1.8280000000000001</v>
      </c>
      <c r="Y41" s="139">
        <v>2.9481621499999999</v>
      </c>
      <c r="Z41" s="139">
        <v>410.43689807999976</v>
      </c>
      <c r="AA41" s="139">
        <v>45.658355108999984</v>
      </c>
      <c r="AB41" s="139">
        <v>48.423850350000002</v>
      </c>
      <c r="AC41" s="139">
        <v>866.78510634012241</v>
      </c>
      <c r="AD41" s="139">
        <v>682.55841346999989</v>
      </c>
      <c r="AE41" s="139">
        <v>472.46859020000011</v>
      </c>
      <c r="AF41" s="139">
        <v>8.5769676100000005</v>
      </c>
      <c r="AG41" s="139">
        <v>441.43402041221572</v>
      </c>
      <c r="AH41" s="139">
        <v>487.58371285519729</v>
      </c>
      <c r="AI41" s="139">
        <v>459.27859813999999</v>
      </c>
      <c r="AJ41" s="139">
        <v>30.647993840000002</v>
      </c>
      <c r="AK41" s="139">
        <v>10.564926999999999</v>
      </c>
      <c r="AL41" s="139">
        <v>43.041840403268111</v>
      </c>
      <c r="AM41" s="139">
        <v>41.384348140000007</v>
      </c>
      <c r="AN41" s="139">
        <v>29.669219193333344</v>
      </c>
      <c r="AO41" s="139">
        <v>0.11372999999999998</v>
      </c>
      <c r="AP41" s="139">
        <v>61.058788960000001</v>
      </c>
      <c r="AQ41" s="139">
        <v>221.83485866999993</v>
      </c>
      <c r="AR41" s="139">
        <v>72.833358320000002</v>
      </c>
      <c r="AS41" s="139">
        <v>52.848999999999997</v>
      </c>
      <c r="AT41" s="139">
        <v>46.543011359999994</v>
      </c>
      <c r="AU41" s="139">
        <v>32.799861789999248</v>
      </c>
      <c r="AV41" s="139">
        <v>48.162680000000002</v>
      </c>
      <c r="AW41" s="139">
        <v>51.189374999999998</v>
      </c>
      <c r="AX41" s="139">
        <v>21.358010870000005</v>
      </c>
      <c r="AY41" s="139">
        <v>22.659486399999995</v>
      </c>
      <c r="AZ41" s="139">
        <v>0</v>
      </c>
      <c r="BA41" s="139">
        <v>58.652353219999966</v>
      </c>
      <c r="BB41" s="139">
        <v>160.96678449000018</v>
      </c>
      <c r="BC41" s="139">
        <v>174.33740281900046</v>
      </c>
      <c r="BD41" s="139">
        <v>66.445453400000005</v>
      </c>
    </row>
    <row r="42" spans="2:56" x14ac:dyDescent="0.55000000000000004">
      <c r="B42" s="142" t="s">
        <v>373</v>
      </c>
      <c r="C42" s="139">
        <v>1574.3937406461332</v>
      </c>
      <c r="D42" s="139">
        <v>1787.5830544759178</v>
      </c>
      <c r="E42" s="139">
        <v>2673.7059512838559</v>
      </c>
      <c r="F42" s="139">
        <v>2304.92003221</v>
      </c>
      <c r="G42" s="139">
        <v>517.65556172731499</v>
      </c>
      <c r="H42" s="139">
        <v>1736.548663</v>
      </c>
      <c r="I42" s="139">
        <v>863.65780833849556</v>
      </c>
      <c r="J42" s="139">
        <v>1372.9799677811761</v>
      </c>
      <c r="K42" s="139">
        <v>1758.4838977600032</v>
      </c>
      <c r="L42" s="139">
        <v>991.3071495899967</v>
      </c>
      <c r="M42" s="139">
        <v>1961.2205229299987</v>
      </c>
      <c r="N42" s="139">
        <v>1371.5089508099991</v>
      </c>
      <c r="O42" s="139">
        <v>1551.8351252</v>
      </c>
      <c r="P42" s="139">
        <v>996.81980432999239</v>
      </c>
      <c r="Q42" s="139">
        <v>2836.8690693099998</v>
      </c>
      <c r="R42" s="139">
        <v>1193.7886715699999</v>
      </c>
      <c r="S42" s="139">
        <v>1661.9288036500627</v>
      </c>
      <c r="T42" s="139">
        <v>1668.2562034099999</v>
      </c>
      <c r="U42" s="139">
        <v>1548.4852543415288</v>
      </c>
      <c r="V42" s="139">
        <v>1275.3337104600009</v>
      </c>
      <c r="W42" s="139">
        <v>322.74240726000073</v>
      </c>
      <c r="X42" s="139">
        <v>1.8280000000000001</v>
      </c>
      <c r="Y42" s="139">
        <v>2.9437491200000001</v>
      </c>
      <c r="Z42" s="139">
        <v>362.25640397999979</v>
      </c>
      <c r="AA42" s="139">
        <v>36.270856268999985</v>
      </c>
      <c r="AB42" s="139">
        <v>46.856384499999997</v>
      </c>
      <c r="AC42" s="139">
        <v>788.57584472402164</v>
      </c>
      <c r="AD42" s="139">
        <v>596.27647801000001</v>
      </c>
      <c r="AE42" s="139">
        <v>427.21198795000009</v>
      </c>
      <c r="AF42" s="139">
        <v>8.5769676100000005</v>
      </c>
      <c r="AG42" s="139">
        <v>390.27888802221577</v>
      </c>
      <c r="AH42" s="139">
        <v>422.9672031778</v>
      </c>
      <c r="AI42" s="139">
        <v>417.89144144999995</v>
      </c>
      <c r="AJ42" s="139">
        <v>26.178986569999999</v>
      </c>
      <c r="AK42" s="139">
        <v>10.407867</v>
      </c>
      <c r="AL42" s="139">
        <v>40.215737370000006</v>
      </c>
      <c r="AM42" s="139">
        <v>39.859756640000008</v>
      </c>
      <c r="AN42" s="139">
        <v>25.170091700000015</v>
      </c>
      <c r="AO42" s="139">
        <v>5.5369999999999996E-2</v>
      </c>
      <c r="AP42" s="139">
        <v>55.400038940000002</v>
      </c>
      <c r="AQ42" s="139">
        <v>211.12185061999992</v>
      </c>
      <c r="AR42" s="139">
        <v>71.562467810000001</v>
      </c>
      <c r="AS42" s="139">
        <v>49.183</v>
      </c>
      <c r="AT42" s="139">
        <v>41.068276139999995</v>
      </c>
      <c r="AU42" s="139">
        <v>32.799861789999248</v>
      </c>
      <c r="AV42" s="139">
        <v>47.944710000000001</v>
      </c>
      <c r="AW42" s="139">
        <v>47.031548999999998</v>
      </c>
      <c r="AX42" s="139">
        <v>21.067677410000005</v>
      </c>
      <c r="AY42" s="139">
        <v>20.609268089999993</v>
      </c>
      <c r="AZ42" s="139">
        <v>0</v>
      </c>
      <c r="BA42" s="139">
        <v>50.316491449999965</v>
      </c>
      <c r="BB42" s="139">
        <v>146.57504665000016</v>
      </c>
      <c r="BC42" s="139">
        <v>150.82093156900044</v>
      </c>
      <c r="BD42" s="139">
        <v>60.015035210000001</v>
      </c>
    </row>
    <row r="43" spans="2:56" x14ac:dyDescent="0.55000000000000004">
      <c r="B43" s="142" t="s">
        <v>374</v>
      </c>
      <c r="C43" s="139">
        <v>148.63589001999998</v>
      </c>
      <c r="D43" s="139">
        <v>519.71542398000008</v>
      </c>
      <c r="E43" s="139">
        <v>382.21718269999997</v>
      </c>
      <c r="F43" s="139">
        <v>255.25229466000002</v>
      </c>
      <c r="G43" s="139">
        <v>91.673579389999986</v>
      </c>
      <c r="H43" s="139">
        <v>177.60559000000001</v>
      </c>
      <c r="I43" s="139">
        <v>164.8126099160952</v>
      </c>
      <c r="J43" s="139">
        <v>347.68807494999999</v>
      </c>
      <c r="K43" s="139">
        <v>230.62368063999998</v>
      </c>
      <c r="L43" s="139">
        <v>151.45809696000001</v>
      </c>
      <c r="M43" s="139">
        <v>301.07188607999996</v>
      </c>
      <c r="N43" s="139">
        <v>283.47375895000005</v>
      </c>
      <c r="O43" s="139">
        <v>225.6796655</v>
      </c>
      <c r="P43" s="139">
        <v>257.57212508999999</v>
      </c>
      <c r="Q43" s="139">
        <v>401.49616826999994</v>
      </c>
      <c r="R43" s="139">
        <v>154.54055984999999</v>
      </c>
      <c r="S43" s="139">
        <v>244.71262700999998</v>
      </c>
      <c r="T43" s="139">
        <v>172.39287474999998</v>
      </c>
      <c r="U43" s="139">
        <v>359.27286336999998</v>
      </c>
      <c r="V43" s="139">
        <v>191.99138629000001</v>
      </c>
      <c r="W43" s="139">
        <v>29.211139469999999</v>
      </c>
      <c r="X43" s="139">
        <v>0</v>
      </c>
      <c r="Y43" s="139">
        <v>0</v>
      </c>
      <c r="Z43" s="139">
        <v>44.671553810000006</v>
      </c>
      <c r="AA43" s="139">
        <v>8.9277366800000006</v>
      </c>
      <c r="AB43" s="139">
        <v>0</v>
      </c>
      <c r="AC43" s="139">
        <v>63.316797399999999</v>
      </c>
      <c r="AD43" s="139">
        <v>76.657924949999995</v>
      </c>
      <c r="AE43" s="139">
        <v>45.25660225</v>
      </c>
      <c r="AF43" s="139">
        <v>0</v>
      </c>
      <c r="AG43" s="139">
        <v>49.143819999999998</v>
      </c>
      <c r="AH43" s="139">
        <v>60.404865777397298</v>
      </c>
      <c r="AI43" s="139">
        <v>37.275644930000006</v>
      </c>
      <c r="AJ43" s="139">
        <v>4.4690072699999996</v>
      </c>
      <c r="AK43" s="139">
        <v>5.0979999999999998E-2</v>
      </c>
      <c r="AL43" s="139">
        <v>2.8261030332681019</v>
      </c>
      <c r="AM43" s="139">
        <v>1.5245915000000001</v>
      </c>
      <c r="AN43" s="139">
        <v>2.3795833333333336</v>
      </c>
      <c r="AO43" s="139">
        <v>0</v>
      </c>
      <c r="AP43" s="139">
        <v>3.4837500000000001</v>
      </c>
      <c r="AQ43" s="139">
        <v>7.2810427999999998</v>
      </c>
      <c r="AR43" s="139">
        <v>1.2708905099999999</v>
      </c>
      <c r="AS43" s="139">
        <v>2.2360000000000002</v>
      </c>
      <c r="AT43" s="139">
        <v>4.6694575800000004</v>
      </c>
      <c r="AU43" s="139">
        <v>0</v>
      </c>
      <c r="AV43" s="139">
        <v>0</v>
      </c>
      <c r="AW43" s="139">
        <v>4.1161859999999999</v>
      </c>
      <c r="AX43" s="139">
        <v>0</v>
      </c>
      <c r="AY43" s="139">
        <v>1.9365488200000001</v>
      </c>
      <c r="AZ43" s="139">
        <v>0</v>
      </c>
      <c r="BA43" s="139">
        <v>6.0553957100000009</v>
      </c>
      <c r="BB43" s="139">
        <v>10.557962330000001</v>
      </c>
      <c r="BC43" s="139">
        <v>23.278375190000002</v>
      </c>
      <c r="BD43" s="139">
        <v>5.7435958400000002</v>
      </c>
    </row>
    <row r="44" spans="2:56" x14ac:dyDescent="0.55000000000000004">
      <c r="B44" s="142" t="s">
        <v>218</v>
      </c>
      <c r="C44" s="139">
        <v>148.63589001999998</v>
      </c>
      <c r="D44" s="139">
        <v>89.32624758</v>
      </c>
      <c r="E44" s="139">
        <v>303.03431969999997</v>
      </c>
      <c r="F44" s="139">
        <v>255.25229466000002</v>
      </c>
      <c r="G44" s="139">
        <v>85.758458449999992</v>
      </c>
      <c r="H44" s="139">
        <v>177.60559000000001</v>
      </c>
      <c r="I44" s="139">
        <v>147.55370557000001</v>
      </c>
      <c r="J44" s="139">
        <v>310.90839912000001</v>
      </c>
      <c r="K44" s="139">
        <v>227.48538842999997</v>
      </c>
      <c r="L44" s="139">
        <v>0</v>
      </c>
      <c r="M44" s="139">
        <v>301.07188607999996</v>
      </c>
      <c r="N44" s="139">
        <v>278.56881156000003</v>
      </c>
      <c r="O44" s="139">
        <v>214.58861542</v>
      </c>
      <c r="P44" s="139">
        <v>257.57212508999999</v>
      </c>
      <c r="Q44" s="139">
        <v>394.71074803999994</v>
      </c>
      <c r="R44" s="139">
        <v>154.54055984999999</v>
      </c>
      <c r="S44" s="139">
        <v>238.60563568999999</v>
      </c>
      <c r="T44" s="139">
        <v>161.75513638999999</v>
      </c>
      <c r="U44" s="139">
        <v>257.01413689999998</v>
      </c>
      <c r="V44" s="139">
        <v>189.8779596</v>
      </c>
      <c r="W44" s="139">
        <v>29.211139469999999</v>
      </c>
      <c r="X44" s="139">
        <v>0</v>
      </c>
      <c r="Y44" s="139">
        <v>0</v>
      </c>
      <c r="Z44" s="139">
        <v>44.671553810000006</v>
      </c>
      <c r="AA44" s="139">
        <v>8.9277366800000006</v>
      </c>
      <c r="AB44" s="139">
        <v>0</v>
      </c>
      <c r="AC44" s="139">
        <v>63.316797399999999</v>
      </c>
      <c r="AD44" s="139">
        <v>76.657924949999995</v>
      </c>
      <c r="AE44" s="139">
        <v>45.25660225</v>
      </c>
      <c r="AF44" s="139">
        <v>0</v>
      </c>
      <c r="AG44" s="139">
        <v>49.143819999999998</v>
      </c>
      <c r="AH44" s="139">
        <v>60.404865777397298</v>
      </c>
      <c r="AI44" s="139">
        <v>36.40134493</v>
      </c>
      <c r="AJ44" s="139">
        <v>4.3611782300000002</v>
      </c>
      <c r="AK44" s="139">
        <v>5.0979999999999998E-2</v>
      </c>
      <c r="AL44" s="139">
        <v>2.8261030332681019</v>
      </c>
      <c r="AM44" s="139">
        <v>0.202517</v>
      </c>
      <c r="AN44" s="139">
        <v>2.3795833333333336</v>
      </c>
      <c r="AO44" s="139">
        <v>0</v>
      </c>
      <c r="AP44" s="139">
        <v>3.4837500000000001</v>
      </c>
      <c r="AQ44" s="139">
        <v>7.2810427999999998</v>
      </c>
      <c r="AR44" s="139">
        <v>1.2708905099999999</v>
      </c>
      <c r="AS44" s="139">
        <v>2.2360000000000002</v>
      </c>
      <c r="AT44" s="139">
        <v>0</v>
      </c>
      <c r="AU44" s="139">
        <v>0</v>
      </c>
      <c r="AV44" s="139">
        <v>0</v>
      </c>
      <c r="AW44" s="139">
        <v>0</v>
      </c>
      <c r="AX44" s="139">
        <v>0</v>
      </c>
      <c r="AY44" s="139">
        <v>1.9365488200000001</v>
      </c>
      <c r="AZ44" s="139">
        <v>0</v>
      </c>
      <c r="BA44" s="139">
        <v>0</v>
      </c>
      <c r="BB44" s="139">
        <v>10.557962330000001</v>
      </c>
      <c r="BC44" s="139">
        <v>23.278375190000002</v>
      </c>
      <c r="BD44" s="139">
        <v>5.7435958400000002</v>
      </c>
    </row>
    <row r="45" spans="2:56" x14ac:dyDescent="0.55000000000000004">
      <c r="B45" s="142" t="s">
        <v>219</v>
      </c>
      <c r="C45" s="139">
        <v>0</v>
      </c>
      <c r="D45" s="139">
        <v>0</v>
      </c>
      <c r="E45" s="139">
        <v>0</v>
      </c>
      <c r="F45" s="139">
        <v>0</v>
      </c>
      <c r="G45" s="139">
        <v>0</v>
      </c>
      <c r="H45" s="139">
        <v>0</v>
      </c>
      <c r="I45" s="139">
        <v>0</v>
      </c>
      <c r="J45" s="139">
        <v>32.090131880000001</v>
      </c>
      <c r="K45" s="139">
        <v>0</v>
      </c>
      <c r="L45" s="139">
        <v>1.70676988</v>
      </c>
      <c r="M45" s="139">
        <v>0</v>
      </c>
      <c r="N45" s="139">
        <v>0</v>
      </c>
      <c r="O45" s="139">
        <v>0</v>
      </c>
      <c r="P45" s="139">
        <v>0</v>
      </c>
      <c r="Q45" s="139">
        <v>0</v>
      </c>
      <c r="R45" s="139">
        <v>0</v>
      </c>
      <c r="S45" s="139">
        <v>0</v>
      </c>
      <c r="T45" s="139">
        <v>0</v>
      </c>
      <c r="U45" s="139">
        <v>0</v>
      </c>
      <c r="V45" s="139">
        <v>1.7438489500000001</v>
      </c>
      <c r="W45" s="139">
        <v>0</v>
      </c>
      <c r="X45" s="139">
        <v>0</v>
      </c>
      <c r="Y45" s="139">
        <v>0</v>
      </c>
      <c r="Z45" s="139">
        <v>0</v>
      </c>
      <c r="AA45" s="139">
        <v>0</v>
      </c>
      <c r="AB45" s="139">
        <v>0</v>
      </c>
      <c r="AC45" s="139">
        <v>0</v>
      </c>
      <c r="AD45" s="139">
        <v>0</v>
      </c>
      <c r="AE45" s="139">
        <v>0</v>
      </c>
      <c r="AF45" s="139">
        <v>0</v>
      </c>
      <c r="AG45" s="139">
        <v>0</v>
      </c>
      <c r="AH45" s="139">
        <v>0</v>
      </c>
      <c r="AI45" s="139">
        <v>0</v>
      </c>
      <c r="AJ45" s="139">
        <v>0</v>
      </c>
      <c r="AK45" s="139">
        <v>0</v>
      </c>
      <c r="AL45" s="139">
        <v>0</v>
      </c>
      <c r="AM45" s="139">
        <v>0</v>
      </c>
      <c r="AN45" s="139">
        <v>0</v>
      </c>
      <c r="AO45" s="139">
        <v>0</v>
      </c>
      <c r="AP45" s="139">
        <v>0</v>
      </c>
      <c r="AQ45" s="139">
        <v>0</v>
      </c>
      <c r="AR45" s="139">
        <v>0</v>
      </c>
      <c r="AS45" s="139">
        <v>0</v>
      </c>
      <c r="AT45" s="139">
        <v>0</v>
      </c>
      <c r="AU45" s="139">
        <v>0</v>
      </c>
      <c r="AV45" s="139">
        <v>0</v>
      </c>
      <c r="AW45" s="139">
        <v>0</v>
      </c>
      <c r="AX45" s="139">
        <v>0</v>
      </c>
      <c r="AY45" s="139">
        <v>0</v>
      </c>
      <c r="AZ45" s="139">
        <v>0</v>
      </c>
      <c r="BA45" s="139">
        <v>0</v>
      </c>
      <c r="BB45" s="139">
        <v>0</v>
      </c>
      <c r="BC45" s="139">
        <v>0</v>
      </c>
      <c r="BD45" s="139">
        <v>0</v>
      </c>
    </row>
    <row r="46" spans="2:56" x14ac:dyDescent="0.55000000000000004">
      <c r="B46" s="142" t="s">
        <v>220</v>
      </c>
      <c r="C46" s="139">
        <v>0</v>
      </c>
      <c r="D46" s="139">
        <v>159.91726030000001</v>
      </c>
      <c r="E46" s="139">
        <v>79.182862999999998</v>
      </c>
      <c r="F46" s="139">
        <v>0</v>
      </c>
      <c r="G46" s="139">
        <v>0</v>
      </c>
      <c r="H46" s="139">
        <v>0</v>
      </c>
      <c r="I46" s="139">
        <v>17.258904346095196</v>
      </c>
      <c r="J46" s="139">
        <v>0</v>
      </c>
      <c r="K46" s="139">
        <v>0</v>
      </c>
      <c r="L46" s="139">
        <v>0</v>
      </c>
      <c r="M46" s="139">
        <v>0</v>
      </c>
      <c r="N46" s="139">
        <v>0</v>
      </c>
      <c r="O46" s="139">
        <v>0</v>
      </c>
      <c r="P46" s="139">
        <v>0</v>
      </c>
      <c r="Q46" s="139">
        <v>0</v>
      </c>
      <c r="R46" s="139">
        <v>0</v>
      </c>
      <c r="S46" s="139">
        <v>0</v>
      </c>
      <c r="T46" s="139">
        <v>0</v>
      </c>
      <c r="U46" s="139">
        <v>90.726027389999999</v>
      </c>
      <c r="V46" s="139">
        <v>0</v>
      </c>
      <c r="W46" s="139">
        <v>0</v>
      </c>
      <c r="X46" s="139">
        <v>0</v>
      </c>
      <c r="Y46" s="139">
        <v>0</v>
      </c>
      <c r="Z46" s="139">
        <v>0</v>
      </c>
      <c r="AA46" s="139">
        <v>0</v>
      </c>
      <c r="AB46" s="139">
        <v>0</v>
      </c>
      <c r="AC46" s="139">
        <v>0</v>
      </c>
      <c r="AD46" s="139">
        <v>0</v>
      </c>
      <c r="AE46" s="139">
        <v>0</v>
      </c>
      <c r="AF46" s="139">
        <v>0</v>
      </c>
      <c r="AG46" s="139">
        <v>0</v>
      </c>
      <c r="AH46" s="139">
        <v>0</v>
      </c>
      <c r="AI46" s="139">
        <v>0.87429999999999997</v>
      </c>
      <c r="AJ46" s="139">
        <v>0</v>
      </c>
      <c r="AK46" s="139">
        <v>0</v>
      </c>
      <c r="AL46" s="139">
        <v>0</v>
      </c>
      <c r="AM46" s="139">
        <v>1.3220745</v>
      </c>
      <c r="AN46" s="139">
        <v>0</v>
      </c>
      <c r="AO46" s="139">
        <v>0</v>
      </c>
      <c r="AP46" s="139">
        <v>0</v>
      </c>
      <c r="AQ46" s="139">
        <v>0</v>
      </c>
      <c r="AR46" s="139">
        <v>0</v>
      </c>
      <c r="AS46" s="139">
        <v>0</v>
      </c>
      <c r="AT46" s="139">
        <v>4.6694575800000004</v>
      </c>
      <c r="AU46" s="139">
        <v>0</v>
      </c>
      <c r="AV46" s="139">
        <v>0</v>
      </c>
      <c r="AW46" s="139">
        <v>4.1161859999999999</v>
      </c>
      <c r="AX46" s="139">
        <v>0</v>
      </c>
      <c r="AY46" s="139">
        <v>0</v>
      </c>
      <c r="AZ46" s="139">
        <v>0</v>
      </c>
      <c r="BA46" s="139">
        <v>0</v>
      </c>
      <c r="BB46" s="139">
        <v>0</v>
      </c>
      <c r="BC46" s="139">
        <v>0</v>
      </c>
      <c r="BD46" s="139">
        <v>0</v>
      </c>
    </row>
    <row r="47" spans="2:56" x14ac:dyDescent="0.55000000000000004">
      <c r="B47" s="142" t="s">
        <v>375</v>
      </c>
      <c r="C47" s="139">
        <v>0</v>
      </c>
      <c r="D47" s="139">
        <v>270.47191610000004</v>
      </c>
      <c r="E47" s="139">
        <v>0</v>
      </c>
      <c r="F47" s="139">
        <v>0</v>
      </c>
      <c r="G47" s="139">
        <v>5.9151209400000004</v>
      </c>
      <c r="H47" s="139">
        <v>0</v>
      </c>
      <c r="I47" s="139">
        <v>0</v>
      </c>
      <c r="J47" s="139">
        <v>4.68954395</v>
      </c>
      <c r="K47" s="139">
        <v>3.1382922099999999</v>
      </c>
      <c r="L47" s="139">
        <v>149.75132708000001</v>
      </c>
      <c r="M47" s="139">
        <v>0</v>
      </c>
      <c r="N47" s="139">
        <v>4.9049473899999994</v>
      </c>
      <c r="O47" s="139">
        <v>11.09105008</v>
      </c>
      <c r="P47" s="139">
        <v>0</v>
      </c>
      <c r="Q47" s="139">
        <v>6.7854202299999997</v>
      </c>
      <c r="R47" s="139">
        <v>0</v>
      </c>
      <c r="S47" s="139">
        <v>6.1069913200000006</v>
      </c>
      <c r="T47" s="139">
        <v>10.63773836</v>
      </c>
      <c r="U47" s="139">
        <v>11.53269908</v>
      </c>
      <c r="V47" s="139">
        <v>0.36957773999999999</v>
      </c>
      <c r="W47" s="139">
        <v>0</v>
      </c>
      <c r="X47" s="139">
        <v>0</v>
      </c>
      <c r="Y47" s="139">
        <v>0</v>
      </c>
      <c r="Z47" s="139">
        <v>0</v>
      </c>
      <c r="AA47" s="139">
        <v>0</v>
      </c>
      <c r="AB47" s="139">
        <v>0</v>
      </c>
      <c r="AC47" s="139">
        <v>0</v>
      </c>
      <c r="AD47" s="139">
        <v>0</v>
      </c>
      <c r="AE47" s="139">
        <v>0</v>
      </c>
      <c r="AF47" s="139">
        <v>0</v>
      </c>
      <c r="AG47" s="139">
        <v>0</v>
      </c>
      <c r="AH47" s="139">
        <v>0</v>
      </c>
      <c r="AI47" s="139">
        <v>0</v>
      </c>
      <c r="AJ47" s="139">
        <v>0.10782903999999999</v>
      </c>
      <c r="AK47" s="139">
        <v>0</v>
      </c>
      <c r="AL47" s="139">
        <v>0</v>
      </c>
      <c r="AM47" s="139">
        <v>0</v>
      </c>
      <c r="AN47" s="139">
        <v>0</v>
      </c>
      <c r="AO47" s="139">
        <v>0</v>
      </c>
      <c r="AP47" s="139">
        <v>0</v>
      </c>
      <c r="AQ47" s="139">
        <v>0</v>
      </c>
      <c r="AR47" s="139">
        <v>0</v>
      </c>
      <c r="AS47" s="139">
        <v>0</v>
      </c>
      <c r="AT47" s="139">
        <v>0</v>
      </c>
      <c r="AU47" s="139">
        <v>0</v>
      </c>
      <c r="AV47" s="139">
        <v>0</v>
      </c>
      <c r="AW47" s="139">
        <v>0</v>
      </c>
      <c r="AX47" s="139">
        <v>0</v>
      </c>
      <c r="AY47" s="139">
        <v>0</v>
      </c>
      <c r="AZ47" s="139">
        <v>0</v>
      </c>
      <c r="BA47" s="139">
        <v>6.0553957100000009</v>
      </c>
      <c r="BB47" s="139">
        <v>0</v>
      </c>
      <c r="BC47" s="139">
        <v>0</v>
      </c>
      <c r="BD47" s="139">
        <v>0</v>
      </c>
    </row>
    <row r="48" spans="2:56" x14ac:dyDescent="0.55000000000000004">
      <c r="B48" s="142" t="s">
        <v>376</v>
      </c>
      <c r="C48" s="139">
        <v>2.9467530000000002</v>
      </c>
      <c r="D48" s="139">
        <v>0</v>
      </c>
      <c r="E48" s="139">
        <v>0</v>
      </c>
      <c r="F48" s="139">
        <v>105.05444437</v>
      </c>
      <c r="G48" s="139">
        <v>0.74968035</v>
      </c>
      <c r="H48" s="139">
        <v>0</v>
      </c>
      <c r="I48" s="139">
        <v>0.93123643</v>
      </c>
      <c r="J48" s="139">
        <v>0</v>
      </c>
      <c r="K48" s="139">
        <v>0.70100129</v>
      </c>
      <c r="L48" s="139">
        <v>0</v>
      </c>
      <c r="M48" s="139">
        <v>0</v>
      </c>
      <c r="N48" s="139">
        <v>1.1516311499999998</v>
      </c>
      <c r="O48" s="139">
        <v>0.98649852999999998</v>
      </c>
      <c r="P48" s="139">
        <v>0</v>
      </c>
      <c r="Q48" s="139">
        <v>0</v>
      </c>
      <c r="R48" s="139">
        <v>5.12150908</v>
      </c>
      <c r="S48" s="139">
        <v>0.18795773000000002</v>
      </c>
      <c r="T48" s="139">
        <v>0</v>
      </c>
      <c r="U48" s="139">
        <v>1.0838285700000001</v>
      </c>
      <c r="V48" s="139">
        <v>0</v>
      </c>
      <c r="W48" s="139">
        <v>0</v>
      </c>
      <c r="X48" s="139">
        <v>0</v>
      </c>
      <c r="Y48" s="139">
        <v>0</v>
      </c>
      <c r="Z48" s="139">
        <v>0</v>
      </c>
      <c r="AA48" s="139">
        <v>0</v>
      </c>
      <c r="AB48" s="139">
        <v>0</v>
      </c>
      <c r="AC48" s="139">
        <v>0</v>
      </c>
      <c r="AD48" s="139">
        <v>0</v>
      </c>
      <c r="AE48" s="139">
        <v>0</v>
      </c>
      <c r="AF48" s="139">
        <v>0</v>
      </c>
      <c r="AG48" s="139">
        <v>0</v>
      </c>
      <c r="AH48" s="139">
        <v>0</v>
      </c>
      <c r="AI48" s="139">
        <v>0</v>
      </c>
      <c r="AJ48" s="139">
        <v>0</v>
      </c>
      <c r="AK48" s="139">
        <v>0</v>
      </c>
      <c r="AL48" s="139">
        <v>0</v>
      </c>
      <c r="AM48" s="139">
        <v>0</v>
      </c>
      <c r="AN48" s="139">
        <v>0</v>
      </c>
      <c r="AO48" s="139">
        <v>0</v>
      </c>
      <c r="AP48" s="139">
        <v>0</v>
      </c>
      <c r="AQ48" s="139">
        <v>0</v>
      </c>
      <c r="AR48" s="139">
        <v>0</v>
      </c>
      <c r="AS48" s="139">
        <v>0</v>
      </c>
      <c r="AT48" s="139">
        <v>0</v>
      </c>
      <c r="AU48" s="139">
        <v>0</v>
      </c>
      <c r="AV48" s="139">
        <v>0</v>
      </c>
      <c r="AW48" s="139">
        <v>0</v>
      </c>
      <c r="AX48" s="139">
        <v>0</v>
      </c>
      <c r="AY48" s="139">
        <v>0</v>
      </c>
      <c r="AZ48" s="139">
        <v>0</v>
      </c>
      <c r="BA48" s="139">
        <v>0</v>
      </c>
      <c r="BB48" s="139">
        <v>0</v>
      </c>
      <c r="BC48" s="139">
        <v>0</v>
      </c>
      <c r="BD48" s="139">
        <v>0.45582201999999999</v>
      </c>
    </row>
    <row r="49" spans="2:56" x14ac:dyDescent="0.55000000000000004">
      <c r="B49" s="142" t="s">
        <v>223</v>
      </c>
      <c r="C49" s="139">
        <v>0</v>
      </c>
      <c r="D49" s="139">
        <v>52.166806849999993</v>
      </c>
      <c r="E49" s="139">
        <v>99.304008759999988</v>
      </c>
      <c r="F49" s="139">
        <v>0</v>
      </c>
      <c r="G49" s="139">
        <v>64.113233410000007</v>
      </c>
      <c r="H49" s="139">
        <v>0</v>
      </c>
      <c r="I49" s="139">
        <v>0</v>
      </c>
      <c r="J49" s="139">
        <v>0</v>
      </c>
      <c r="K49" s="139">
        <v>128.28163587999998</v>
      </c>
      <c r="L49" s="139">
        <v>0</v>
      </c>
      <c r="M49" s="139">
        <v>0</v>
      </c>
      <c r="N49" s="139">
        <v>56.252224949999999</v>
      </c>
      <c r="O49" s="139">
        <v>23.95005982</v>
      </c>
      <c r="P49" s="139">
        <v>0</v>
      </c>
      <c r="Q49" s="139">
        <v>0</v>
      </c>
      <c r="R49" s="139">
        <v>3.8571004100000001</v>
      </c>
      <c r="S49" s="139">
        <v>0</v>
      </c>
      <c r="T49" s="139">
        <v>0.75948221999999999</v>
      </c>
      <c r="U49" s="139">
        <v>0</v>
      </c>
      <c r="V49" s="139">
        <v>0</v>
      </c>
      <c r="W49" s="139">
        <v>0.31270409999999998</v>
      </c>
      <c r="X49" s="139">
        <v>0</v>
      </c>
      <c r="Y49" s="139">
        <v>4.4130300000000001E-3</v>
      </c>
      <c r="Z49" s="139">
        <v>1.3718600000000001E-3</v>
      </c>
      <c r="AA49" s="139">
        <v>1.6432E-3</v>
      </c>
      <c r="AB49" s="139">
        <v>0</v>
      </c>
      <c r="AC49" s="139">
        <v>2.22047E-3</v>
      </c>
      <c r="AD49" s="139">
        <v>3.6740999999999996E-3</v>
      </c>
      <c r="AE49" s="139">
        <v>0</v>
      </c>
      <c r="AF49" s="139">
        <v>0</v>
      </c>
      <c r="AG49" s="139">
        <v>1.4575451399999999</v>
      </c>
      <c r="AH49" s="139">
        <v>0</v>
      </c>
      <c r="AI49" s="139">
        <v>0</v>
      </c>
      <c r="AJ49" s="139">
        <v>0</v>
      </c>
      <c r="AK49" s="139">
        <v>0.10607999999999999</v>
      </c>
      <c r="AL49" s="139">
        <v>0</v>
      </c>
      <c r="AM49" s="139">
        <v>0</v>
      </c>
      <c r="AN49" s="139">
        <v>2.4210100000000003E-3</v>
      </c>
      <c r="AO49" s="139">
        <v>5.8360000000000002E-2</v>
      </c>
      <c r="AP49" s="139">
        <v>0</v>
      </c>
      <c r="AQ49" s="139">
        <v>3.4319652499999997</v>
      </c>
      <c r="AR49" s="139">
        <v>0</v>
      </c>
      <c r="AS49" s="139">
        <v>1.43</v>
      </c>
      <c r="AT49" s="139">
        <v>0.54461280000000001</v>
      </c>
      <c r="AU49" s="139">
        <v>0</v>
      </c>
      <c r="AV49" s="139">
        <v>0</v>
      </c>
      <c r="AW49" s="139">
        <v>4.1640000000000003E-2</v>
      </c>
      <c r="AX49" s="139">
        <v>0</v>
      </c>
      <c r="AY49" s="139">
        <v>0.11366949000000001</v>
      </c>
      <c r="AZ49" s="139">
        <v>0</v>
      </c>
      <c r="BA49" s="139">
        <v>0.9793496399999998</v>
      </c>
      <c r="BB49" s="139">
        <v>0</v>
      </c>
      <c r="BC49" s="139">
        <v>0.23809606</v>
      </c>
      <c r="BD49" s="139">
        <v>0.18069895999999999</v>
      </c>
    </row>
    <row r="50" spans="2:56" x14ac:dyDescent="0.55000000000000004">
      <c r="B50" s="142" t="s">
        <v>377</v>
      </c>
      <c r="C50" s="139">
        <v>154.84084507</v>
      </c>
      <c r="D50" s="139">
        <v>0</v>
      </c>
      <c r="E50" s="139">
        <v>42.134820059999996</v>
      </c>
      <c r="F50" s="139">
        <v>159.08364871000001</v>
      </c>
      <c r="G50" s="139">
        <v>12.432743759999999</v>
      </c>
      <c r="H50" s="139">
        <v>139.11779885493149</v>
      </c>
      <c r="I50" s="139">
        <v>97.146453310000012</v>
      </c>
      <c r="J50" s="139">
        <v>2.5452054799999999</v>
      </c>
      <c r="K50" s="139">
        <v>0</v>
      </c>
      <c r="L50" s="139">
        <v>36.888594959999999</v>
      </c>
      <c r="M50" s="139">
        <v>119.99559331</v>
      </c>
      <c r="N50" s="139">
        <v>477.83213538999996</v>
      </c>
      <c r="O50" s="139">
        <v>49.780018829999996</v>
      </c>
      <c r="P50" s="139">
        <v>119.94236041000001</v>
      </c>
      <c r="Q50" s="139">
        <v>246.79688487999999</v>
      </c>
      <c r="R50" s="139">
        <v>9.9539731400000004</v>
      </c>
      <c r="S50" s="139">
        <v>50.837565079999997</v>
      </c>
      <c r="T50" s="139">
        <v>47.512329819999998</v>
      </c>
      <c r="U50" s="139">
        <v>28.795853709999999</v>
      </c>
      <c r="V50" s="139">
        <v>15.125187410000001</v>
      </c>
      <c r="W50" s="139">
        <v>11.258392739999998</v>
      </c>
      <c r="X50" s="139">
        <v>0</v>
      </c>
      <c r="Y50" s="139">
        <v>0</v>
      </c>
      <c r="Z50" s="139">
        <v>3.5075684299999996</v>
      </c>
      <c r="AA50" s="139">
        <v>0.45811896000000002</v>
      </c>
      <c r="AB50" s="139">
        <v>1.56746585</v>
      </c>
      <c r="AC50" s="139">
        <v>14.890243746100815</v>
      </c>
      <c r="AD50" s="139">
        <v>9.6203364100000002</v>
      </c>
      <c r="AE50" s="139">
        <v>0</v>
      </c>
      <c r="AF50" s="139">
        <v>0</v>
      </c>
      <c r="AG50" s="139">
        <v>0.55376725000000004</v>
      </c>
      <c r="AH50" s="139">
        <v>4.2116439000000003</v>
      </c>
      <c r="AI50" s="139">
        <v>4.11151176</v>
      </c>
      <c r="AJ50" s="139">
        <v>0</v>
      </c>
      <c r="AK50" s="139">
        <v>0</v>
      </c>
      <c r="AL50" s="139">
        <v>0</v>
      </c>
      <c r="AM50" s="139">
        <v>0</v>
      </c>
      <c r="AN50" s="139">
        <v>2.1171231499999998</v>
      </c>
      <c r="AO50" s="139">
        <v>0</v>
      </c>
      <c r="AP50" s="139">
        <v>2.1750000200000001</v>
      </c>
      <c r="AQ50" s="139">
        <v>0</v>
      </c>
      <c r="AR50" s="139">
        <v>0</v>
      </c>
      <c r="AS50" s="139">
        <v>0</v>
      </c>
      <c r="AT50" s="139">
        <v>0.26066483999999995</v>
      </c>
      <c r="AU50" s="139">
        <v>0</v>
      </c>
      <c r="AV50" s="139">
        <v>0.21797</v>
      </c>
      <c r="AW50" s="139">
        <v>0</v>
      </c>
      <c r="AX50" s="139">
        <v>0.29033345999999999</v>
      </c>
      <c r="AY50" s="139">
        <v>0</v>
      </c>
      <c r="AZ50" s="139">
        <v>0</v>
      </c>
      <c r="BA50" s="139">
        <v>1.3011164199999998</v>
      </c>
      <c r="BB50" s="139">
        <v>3.8337755100000011</v>
      </c>
      <c r="BC50" s="139">
        <v>0</v>
      </c>
      <c r="BD50" s="139">
        <v>5.0301370000000005E-2</v>
      </c>
    </row>
    <row r="51" spans="2:56" x14ac:dyDescent="0.55000000000000004">
      <c r="B51" s="141" t="s">
        <v>378</v>
      </c>
      <c r="C51" s="139">
        <v>121.21174968999999</v>
      </c>
      <c r="D51" s="139">
        <v>18.498129670000004</v>
      </c>
      <c r="E51" s="139">
        <v>324.50105274000003</v>
      </c>
      <c r="F51" s="139">
        <v>171.63457033999998</v>
      </c>
      <c r="G51" s="139">
        <v>157.21462571999999</v>
      </c>
      <c r="H51" s="139">
        <v>91.416064000000006</v>
      </c>
      <c r="I51" s="139">
        <v>115.09448350000002</v>
      </c>
      <c r="J51" s="139">
        <v>249.78055142000002</v>
      </c>
      <c r="K51" s="139">
        <v>129.17840246000003</v>
      </c>
      <c r="L51" s="139">
        <v>157.3262949999999</v>
      </c>
      <c r="M51" s="139">
        <v>403.82102652999998</v>
      </c>
      <c r="N51" s="139">
        <v>140.88473680000007</v>
      </c>
      <c r="O51" s="139">
        <v>196.35829148999997</v>
      </c>
      <c r="P51" s="139">
        <v>84.02407039287651</v>
      </c>
      <c r="Q51" s="139">
        <v>381.69084219999996</v>
      </c>
      <c r="R51" s="139">
        <v>100.52403376999999</v>
      </c>
      <c r="S51" s="139">
        <v>111.63272095000001</v>
      </c>
      <c r="T51" s="139">
        <v>289.00968188000002</v>
      </c>
      <c r="U51" s="139">
        <v>214.14939733999995</v>
      </c>
      <c r="V51" s="139">
        <v>26.14390671</v>
      </c>
      <c r="W51" s="139">
        <v>8.0826129399999989</v>
      </c>
      <c r="X51" s="139">
        <v>1.4999999999999999E-2</v>
      </c>
      <c r="Y51" s="139">
        <v>0</v>
      </c>
      <c r="Z51" s="139">
        <v>22.696332769999994</v>
      </c>
      <c r="AA51" s="139">
        <v>5.625563950000001</v>
      </c>
      <c r="AB51" s="139">
        <v>1.6299330000000001E-2</v>
      </c>
      <c r="AC51" s="139">
        <v>1.34802467</v>
      </c>
      <c r="AD51" s="139">
        <v>10.862900680000001</v>
      </c>
      <c r="AE51" s="139">
        <v>32.137484360000002</v>
      </c>
      <c r="AF51" s="139">
        <v>3.6720860000000001E-2</v>
      </c>
      <c r="AG51" s="139">
        <v>1.1057673499999998</v>
      </c>
      <c r="AH51" s="139">
        <v>20.084609710000006</v>
      </c>
      <c r="AI51" s="139">
        <v>0.5439043400000001</v>
      </c>
      <c r="AJ51" s="139">
        <v>1.1777269099999998</v>
      </c>
      <c r="AK51" s="139">
        <v>0.48997600000000002</v>
      </c>
      <c r="AL51" s="139">
        <v>6.6196540000000012E-2</v>
      </c>
      <c r="AM51" s="139">
        <v>1.7580216500000001</v>
      </c>
      <c r="AN51" s="139">
        <v>9.1833200000000018E-3</v>
      </c>
      <c r="AO51" s="139">
        <v>0</v>
      </c>
      <c r="AP51" s="139">
        <v>1.0970790000000001E-2</v>
      </c>
      <c r="AQ51" s="139">
        <v>3.8823364900000001</v>
      </c>
      <c r="AR51" s="139">
        <v>1.791647E-2</v>
      </c>
      <c r="AS51" s="139">
        <v>2.69</v>
      </c>
      <c r="AT51" s="139">
        <v>8.9124850000000005E-2</v>
      </c>
      <c r="AU51" s="139">
        <v>1.9257729999999997E-2</v>
      </c>
      <c r="AV51" s="139">
        <v>0.52385999999999999</v>
      </c>
      <c r="AW51" s="139">
        <v>1.368795</v>
      </c>
      <c r="AX51" s="139">
        <v>0.68552702999999993</v>
      </c>
      <c r="AY51" s="139">
        <v>0.87591936000000004</v>
      </c>
      <c r="AZ51" s="139">
        <v>0</v>
      </c>
      <c r="BA51" s="139">
        <v>1.75437943</v>
      </c>
      <c r="BB51" s="139">
        <v>5.3313563999999953</v>
      </c>
      <c r="BC51" s="139">
        <v>8.45750125</v>
      </c>
      <c r="BD51" s="139">
        <v>0.29303159000000006</v>
      </c>
    </row>
    <row r="52" spans="2:56" x14ac:dyDescent="0.55000000000000004">
      <c r="B52" s="142" t="s">
        <v>379</v>
      </c>
      <c r="C52" s="139">
        <v>0</v>
      </c>
      <c r="D52" s="139">
        <v>0</v>
      </c>
      <c r="E52" s="139">
        <v>0</v>
      </c>
      <c r="F52" s="139">
        <v>0</v>
      </c>
      <c r="G52" s="139">
        <v>2.7336977299999998</v>
      </c>
      <c r="H52" s="139">
        <v>0</v>
      </c>
      <c r="I52" s="139">
        <v>0.14141982</v>
      </c>
      <c r="J52" s="139">
        <v>4.2698106100000004</v>
      </c>
      <c r="K52" s="139">
        <v>0.11637177999999999</v>
      </c>
      <c r="L52" s="139">
        <v>0</v>
      </c>
      <c r="M52" s="139">
        <v>0</v>
      </c>
      <c r="N52" s="139">
        <v>23.05155628</v>
      </c>
      <c r="O52" s="139">
        <v>10.085755190000002</v>
      </c>
      <c r="P52" s="139">
        <v>0</v>
      </c>
      <c r="Q52" s="139">
        <v>0</v>
      </c>
      <c r="R52" s="139">
        <v>0.22845691000000001</v>
      </c>
      <c r="S52" s="139">
        <v>0</v>
      </c>
      <c r="T52" s="139">
        <v>0</v>
      </c>
      <c r="U52" s="139">
        <v>3.1141030000000001</v>
      </c>
      <c r="V52" s="139">
        <v>0</v>
      </c>
      <c r="W52" s="139">
        <v>0</v>
      </c>
      <c r="X52" s="139">
        <v>0</v>
      </c>
      <c r="Y52" s="139">
        <v>0</v>
      </c>
      <c r="Z52" s="139">
        <v>0</v>
      </c>
      <c r="AA52" s="139">
        <v>0</v>
      </c>
      <c r="AB52" s="139">
        <v>0</v>
      </c>
      <c r="AC52" s="139">
        <v>0</v>
      </c>
      <c r="AD52" s="139">
        <v>0</v>
      </c>
      <c r="AE52" s="139">
        <v>0</v>
      </c>
      <c r="AF52" s="139">
        <v>0</v>
      </c>
      <c r="AG52" s="139">
        <v>0</v>
      </c>
      <c r="AH52" s="139">
        <v>0</v>
      </c>
      <c r="AI52" s="139">
        <v>0</v>
      </c>
      <c r="AJ52" s="139">
        <v>0</v>
      </c>
      <c r="AK52" s="139">
        <v>0</v>
      </c>
      <c r="AL52" s="139">
        <v>0</v>
      </c>
      <c r="AM52" s="139">
        <v>0</v>
      </c>
      <c r="AN52" s="139">
        <v>0</v>
      </c>
      <c r="AO52" s="139">
        <v>0</v>
      </c>
      <c r="AP52" s="139">
        <v>0</v>
      </c>
      <c r="AQ52" s="139">
        <v>0</v>
      </c>
      <c r="AR52" s="139">
        <v>0</v>
      </c>
      <c r="AS52" s="139">
        <v>0</v>
      </c>
      <c r="AT52" s="139">
        <v>0</v>
      </c>
      <c r="AU52" s="139">
        <v>0</v>
      </c>
      <c r="AV52" s="139">
        <v>0</v>
      </c>
      <c r="AW52" s="139">
        <v>0</v>
      </c>
      <c r="AX52" s="139">
        <v>0</v>
      </c>
      <c r="AY52" s="139">
        <v>0</v>
      </c>
      <c r="AZ52" s="139">
        <v>0</v>
      </c>
      <c r="BA52" s="139">
        <v>0</v>
      </c>
      <c r="BB52" s="139">
        <v>0</v>
      </c>
      <c r="BC52" s="139">
        <v>0</v>
      </c>
      <c r="BD52" s="139">
        <v>0</v>
      </c>
    </row>
    <row r="53" spans="2:56" x14ac:dyDescent="0.55000000000000004">
      <c r="B53" s="142" t="s">
        <v>380</v>
      </c>
      <c r="C53" s="139">
        <v>121.21174968999999</v>
      </c>
      <c r="D53" s="139">
        <v>15.614132490000003</v>
      </c>
      <c r="E53" s="139">
        <v>86.464208450000001</v>
      </c>
      <c r="F53" s="139">
        <v>171.63457033999998</v>
      </c>
      <c r="G53" s="139">
        <v>128.83322079999999</v>
      </c>
      <c r="H53" s="139">
        <v>62.167437999999997</v>
      </c>
      <c r="I53" s="139">
        <v>36.250842540000008</v>
      </c>
      <c r="J53" s="139">
        <v>245.51074081000002</v>
      </c>
      <c r="K53" s="139">
        <v>129.06203068000002</v>
      </c>
      <c r="L53" s="139">
        <v>141.70068414999992</v>
      </c>
      <c r="M53" s="139">
        <v>402.56728870000001</v>
      </c>
      <c r="N53" s="139">
        <v>102.54918458000006</v>
      </c>
      <c r="O53" s="139">
        <v>15.017091490000002</v>
      </c>
      <c r="P53" s="139">
        <v>68.766458402876509</v>
      </c>
      <c r="Q53" s="139">
        <v>381.69084219999996</v>
      </c>
      <c r="R53" s="139">
        <v>48.263605659999996</v>
      </c>
      <c r="S53" s="139">
        <v>111.4481729</v>
      </c>
      <c r="T53" s="139">
        <v>289.00968188000002</v>
      </c>
      <c r="U53" s="139">
        <v>202.53776085999996</v>
      </c>
      <c r="V53" s="139">
        <v>26.14390671</v>
      </c>
      <c r="W53" s="139">
        <v>0.30273612</v>
      </c>
      <c r="X53" s="139">
        <v>1.4999999999999999E-2</v>
      </c>
      <c r="Y53" s="139">
        <v>0</v>
      </c>
      <c r="Z53" s="139">
        <v>0.82168735999999998</v>
      </c>
      <c r="AA53" s="139">
        <v>0.45977515000000002</v>
      </c>
      <c r="AB53" s="139">
        <v>0.01</v>
      </c>
      <c r="AC53" s="139">
        <v>1.3388302000000001</v>
      </c>
      <c r="AD53" s="139">
        <v>10.791817399999999</v>
      </c>
      <c r="AE53" s="139">
        <v>32.137484360000002</v>
      </c>
      <c r="AF53" s="139">
        <v>3.0124999999999999E-2</v>
      </c>
      <c r="AG53" s="139">
        <v>1.1057673499999998</v>
      </c>
      <c r="AH53" s="139">
        <v>0.67290779000000012</v>
      </c>
      <c r="AI53" s="139">
        <v>0.5439043400000001</v>
      </c>
      <c r="AJ53" s="139">
        <v>1.1777269099999998</v>
      </c>
      <c r="AK53" s="139">
        <v>0.48997600000000002</v>
      </c>
      <c r="AL53" s="139">
        <v>6.6196540000000012E-2</v>
      </c>
      <c r="AM53" s="139">
        <v>1.7580216500000001</v>
      </c>
      <c r="AN53" s="139">
        <v>9.1833200000000018E-3</v>
      </c>
      <c r="AO53" s="139">
        <v>0</v>
      </c>
      <c r="AP53" s="139">
        <v>1.0970790000000001E-2</v>
      </c>
      <c r="AQ53" s="139">
        <v>3.8823364900000001</v>
      </c>
      <c r="AR53" s="139">
        <v>1.791647E-2</v>
      </c>
      <c r="AS53" s="139">
        <v>2.69</v>
      </c>
      <c r="AT53" s="139">
        <v>8.9124850000000005E-2</v>
      </c>
      <c r="AU53" s="139">
        <v>1.9257729999999997E-2</v>
      </c>
      <c r="AV53" s="139">
        <v>0.46029999999999999</v>
      </c>
      <c r="AW53" s="139">
        <v>1.368795</v>
      </c>
      <c r="AX53" s="139">
        <v>7.1902029999999992E-2</v>
      </c>
      <c r="AY53" s="139">
        <v>5.8621400000000011E-2</v>
      </c>
      <c r="AZ53" s="139">
        <v>0</v>
      </c>
      <c r="BA53" s="139">
        <v>6.5716860000000016E-2</v>
      </c>
      <c r="BB53" s="139">
        <v>5.3313563999999953</v>
      </c>
      <c r="BC53" s="139">
        <v>0</v>
      </c>
      <c r="BD53" s="139">
        <v>0.29288496000000003</v>
      </c>
    </row>
    <row r="54" spans="2:56" x14ac:dyDescent="0.55000000000000004">
      <c r="B54" s="142" t="s">
        <v>228</v>
      </c>
      <c r="C54" s="139">
        <v>0</v>
      </c>
      <c r="D54" s="139">
        <v>2.8839971800000002</v>
      </c>
      <c r="E54" s="139">
        <v>238.03684429000003</v>
      </c>
      <c r="F54" s="139">
        <v>0</v>
      </c>
      <c r="G54" s="139">
        <v>25.647707190000002</v>
      </c>
      <c r="H54" s="139">
        <v>29.248626000000002</v>
      </c>
      <c r="I54" s="139">
        <v>78.702221140000006</v>
      </c>
      <c r="J54" s="139">
        <v>0</v>
      </c>
      <c r="K54" s="139">
        <v>0</v>
      </c>
      <c r="L54" s="139">
        <v>15.625610849999997</v>
      </c>
      <c r="M54" s="139">
        <v>1.2537378300000002</v>
      </c>
      <c r="N54" s="139">
        <v>15.283995939999999</v>
      </c>
      <c r="O54" s="139">
        <v>171.25544480999997</v>
      </c>
      <c r="P54" s="139">
        <v>15.257611990000001</v>
      </c>
      <c r="Q54" s="139">
        <v>0</v>
      </c>
      <c r="R54" s="139">
        <v>52.031971200000001</v>
      </c>
      <c r="S54" s="139">
        <v>0.18454804999999999</v>
      </c>
      <c r="T54" s="139">
        <v>0</v>
      </c>
      <c r="U54" s="139">
        <v>8.4975334800000013</v>
      </c>
      <c r="V54" s="139">
        <v>0</v>
      </c>
      <c r="W54" s="139">
        <v>7.7798768199999992</v>
      </c>
      <c r="X54" s="139">
        <v>0</v>
      </c>
      <c r="Y54" s="139">
        <v>0</v>
      </c>
      <c r="Z54" s="139">
        <v>21.874645409999992</v>
      </c>
      <c r="AA54" s="139">
        <v>5.1657888000000005</v>
      </c>
      <c r="AB54" s="139">
        <v>6.2993300000000006E-3</v>
      </c>
      <c r="AC54" s="139">
        <v>9.1944700000000015E-3</v>
      </c>
      <c r="AD54" s="139">
        <v>7.1083279999999999E-2</v>
      </c>
      <c r="AE54" s="139">
        <v>0</v>
      </c>
      <c r="AF54" s="139">
        <v>6.5958600000000011E-3</v>
      </c>
      <c r="AG54" s="139">
        <v>0</v>
      </c>
      <c r="AH54" s="139">
        <v>19.411701920000002</v>
      </c>
      <c r="AI54" s="139">
        <v>0</v>
      </c>
      <c r="AJ54" s="139">
        <v>0</v>
      </c>
      <c r="AK54" s="139">
        <v>0</v>
      </c>
      <c r="AL54" s="139">
        <v>0</v>
      </c>
      <c r="AM54" s="139">
        <v>0</v>
      </c>
      <c r="AN54" s="139">
        <v>0</v>
      </c>
      <c r="AO54" s="139">
        <v>0</v>
      </c>
      <c r="AP54" s="139">
        <v>0</v>
      </c>
      <c r="AQ54" s="139">
        <v>0</v>
      </c>
      <c r="AR54" s="139">
        <v>0</v>
      </c>
      <c r="AS54" s="139">
        <v>0</v>
      </c>
      <c r="AT54" s="139">
        <v>0</v>
      </c>
      <c r="AU54" s="139">
        <v>0</v>
      </c>
      <c r="AV54" s="139">
        <v>6.3560000000000005E-2</v>
      </c>
      <c r="AW54" s="139">
        <v>0</v>
      </c>
      <c r="AX54" s="139">
        <v>0.61362499999999998</v>
      </c>
      <c r="AY54" s="139">
        <v>0.81729795999999999</v>
      </c>
      <c r="AZ54" s="139">
        <v>0</v>
      </c>
      <c r="BA54" s="139">
        <v>1.68866257</v>
      </c>
      <c r="BB54" s="139">
        <v>0</v>
      </c>
      <c r="BC54" s="139">
        <v>8.45750125</v>
      </c>
      <c r="BD54" s="139">
        <v>1.4662999999999997E-4</v>
      </c>
    </row>
    <row r="55" spans="2:56" x14ac:dyDescent="0.55000000000000004">
      <c r="B55" s="141" t="s">
        <v>381</v>
      </c>
      <c r="C55" s="139">
        <v>10.560541412899999</v>
      </c>
      <c r="D55" s="139">
        <v>21.969715819999998</v>
      </c>
      <c r="E55" s="139">
        <v>85.708733039999984</v>
      </c>
      <c r="F55" s="139">
        <v>69.624390080000012</v>
      </c>
      <c r="G55" s="139">
        <v>61.087271893436743</v>
      </c>
      <c r="H55" s="139">
        <v>79.868465999999998</v>
      </c>
      <c r="I55" s="139">
        <v>22.024557129999991</v>
      </c>
      <c r="J55" s="139">
        <v>30.890112459999997</v>
      </c>
      <c r="K55" s="139">
        <v>14.337763519999999</v>
      </c>
      <c r="L55" s="139">
        <v>28.185508034399994</v>
      </c>
      <c r="M55" s="139">
        <v>47.353369044799948</v>
      </c>
      <c r="N55" s="139">
        <v>50.468940020000019</v>
      </c>
      <c r="O55" s="139">
        <v>42.319277480000004</v>
      </c>
      <c r="P55" s="139">
        <v>10.34315846</v>
      </c>
      <c r="Q55" s="139">
        <v>88.798450810000006</v>
      </c>
      <c r="R55" s="139">
        <v>49.498247200000002</v>
      </c>
      <c r="S55" s="139">
        <v>36.675104790000006</v>
      </c>
      <c r="T55" s="139">
        <v>56.709028899999957</v>
      </c>
      <c r="U55" s="139">
        <v>36.955373699999996</v>
      </c>
      <c r="V55" s="139">
        <v>68.894677950000002</v>
      </c>
      <c r="W55" s="139">
        <v>1.2570382400000002</v>
      </c>
      <c r="X55" s="139">
        <v>0</v>
      </c>
      <c r="Y55" s="139">
        <v>0</v>
      </c>
      <c r="Z55" s="139">
        <v>0.31681836999999996</v>
      </c>
      <c r="AA55" s="139">
        <v>4.6818000000000001E-4</v>
      </c>
      <c r="AB55" s="139">
        <v>0</v>
      </c>
      <c r="AC55" s="139">
        <v>1.6332174800000001</v>
      </c>
      <c r="AD55" s="139">
        <v>5.6389373699999998</v>
      </c>
      <c r="AE55" s="139">
        <v>0.36450749999999998</v>
      </c>
      <c r="AF55" s="139">
        <v>0</v>
      </c>
      <c r="AG55" s="139">
        <v>8.0849648099999811</v>
      </c>
      <c r="AH55" s="139">
        <v>0</v>
      </c>
      <c r="AI55" s="139">
        <v>0</v>
      </c>
      <c r="AJ55" s="139">
        <v>0</v>
      </c>
      <c r="AK55" s="139">
        <v>0</v>
      </c>
      <c r="AL55" s="139">
        <v>0</v>
      </c>
      <c r="AM55" s="139">
        <v>0</v>
      </c>
      <c r="AN55" s="139">
        <v>0</v>
      </c>
      <c r="AO55" s="139">
        <v>0</v>
      </c>
      <c r="AP55" s="139">
        <v>0</v>
      </c>
      <c r="AQ55" s="139">
        <v>0</v>
      </c>
      <c r="AR55" s="139">
        <v>0</v>
      </c>
      <c r="AS55" s="139">
        <v>0</v>
      </c>
      <c r="AT55" s="139">
        <v>0</v>
      </c>
      <c r="AU55" s="139">
        <v>0</v>
      </c>
      <c r="AV55" s="139">
        <v>0</v>
      </c>
      <c r="AW55" s="139">
        <v>0</v>
      </c>
      <c r="AX55" s="139">
        <v>0</v>
      </c>
      <c r="AY55" s="139">
        <v>0</v>
      </c>
      <c r="AZ55" s="139">
        <v>0</v>
      </c>
      <c r="BA55" s="139">
        <v>0</v>
      </c>
      <c r="BB55" s="139">
        <v>0</v>
      </c>
      <c r="BC55" s="139">
        <v>0</v>
      </c>
      <c r="BD55" s="139">
        <v>0</v>
      </c>
    </row>
    <row r="56" spans="2:56" x14ac:dyDescent="0.55000000000000004">
      <c r="B56" s="142" t="s">
        <v>230</v>
      </c>
      <c r="C56" s="139">
        <v>0</v>
      </c>
      <c r="D56" s="139">
        <v>4.0136444600000019</v>
      </c>
      <c r="E56" s="139">
        <v>17.868349349999999</v>
      </c>
      <c r="F56" s="139">
        <v>10.54193909</v>
      </c>
      <c r="G56" s="139">
        <v>0.16256420999999999</v>
      </c>
      <c r="H56" s="139">
        <v>0</v>
      </c>
      <c r="I56" s="139">
        <v>0.10794649999999706</v>
      </c>
      <c r="J56" s="139">
        <v>0</v>
      </c>
      <c r="K56" s="139">
        <v>0</v>
      </c>
      <c r="L56" s="139">
        <v>5.3516740143999995</v>
      </c>
      <c r="M56" s="139">
        <v>6.0299944947999595</v>
      </c>
      <c r="N56" s="139">
        <v>1.6925891000000015</v>
      </c>
      <c r="O56" s="139">
        <v>16.367052980000004</v>
      </c>
      <c r="P56" s="139">
        <v>0</v>
      </c>
      <c r="Q56" s="139">
        <v>4.6936558799999988</v>
      </c>
      <c r="R56" s="139">
        <v>0</v>
      </c>
      <c r="S56" s="139">
        <v>-1.0658581699999996</v>
      </c>
      <c r="T56" s="139">
        <v>0.18330682000000001</v>
      </c>
      <c r="U56" s="139">
        <v>2.0995096699999998</v>
      </c>
      <c r="V56" s="139">
        <v>5.3401983499999996</v>
      </c>
      <c r="W56" s="139">
        <v>0</v>
      </c>
      <c r="X56" s="139">
        <v>0</v>
      </c>
      <c r="Y56" s="139">
        <v>0</v>
      </c>
      <c r="Z56" s="139">
        <v>0.30081039999999998</v>
      </c>
      <c r="AA56" s="139">
        <v>4.6818000000000001E-4</v>
      </c>
      <c r="AB56" s="139">
        <v>0</v>
      </c>
      <c r="AC56" s="139">
        <v>0.86234884999999994</v>
      </c>
      <c r="AD56" s="139">
        <v>4.4123515499999995</v>
      </c>
      <c r="AE56" s="139">
        <v>0.32291186</v>
      </c>
      <c r="AF56" s="139">
        <v>0</v>
      </c>
      <c r="AG56" s="139">
        <v>1.7277813699999811</v>
      </c>
      <c r="AH56" s="139">
        <v>0</v>
      </c>
      <c r="AI56" s="139">
        <v>0</v>
      </c>
      <c r="AJ56" s="139">
        <v>0</v>
      </c>
      <c r="AK56" s="139">
        <v>0</v>
      </c>
      <c r="AL56" s="139">
        <v>0</v>
      </c>
      <c r="AM56" s="139">
        <v>0</v>
      </c>
      <c r="AN56" s="139">
        <v>0</v>
      </c>
      <c r="AO56" s="139">
        <v>0</v>
      </c>
      <c r="AP56" s="139">
        <v>0</v>
      </c>
      <c r="AQ56" s="139">
        <v>0</v>
      </c>
      <c r="AR56" s="139">
        <v>0</v>
      </c>
      <c r="AS56" s="139">
        <v>0</v>
      </c>
      <c r="AT56" s="139">
        <v>0</v>
      </c>
      <c r="AU56" s="139">
        <v>0</v>
      </c>
      <c r="AV56" s="139">
        <v>0</v>
      </c>
      <c r="AW56" s="139">
        <v>0</v>
      </c>
      <c r="AX56" s="139">
        <v>0</v>
      </c>
      <c r="AY56" s="139">
        <v>0</v>
      </c>
      <c r="AZ56" s="139">
        <v>0</v>
      </c>
      <c r="BA56" s="139">
        <v>0</v>
      </c>
      <c r="BB56" s="139">
        <v>0</v>
      </c>
      <c r="BC56" s="139">
        <v>0</v>
      </c>
      <c r="BD56" s="139">
        <v>0</v>
      </c>
    </row>
    <row r="57" spans="2:56" x14ac:dyDescent="0.55000000000000004">
      <c r="B57" s="142" t="s">
        <v>382</v>
      </c>
      <c r="C57" s="139">
        <v>10.560541412899999</v>
      </c>
      <c r="D57" s="139">
        <v>17.956071359999996</v>
      </c>
      <c r="E57" s="139">
        <v>67.840383689999982</v>
      </c>
      <c r="F57" s="139">
        <v>59.082450990000005</v>
      </c>
      <c r="G57" s="139">
        <v>60.924707683436743</v>
      </c>
      <c r="H57" s="139">
        <v>79.868465999999998</v>
      </c>
      <c r="I57" s="139">
        <v>21.916610629999994</v>
      </c>
      <c r="J57" s="139">
        <v>30.890112459999997</v>
      </c>
      <c r="K57" s="139">
        <v>14.337763519999999</v>
      </c>
      <c r="L57" s="139">
        <v>22.833834019999994</v>
      </c>
      <c r="M57" s="139">
        <v>41.32337454999999</v>
      </c>
      <c r="N57" s="139">
        <v>48.77635092000002</v>
      </c>
      <c r="O57" s="139">
        <v>25.9522245</v>
      </c>
      <c r="P57" s="139">
        <v>10.34315846</v>
      </c>
      <c r="Q57" s="139">
        <v>84.104794930000011</v>
      </c>
      <c r="R57" s="139">
        <v>49.498247200000002</v>
      </c>
      <c r="S57" s="139">
        <v>37.740962960000005</v>
      </c>
      <c r="T57" s="139">
        <v>56.525722079999959</v>
      </c>
      <c r="U57" s="139">
        <v>34.855864029999999</v>
      </c>
      <c r="V57" s="139">
        <v>63.554479600000008</v>
      </c>
      <c r="W57" s="139">
        <v>1.2570382400000002</v>
      </c>
      <c r="X57" s="139">
        <v>0</v>
      </c>
      <c r="Y57" s="139">
        <v>0</v>
      </c>
      <c r="Z57" s="139">
        <v>1.600797E-2</v>
      </c>
      <c r="AA57" s="139">
        <v>0</v>
      </c>
      <c r="AB57" s="139">
        <v>0</v>
      </c>
      <c r="AC57" s="139">
        <v>0.77086863000000005</v>
      </c>
      <c r="AD57" s="139">
        <v>1.2265858199999997</v>
      </c>
      <c r="AE57" s="139">
        <v>4.1595639999999996E-2</v>
      </c>
      <c r="AF57" s="139">
        <v>0</v>
      </c>
      <c r="AG57" s="139">
        <v>6.3571834400000009</v>
      </c>
      <c r="AH57" s="139">
        <v>0</v>
      </c>
      <c r="AI57" s="139">
        <v>0</v>
      </c>
      <c r="AJ57" s="139">
        <v>0</v>
      </c>
      <c r="AK57" s="139">
        <v>0</v>
      </c>
      <c r="AL57" s="139">
        <v>0</v>
      </c>
      <c r="AM57" s="139">
        <v>0</v>
      </c>
      <c r="AN57" s="139">
        <v>0</v>
      </c>
      <c r="AO57" s="139">
        <v>0</v>
      </c>
      <c r="AP57" s="139">
        <v>0</v>
      </c>
      <c r="AQ57" s="139">
        <v>0</v>
      </c>
      <c r="AR57" s="139">
        <v>0</v>
      </c>
      <c r="AS57" s="139">
        <v>0</v>
      </c>
      <c r="AT57" s="139">
        <v>0</v>
      </c>
      <c r="AU57" s="139">
        <v>0</v>
      </c>
      <c r="AV57" s="139">
        <v>0</v>
      </c>
      <c r="AW57" s="139">
        <v>0</v>
      </c>
      <c r="AX57" s="139">
        <v>0</v>
      </c>
      <c r="AY57" s="139">
        <v>0</v>
      </c>
      <c r="AZ57" s="139">
        <v>0</v>
      </c>
      <c r="BA57" s="139">
        <v>0</v>
      </c>
      <c r="BB57" s="139">
        <v>0</v>
      </c>
      <c r="BC57" s="139">
        <v>0</v>
      </c>
      <c r="BD57" s="139">
        <v>0</v>
      </c>
    </row>
    <row r="58" spans="2:56" x14ac:dyDescent="0.55000000000000004">
      <c r="B58" s="141" t="s">
        <v>383</v>
      </c>
      <c r="C58" s="139">
        <v>41.212700810641252</v>
      </c>
      <c r="D58" s="139">
        <v>143.71852569000004</v>
      </c>
      <c r="E58" s="139">
        <v>26.908225939999998</v>
      </c>
      <c r="F58" s="139">
        <v>70.415404620000004</v>
      </c>
      <c r="G58" s="139">
        <v>6.6627594999999982</v>
      </c>
      <c r="H58" s="139">
        <v>17.893616000000002</v>
      </c>
      <c r="I58" s="139">
        <v>6.5884750000000006E-2</v>
      </c>
      <c r="J58" s="139">
        <v>1.6086429999999999E-2</v>
      </c>
      <c r="K58" s="139">
        <v>0</v>
      </c>
      <c r="L58" s="139">
        <v>9.463949999999997E-3</v>
      </c>
      <c r="M58" s="139">
        <v>32.790164919999995</v>
      </c>
      <c r="N58" s="139">
        <v>90.542977169999915</v>
      </c>
      <c r="O58" s="139">
        <v>26.647455019999953</v>
      </c>
      <c r="P58" s="139">
        <v>21.49002485168004</v>
      </c>
      <c r="Q58" s="139">
        <v>8.3286355100000016</v>
      </c>
      <c r="R58" s="139">
        <v>8.7654139200000003</v>
      </c>
      <c r="S58" s="139">
        <v>53.061716700000005</v>
      </c>
      <c r="T58" s="139">
        <v>0</v>
      </c>
      <c r="U58" s="139">
        <v>-23.834439579999998</v>
      </c>
      <c r="V58" s="139">
        <v>78.723423940000032</v>
      </c>
      <c r="W58" s="139">
        <v>3.8541792399999997</v>
      </c>
      <c r="X58" s="139">
        <v>0.23799999999999999</v>
      </c>
      <c r="Y58" s="139">
        <v>0</v>
      </c>
      <c r="Z58" s="139">
        <v>2.3188010000000002E-2</v>
      </c>
      <c r="AA58" s="139">
        <v>0</v>
      </c>
      <c r="AB58" s="139">
        <v>2.7606619000000001</v>
      </c>
      <c r="AC58" s="139">
        <v>45.046606749999981</v>
      </c>
      <c r="AD58" s="139">
        <v>21.754692090000002</v>
      </c>
      <c r="AE58" s="139">
        <v>7.7450729699998941</v>
      </c>
      <c r="AF58" s="139">
        <v>0.23191999999999999</v>
      </c>
      <c r="AG58" s="139">
        <v>19.989975999999995</v>
      </c>
      <c r="AH58" s="139">
        <v>1.53</v>
      </c>
      <c r="AI58" s="139">
        <v>11.63096296</v>
      </c>
      <c r="AJ58" s="139">
        <v>0.11536285</v>
      </c>
      <c r="AK58" s="139">
        <v>0.57081599999999999</v>
      </c>
      <c r="AL58" s="139">
        <v>2.2423880200000004</v>
      </c>
      <c r="AM58" s="139">
        <v>0.46107332999999995</v>
      </c>
      <c r="AN58" s="139">
        <v>1.00288333</v>
      </c>
      <c r="AO58" s="139">
        <v>0</v>
      </c>
      <c r="AP58" s="139">
        <v>1.36514778</v>
      </c>
      <c r="AQ58" s="139">
        <v>7.7955252100000001</v>
      </c>
      <c r="AR58" s="139">
        <v>1.7398405299999999</v>
      </c>
      <c r="AS58" s="139">
        <v>0.505</v>
      </c>
      <c r="AT58" s="139">
        <v>2.0753168400000002</v>
      </c>
      <c r="AU58" s="139">
        <v>9.3064380000000002E-2</v>
      </c>
      <c r="AV58" s="139">
        <v>0.60609999999999997</v>
      </c>
      <c r="AW58" s="139">
        <v>2.9999999999999997E-5</v>
      </c>
      <c r="AX58" s="139">
        <v>4.0905307500000001</v>
      </c>
      <c r="AY58" s="139">
        <v>0</v>
      </c>
      <c r="AZ58" s="139">
        <v>0</v>
      </c>
      <c r="BA58" s="139">
        <v>3.7999999999999999E-2</v>
      </c>
      <c r="BB58" s="139">
        <v>1.1193726000000002</v>
      </c>
      <c r="BC58" s="139">
        <v>1.7000000000000001E-2</v>
      </c>
      <c r="BD58" s="139">
        <v>6.2773132999999994</v>
      </c>
    </row>
    <row r="59" spans="2:56" x14ac:dyDescent="0.55000000000000004">
      <c r="B59" s="141" t="s">
        <v>384</v>
      </c>
      <c r="C59" s="139">
        <v>0</v>
      </c>
      <c r="D59" s="139">
        <v>21.745723779999999</v>
      </c>
      <c r="E59" s="139">
        <v>0</v>
      </c>
      <c r="F59" s="139">
        <v>55.46885443</v>
      </c>
      <c r="G59" s="139">
        <v>0</v>
      </c>
      <c r="H59" s="139">
        <v>0</v>
      </c>
      <c r="I59" s="139">
        <v>7.3557700000000004E-2</v>
      </c>
      <c r="J59" s="139">
        <v>0</v>
      </c>
      <c r="K59" s="139">
        <v>0</v>
      </c>
      <c r="L59" s="139">
        <v>0</v>
      </c>
      <c r="M59" s="139">
        <v>0.47193792000000001</v>
      </c>
      <c r="N59" s="139">
        <v>15.128613609999999</v>
      </c>
      <c r="O59" s="139">
        <v>0</v>
      </c>
      <c r="P59" s="139">
        <v>6.29869E-3</v>
      </c>
      <c r="Q59" s="139">
        <v>0</v>
      </c>
      <c r="R59" s="139">
        <v>1.59556948</v>
      </c>
      <c r="S59" s="139">
        <v>-0.28605301999999999</v>
      </c>
      <c r="T59" s="139">
        <v>0.47033010999999997</v>
      </c>
      <c r="U59" s="139">
        <v>0.22162393999999999</v>
      </c>
      <c r="V59" s="139">
        <v>54.929911429999997</v>
      </c>
      <c r="W59" s="139">
        <v>0</v>
      </c>
      <c r="X59" s="139">
        <v>0</v>
      </c>
      <c r="Y59" s="139">
        <v>0</v>
      </c>
      <c r="Z59" s="139">
        <v>0.14866788</v>
      </c>
      <c r="AA59" s="139">
        <v>0</v>
      </c>
      <c r="AB59" s="139">
        <v>0</v>
      </c>
      <c r="AC59" s="139">
        <v>1.2050000000000001</v>
      </c>
      <c r="AD59" s="139">
        <v>4.4999999999999998E-2</v>
      </c>
      <c r="AE59" s="139">
        <v>0</v>
      </c>
      <c r="AF59" s="139">
        <v>0</v>
      </c>
      <c r="AG59" s="139">
        <v>2.4513194499999993</v>
      </c>
      <c r="AH59" s="139">
        <v>0</v>
      </c>
      <c r="AI59" s="139">
        <v>0.20191999999999999</v>
      </c>
      <c r="AJ59" s="139">
        <v>0</v>
      </c>
      <c r="AK59" s="139">
        <v>0</v>
      </c>
      <c r="AL59" s="139">
        <v>0</v>
      </c>
      <c r="AM59" s="139">
        <v>0</v>
      </c>
      <c r="AN59" s="139">
        <v>0.28218640999999994</v>
      </c>
      <c r="AO59" s="139">
        <v>0</v>
      </c>
      <c r="AP59" s="139">
        <v>0.14320717999999999</v>
      </c>
      <c r="AQ59" s="139">
        <v>0.09</v>
      </c>
      <c r="AR59" s="139">
        <v>0</v>
      </c>
      <c r="AS59" s="139">
        <v>0</v>
      </c>
      <c r="AT59" s="139">
        <v>0.80201091000000013</v>
      </c>
      <c r="AU59" s="139">
        <v>4.4999999999999997E-3</v>
      </c>
      <c r="AV59" s="139">
        <v>0</v>
      </c>
      <c r="AW59" s="139">
        <v>0</v>
      </c>
      <c r="AX59" s="139">
        <v>0</v>
      </c>
      <c r="AY59" s="139">
        <v>4.8211080000000003E-2</v>
      </c>
      <c r="AZ59" s="139">
        <v>0.1000505</v>
      </c>
      <c r="BA59" s="139">
        <v>0</v>
      </c>
      <c r="BB59" s="139">
        <v>0</v>
      </c>
      <c r="BC59" s="139">
        <v>0</v>
      </c>
      <c r="BD59" s="139">
        <v>-0.29499999999999998</v>
      </c>
    </row>
    <row r="60" spans="2:56" x14ac:dyDescent="0.55000000000000004">
      <c r="B60" s="141" t="s">
        <v>385</v>
      </c>
      <c r="C60" s="139">
        <v>183.25554177025032</v>
      </c>
      <c r="D60" s="139">
        <v>117.6028109329834</v>
      </c>
      <c r="E60" s="139">
        <v>0</v>
      </c>
      <c r="F60" s="139">
        <v>0</v>
      </c>
      <c r="G60" s="139">
        <v>46.961115126451745</v>
      </c>
      <c r="H60" s="139">
        <v>50.006568000000001</v>
      </c>
      <c r="I60" s="139">
        <v>28.674839261029938</v>
      </c>
      <c r="J60" s="139">
        <v>0</v>
      </c>
      <c r="K60" s="139">
        <v>0</v>
      </c>
      <c r="L60" s="139">
        <v>0</v>
      </c>
      <c r="M60" s="139">
        <v>0</v>
      </c>
      <c r="N60" s="139">
        <v>0</v>
      </c>
      <c r="O60" s="139">
        <v>0</v>
      </c>
      <c r="P60" s="139">
        <v>3.1420860000000002E-2</v>
      </c>
      <c r="Q60" s="139">
        <v>0</v>
      </c>
      <c r="R60" s="139">
        <v>0</v>
      </c>
      <c r="S60" s="139">
        <v>0</v>
      </c>
      <c r="T60" s="139">
        <v>0</v>
      </c>
      <c r="U60" s="139">
        <v>0</v>
      </c>
      <c r="V60" s="139">
        <v>58.00986691</v>
      </c>
      <c r="W60" s="139">
        <v>55.613389026676451</v>
      </c>
      <c r="X60" s="139">
        <v>0</v>
      </c>
      <c r="Y60" s="139">
        <v>0</v>
      </c>
      <c r="Z60" s="139">
        <v>0</v>
      </c>
      <c r="AA60" s="139">
        <v>49.754923344004247</v>
      </c>
      <c r="AB60" s="139">
        <v>0</v>
      </c>
      <c r="AC60" s="139">
        <v>0</v>
      </c>
      <c r="AD60" s="139">
        <v>0</v>
      </c>
      <c r="AE60" s="139">
        <v>0</v>
      </c>
      <c r="AF60" s="139">
        <v>0</v>
      </c>
      <c r="AG60" s="139">
        <v>0</v>
      </c>
      <c r="AH60" s="139">
        <v>0</v>
      </c>
      <c r="AI60" s="139">
        <v>0</v>
      </c>
      <c r="AJ60" s="139">
        <v>0</v>
      </c>
      <c r="AK60" s="139">
        <v>0</v>
      </c>
      <c r="AL60" s="139">
        <v>0</v>
      </c>
      <c r="AM60" s="139">
        <v>0</v>
      </c>
      <c r="AN60" s="139">
        <v>0</v>
      </c>
      <c r="AO60" s="139">
        <v>0</v>
      </c>
      <c r="AP60" s="139">
        <v>0</v>
      </c>
      <c r="AQ60" s="139">
        <v>0</v>
      </c>
      <c r="AR60" s="139">
        <v>1.6872059046999002</v>
      </c>
      <c r="AS60" s="139">
        <v>0</v>
      </c>
      <c r="AT60" s="139">
        <v>18.526734009999998</v>
      </c>
      <c r="AU60" s="139">
        <v>0</v>
      </c>
      <c r="AV60" s="139">
        <v>20.287599999999998</v>
      </c>
      <c r="AW60" s="139">
        <v>0</v>
      </c>
      <c r="AX60" s="139">
        <v>0</v>
      </c>
      <c r="AY60" s="139">
        <v>0</v>
      </c>
      <c r="AZ60" s="139">
        <v>0</v>
      </c>
      <c r="BA60" s="139">
        <v>0</v>
      </c>
      <c r="BB60" s="139">
        <v>0</v>
      </c>
      <c r="BC60" s="139">
        <v>0</v>
      </c>
      <c r="BD60" s="139">
        <v>0</v>
      </c>
    </row>
    <row r="61" spans="2:56" x14ac:dyDescent="0.55000000000000004">
      <c r="B61" s="141" t="s">
        <v>386</v>
      </c>
      <c r="C61" s="139">
        <v>0</v>
      </c>
      <c r="D61" s="139">
        <v>0</v>
      </c>
      <c r="E61" s="139">
        <v>1.5188950000000001</v>
      </c>
      <c r="F61" s="139">
        <v>0</v>
      </c>
      <c r="G61" s="139">
        <v>0.58410775999999998</v>
      </c>
      <c r="H61" s="139">
        <v>0</v>
      </c>
      <c r="I61" s="139">
        <v>0</v>
      </c>
      <c r="J61" s="139">
        <v>0</v>
      </c>
      <c r="K61" s="139">
        <v>0</v>
      </c>
      <c r="L61" s="139">
        <v>0</v>
      </c>
      <c r="M61" s="139">
        <v>0</v>
      </c>
      <c r="N61" s="139">
        <v>0.42463451799999996</v>
      </c>
      <c r="O61" s="139">
        <v>0</v>
      </c>
      <c r="P61" s="139">
        <v>0</v>
      </c>
      <c r="Q61" s="139">
        <v>2.3188949300000004</v>
      </c>
      <c r="R61" s="139">
        <v>0</v>
      </c>
      <c r="S61" s="139">
        <v>0.82875398</v>
      </c>
      <c r="T61" s="139">
        <v>0</v>
      </c>
      <c r="U61" s="139">
        <v>0</v>
      </c>
      <c r="V61" s="139">
        <v>5.5426160000000002E-2</v>
      </c>
      <c r="W61" s="139">
        <v>0.14973860999999999</v>
      </c>
      <c r="X61" s="139">
        <v>0</v>
      </c>
      <c r="Y61" s="139">
        <v>0</v>
      </c>
      <c r="Z61" s="139">
        <v>0</v>
      </c>
      <c r="AA61" s="139">
        <v>0</v>
      </c>
      <c r="AB61" s="139">
        <v>0</v>
      </c>
      <c r="AC61" s="139">
        <v>0</v>
      </c>
      <c r="AD61" s="139">
        <v>0</v>
      </c>
      <c r="AE61" s="139">
        <v>0</v>
      </c>
      <c r="AF61" s="139">
        <v>0</v>
      </c>
      <c r="AG61" s="139">
        <v>0</v>
      </c>
      <c r="AH61" s="139">
        <v>0</v>
      </c>
      <c r="AI61" s="139">
        <v>0.15101645999999999</v>
      </c>
      <c r="AJ61" s="139">
        <v>0</v>
      </c>
      <c r="AK61" s="139">
        <v>0</v>
      </c>
      <c r="AL61" s="139">
        <v>0</v>
      </c>
      <c r="AM61" s="139">
        <v>0</v>
      </c>
      <c r="AN61" s="139">
        <v>0</v>
      </c>
      <c r="AO61" s="139">
        <v>0</v>
      </c>
      <c r="AP61" s="139">
        <v>0</v>
      </c>
      <c r="AQ61" s="139">
        <v>0</v>
      </c>
      <c r="AR61" s="139">
        <v>0</v>
      </c>
      <c r="AS61" s="139">
        <v>0</v>
      </c>
      <c r="AT61" s="139">
        <v>1.2</v>
      </c>
      <c r="AU61" s="139">
        <v>0</v>
      </c>
      <c r="AV61" s="139">
        <v>0.4</v>
      </c>
      <c r="AW61" s="139">
        <v>0</v>
      </c>
      <c r="AX61" s="139">
        <v>0</v>
      </c>
      <c r="AY61" s="139">
        <v>0</v>
      </c>
      <c r="AZ61" s="139">
        <v>0</v>
      </c>
      <c r="BA61" s="139">
        <v>0</v>
      </c>
      <c r="BB61" s="139">
        <v>0</v>
      </c>
      <c r="BC61" s="139">
        <v>0</v>
      </c>
      <c r="BD61" s="139">
        <v>0</v>
      </c>
    </row>
    <row r="62" spans="2:56" x14ac:dyDescent="0.55000000000000004">
      <c r="B62" s="141" t="s">
        <v>387</v>
      </c>
      <c r="C62" s="139">
        <v>0</v>
      </c>
      <c r="D62" s="139">
        <v>0</v>
      </c>
      <c r="E62" s="139">
        <v>0</v>
      </c>
      <c r="F62" s="139">
        <v>0</v>
      </c>
      <c r="G62" s="139">
        <v>0</v>
      </c>
      <c r="H62" s="139">
        <v>0</v>
      </c>
      <c r="I62" s="139">
        <v>0</v>
      </c>
      <c r="J62" s="139">
        <v>0</v>
      </c>
      <c r="K62" s="139">
        <v>0</v>
      </c>
      <c r="L62" s="139">
        <v>0</v>
      </c>
      <c r="M62" s="139">
        <v>0</v>
      </c>
      <c r="N62" s="139">
        <v>-2.0292609999999996E-2</v>
      </c>
      <c r="O62" s="139">
        <v>0</v>
      </c>
      <c r="P62" s="139">
        <v>0</v>
      </c>
      <c r="Q62" s="139">
        <v>0</v>
      </c>
      <c r="R62" s="139">
        <v>0</v>
      </c>
      <c r="S62" s="139">
        <v>0</v>
      </c>
      <c r="T62" s="139">
        <v>0</v>
      </c>
      <c r="U62" s="139">
        <v>0</v>
      </c>
      <c r="V62" s="139">
        <v>2.146E-2</v>
      </c>
      <c r="W62" s="139">
        <v>0</v>
      </c>
      <c r="X62" s="139">
        <v>0</v>
      </c>
      <c r="Y62" s="139">
        <v>0</v>
      </c>
      <c r="Z62" s="139">
        <v>0</v>
      </c>
      <c r="AA62" s="139">
        <v>0</v>
      </c>
      <c r="AB62" s="139">
        <v>0</v>
      </c>
      <c r="AC62" s="139">
        <v>0</v>
      </c>
      <c r="AD62" s="139">
        <v>0</v>
      </c>
      <c r="AE62" s="139">
        <v>0</v>
      </c>
      <c r="AF62" s="139">
        <v>0</v>
      </c>
      <c r="AG62" s="139">
        <v>0</v>
      </c>
      <c r="AH62" s="139">
        <v>0</v>
      </c>
      <c r="AI62" s="139">
        <v>0</v>
      </c>
      <c r="AJ62" s="139">
        <v>0</v>
      </c>
      <c r="AK62" s="139">
        <v>0</v>
      </c>
      <c r="AL62" s="139">
        <v>0</v>
      </c>
      <c r="AM62" s="139">
        <v>0</v>
      </c>
      <c r="AN62" s="139">
        <v>0</v>
      </c>
      <c r="AO62" s="139">
        <v>0</v>
      </c>
      <c r="AP62" s="139">
        <v>0</v>
      </c>
      <c r="AQ62" s="139">
        <v>0</v>
      </c>
      <c r="AR62" s="139">
        <v>0</v>
      </c>
      <c r="AS62" s="139">
        <v>0</v>
      </c>
      <c r="AT62" s="139">
        <v>0</v>
      </c>
      <c r="AU62" s="139">
        <v>0</v>
      </c>
      <c r="AV62" s="139">
        <v>0</v>
      </c>
      <c r="AW62" s="139">
        <v>0</v>
      </c>
      <c r="AX62" s="139">
        <v>0</v>
      </c>
      <c r="AY62" s="139">
        <v>0</v>
      </c>
      <c r="AZ62" s="139">
        <v>0</v>
      </c>
      <c r="BA62" s="139">
        <v>0</v>
      </c>
      <c r="BB62" s="139">
        <v>0</v>
      </c>
      <c r="BC62" s="139">
        <v>0</v>
      </c>
      <c r="BD62" s="139">
        <v>0</v>
      </c>
    </row>
    <row r="63" spans="2:56" x14ac:dyDescent="0.55000000000000004">
      <c r="B63" s="193" t="s">
        <v>388</v>
      </c>
      <c r="C63" s="139">
        <v>0</v>
      </c>
      <c r="D63" s="139">
        <v>0</v>
      </c>
      <c r="E63" s="139">
        <v>0</v>
      </c>
      <c r="F63" s="139">
        <v>0</v>
      </c>
      <c r="G63" s="139">
        <v>0</v>
      </c>
      <c r="H63" s="139">
        <v>0</v>
      </c>
      <c r="I63" s="139">
        <v>0</v>
      </c>
      <c r="J63" s="139">
        <v>0</v>
      </c>
      <c r="K63" s="139">
        <v>0</v>
      </c>
      <c r="L63" s="139">
        <v>0</v>
      </c>
      <c r="M63" s="139">
        <v>0</v>
      </c>
      <c r="N63" s="139">
        <v>0</v>
      </c>
      <c r="O63" s="139">
        <v>0</v>
      </c>
      <c r="P63" s="139">
        <v>0</v>
      </c>
      <c r="Q63" s="139">
        <v>0</v>
      </c>
      <c r="R63" s="139">
        <v>0</v>
      </c>
      <c r="S63" s="139">
        <v>0</v>
      </c>
      <c r="T63" s="139">
        <v>0</v>
      </c>
      <c r="U63" s="139">
        <v>0</v>
      </c>
      <c r="V63" s="139">
        <v>0</v>
      </c>
      <c r="W63" s="139">
        <v>0</v>
      </c>
      <c r="X63" s="139">
        <v>2.843</v>
      </c>
      <c r="Y63" s="139">
        <v>8.72926</v>
      </c>
      <c r="Z63" s="139">
        <v>0</v>
      </c>
      <c r="AA63" s="139">
        <v>104.20535271149558</v>
      </c>
      <c r="AB63" s="139">
        <v>0</v>
      </c>
      <c r="AC63" s="139">
        <v>0</v>
      </c>
      <c r="AD63" s="139">
        <v>0</v>
      </c>
      <c r="AE63" s="139">
        <v>0</v>
      </c>
      <c r="AF63" s="139">
        <v>1.8008292100000065</v>
      </c>
      <c r="AG63" s="139">
        <v>0</v>
      </c>
      <c r="AH63" s="139">
        <v>0</v>
      </c>
      <c r="AI63" s="139">
        <v>0</v>
      </c>
      <c r="AJ63" s="139">
        <v>4.8316518099999994</v>
      </c>
      <c r="AK63" s="139">
        <v>0</v>
      </c>
      <c r="AL63" s="139">
        <v>0</v>
      </c>
      <c r="AM63" s="139">
        <v>0</v>
      </c>
      <c r="AN63" s="139">
        <v>0</v>
      </c>
      <c r="AO63" s="139">
        <v>0.65758224999904635</v>
      </c>
      <c r="AP63" s="139">
        <v>15.313038473700436</v>
      </c>
      <c r="AQ63" s="139">
        <v>0</v>
      </c>
      <c r="AR63" s="139">
        <v>0</v>
      </c>
      <c r="AS63" s="139">
        <v>0</v>
      </c>
      <c r="AT63" s="139">
        <v>0</v>
      </c>
      <c r="AU63" s="139">
        <v>0</v>
      </c>
      <c r="AV63" s="139">
        <v>0</v>
      </c>
      <c r="AW63" s="139">
        <v>0</v>
      </c>
      <c r="AX63" s="139">
        <v>0</v>
      </c>
      <c r="AY63" s="139">
        <v>45.959629999999997</v>
      </c>
      <c r="AZ63" s="139">
        <v>0.55835239999999997</v>
      </c>
      <c r="BA63" s="139">
        <v>0</v>
      </c>
      <c r="BB63" s="139">
        <v>0</v>
      </c>
      <c r="BC63" s="139">
        <v>0</v>
      </c>
      <c r="BD63" s="139">
        <v>0</v>
      </c>
    </row>
    <row r="64" spans="2:56" s="167" customFormat="1" x14ac:dyDescent="0.55000000000000004">
      <c r="B64" s="194" t="s">
        <v>389</v>
      </c>
      <c r="C64" s="146">
        <v>2237.0577624199245</v>
      </c>
      <c r="D64" s="146">
        <v>2683.0001911989011</v>
      </c>
      <c r="E64" s="146">
        <v>3635.9988695238567</v>
      </c>
      <c r="F64" s="146">
        <v>3191.4536394200004</v>
      </c>
      <c r="G64" s="146">
        <v>959.13467863720348</v>
      </c>
      <c r="H64" s="146">
        <v>2292.4567658549317</v>
      </c>
      <c r="I64" s="146">
        <v>1292.4814303356204</v>
      </c>
      <c r="J64" s="146">
        <v>2003.8999985211763</v>
      </c>
      <c r="K64" s="146">
        <v>2261.6063815500033</v>
      </c>
      <c r="L64" s="146">
        <v>1365.1751084943967</v>
      </c>
      <c r="M64" s="146">
        <v>2866.7245007347983</v>
      </c>
      <c r="N64" s="146">
        <v>2487.6483107579988</v>
      </c>
      <c r="O64" s="146">
        <v>2117.55639187</v>
      </c>
      <c r="P64" s="146">
        <v>1490.2292630845488</v>
      </c>
      <c r="Q64" s="146">
        <v>3966.2989459099999</v>
      </c>
      <c r="R64" s="146">
        <v>1527.6450784199994</v>
      </c>
      <c r="S64" s="146">
        <v>2159.5791968700628</v>
      </c>
      <c r="T64" s="146">
        <v>2235.1099310899999</v>
      </c>
      <c r="U64" s="146">
        <v>2165.1297553915288</v>
      </c>
      <c r="V64" s="146">
        <v>1769.2289572600009</v>
      </c>
      <c r="W64" s="146">
        <v>432.48160162667716</v>
      </c>
      <c r="X64" s="146">
        <v>4.9240000000000004</v>
      </c>
      <c r="Y64" s="146">
        <v>11.67742215</v>
      </c>
      <c r="Z64" s="146">
        <v>433.62190510999977</v>
      </c>
      <c r="AA64" s="146">
        <v>205.24466329449979</v>
      </c>
      <c r="AB64" s="146">
        <v>51.20081158</v>
      </c>
      <c r="AC64" s="146">
        <v>916.01795524012243</v>
      </c>
      <c r="AD64" s="146">
        <v>720.85994360999996</v>
      </c>
      <c r="AE64" s="146">
        <v>512.71565502999999</v>
      </c>
      <c r="AF64" s="146">
        <v>10.646437680000007</v>
      </c>
      <c r="AG64" s="146">
        <v>473.06604802221568</v>
      </c>
      <c r="AH64" s="146">
        <v>509.19832256519732</v>
      </c>
      <c r="AI64" s="146">
        <v>471.80640189999997</v>
      </c>
      <c r="AJ64" s="146">
        <v>36.77273541000001</v>
      </c>
      <c r="AK64" s="146">
        <v>11.625719</v>
      </c>
      <c r="AL64" s="146">
        <v>45.350424963268111</v>
      </c>
      <c r="AM64" s="146">
        <v>43.603443120000009</v>
      </c>
      <c r="AN64" s="146">
        <v>30.963472253333343</v>
      </c>
      <c r="AO64" s="146">
        <v>0.77131224999904635</v>
      </c>
      <c r="AP64" s="146">
        <v>77.891153183700425</v>
      </c>
      <c r="AQ64" s="146">
        <v>233.6027203699999</v>
      </c>
      <c r="AR64" s="146">
        <v>76.278321224699908</v>
      </c>
      <c r="AS64" s="146">
        <v>56.043999999999997</v>
      </c>
      <c r="AT64" s="146">
        <v>69.236197969999992</v>
      </c>
      <c r="AU64" s="146">
        <v>32.916683899999249</v>
      </c>
      <c r="AV64" s="146">
        <v>69.980239999999995</v>
      </c>
      <c r="AW64" s="146">
        <v>52.558199999999999</v>
      </c>
      <c r="AX64" s="146">
        <v>26.134068650000007</v>
      </c>
      <c r="AY64" s="146">
        <v>69.543246839999995</v>
      </c>
      <c r="AZ64" s="146">
        <v>0.65840290000000001</v>
      </c>
      <c r="BA64" s="146">
        <v>60.44473264999997</v>
      </c>
      <c r="BB64" s="146">
        <v>167.41751349000015</v>
      </c>
      <c r="BC64" s="146">
        <v>182.81190406900043</v>
      </c>
      <c r="BD64" s="146">
        <v>72.720798289999991</v>
      </c>
    </row>
  </sheetData>
  <conditionalFormatting sqref="C4:BD4">
    <cfRule type="cellIs" dxfId="15" priority="3" operator="notBetween">
      <formula>-0.9</formula>
      <formula>0.9</formula>
    </cfRule>
    <cfRule type="cellIs" dxfId="14" priority="4" operator="between">
      <formula>-0.9</formula>
      <formula>0.9</formula>
    </cfRule>
  </conditionalFormatting>
  <conditionalFormatting sqref="D40:BD40">
    <cfRule type="cellIs" dxfId="13" priority="1" operator="notEqual">
      <formula>0</formula>
    </cfRule>
    <cfRule type="cellIs" dxfId="12"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BA1D-7F32-4447-8C5F-741F21964E8E}">
  <sheetPr codeName="Sheet83"/>
  <dimension ref="B2:BH63"/>
  <sheetViews>
    <sheetView workbookViewId="0">
      <pane xSplit="2" ySplit="4" topLeftCell="W5"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34.87890625" style="195" bestFit="1" customWidth="1"/>
    <col min="3" max="6" width="12.703125" style="34" bestFit="1" customWidth="1"/>
    <col min="7" max="7" width="11.5859375" style="34" bestFit="1" customWidth="1"/>
    <col min="8" max="23" width="12.703125" style="34" bestFit="1" customWidth="1"/>
    <col min="24" max="24" width="11.5859375" style="34" bestFit="1" customWidth="1"/>
    <col min="25" max="25" width="8.703125" style="34" bestFit="1" customWidth="1"/>
    <col min="26" max="26" width="10.41015625" style="34" bestFit="1" customWidth="1"/>
    <col min="27" max="28" width="11.5859375" style="34" bestFit="1" customWidth="1"/>
    <col min="29" max="29" width="10.41015625" style="34" bestFit="1" customWidth="1"/>
    <col min="30" max="32" width="11.5859375" style="34" bestFit="1" customWidth="1"/>
    <col min="33" max="33" width="10.41015625" style="34" bestFit="1" customWidth="1"/>
    <col min="34" max="36" width="11.5859375" style="34" bestFit="1" customWidth="1"/>
    <col min="37" max="37" width="10.41015625" style="34" bestFit="1" customWidth="1"/>
    <col min="38" max="38" width="8.703125" style="34" bestFit="1" customWidth="1"/>
    <col min="39" max="52" width="10.41015625" style="34" bestFit="1" customWidth="1"/>
    <col min="53" max="53" width="10" style="34" customWidth="1"/>
    <col min="54" max="54" width="10.41015625" style="34" bestFit="1" customWidth="1"/>
    <col min="55" max="56" width="11.5859375" style="34" bestFit="1" customWidth="1"/>
    <col min="57" max="16384" width="9.1171875" style="34"/>
  </cols>
  <sheetData>
    <row r="2" spans="2:56" x14ac:dyDescent="0.55000000000000004">
      <c r="B2" s="113" t="s">
        <v>118</v>
      </c>
    </row>
    <row r="3" spans="2:56" s="167" customFormat="1" ht="61.35" x14ac:dyDescent="0.55000000000000004">
      <c r="B3" s="191" t="s">
        <v>298</v>
      </c>
      <c r="C3" s="166" t="s">
        <v>983</v>
      </c>
      <c r="D3" s="166" t="s">
        <v>984</v>
      </c>
      <c r="E3" s="166" t="s">
        <v>985</v>
      </c>
      <c r="F3" s="166" t="s">
        <v>986</v>
      </c>
      <c r="G3" s="166" t="s">
        <v>987</v>
      </c>
      <c r="H3" s="166" t="s">
        <v>988</v>
      </c>
      <c r="I3" s="166" t="s">
        <v>989</v>
      </c>
      <c r="J3" s="166" t="s">
        <v>990</v>
      </c>
      <c r="K3" s="166" t="s">
        <v>991</v>
      </c>
      <c r="L3" s="166" t="s">
        <v>992</v>
      </c>
      <c r="M3" s="166" t="s">
        <v>993</v>
      </c>
      <c r="N3" s="166" t="s">
        <v>994</v>
      </c>
      <c r="O3" s="166" t="s">
        <v>995</v>
      </c>
      <c r="P3" s="166" t="s">
        <v>996</v>
      </c>
      <c r="Q3" s="166" t="s">
        <v>997</v>
      </c>
      <c r="R3" s="166" t="s">
        <v>998</v>
      </c>
      <c r="S3" s="166" t="s">
        <v>999</v>
      </c>
      <c r="T3" s="166" t="s">
        <v>1000</v>
      </c>
      <c r="U3" s="166" t="s">
        <v>1001</v>
      </c>
      <c r="V3" s="166" t="s">
        <v>1002</v>
      </c>
      <c r="W3" s="166" t="s">
        <v>1003</v>
      </c>
      <c r="X3" s="166" t="s">
        <v>1004</v>
      </c>
      <c r="Y3" s="166" t="s">
        <v>1005</v>
      </c>
      <c r="Z3" s="166" t="s">
        <v>1006</v>
      </c>
      <c r="AA3" s="166" t="s">
        <v>1007</v>
      </c>
      <c r="AB3" s="166" t="s">
        <v>1008</v>
      </c>
      <c r="AC3" s="166" t="s">
        <v>1009</v>
      </c>
      <c r="AD3" s="166" t="s">
        <v>1010</v>
      </c>
      <c r="AE3" s="166" t="s">
        <v>1011</v>
      </c>
      <c r="AF3" s="166" t="s">
        <v>1012</v>
      </c>
      <c r="AG3" s="166" t="s">
        <v>1013</v>
      </c>
      <c r="AH3" s="166" t="s">
        <v>1014</v>
      </c>
      <c r="AI3" s="166" t="s">
        <v>1015</v>
      </c>
      <c r="AJ3" s="166" t="s">
        <v>1016</v>
      </c>
      <c r="AK3" s="166" t="s">
        <v>1017</v>
      </c>
      <c r="AL3" s="166" t="s">
        <v>1018</v>
      </c>
      <c r="AM3" s="166" t="s">
        <v>1019</v>
      </c>
      <c r="AN3" s="166" t="s">
        <v>1020</v>
      </c>
      <c r="AO3" s="166" t="s">
        <v>1021</v>
      </c>
      <c r="AP3" s="166" t="s">
        <v>1022</v>
      </c>
      <c r="AQ3" s="166" t="s">
        <v>1023</v>
      </c>
      <c r="AR3" s="166" t="s">
        <v>1024</v>
      </c>
      <c r="AS3" s="166" t="s">
        <v>1025</v>
      </c>
      <c r="AT3" s="166" t="s">
        <v>1026</v>
      </c>
      <c r="AU3" s="166" t="s">
        <v>1027</v>
      </c>
      <c r="AV3" s="166" t="s">
        <v>1028</v>
      </c>
      <c r="AW3" s="166" t="s">
        <v>1029</v>
      </c>
      <c r="AX3" s="166" t="s">
        <v>1030</v>
      </c>
      <c r="AY3" s="166" t="s">
        <v>1031</v>
      </c>
      <c r="AZ3" s="166" t="s">
        <v>1032</v>
      </c>
      <c r="BA3" s="166" t="s">
        <v>1033</v>
      </c>
      <c r="BB3" s="166" t="s">
        <v>1034</v>
      </c>
      <c r="BC3" s="166" t="s">
        <v>1035</v>
      </c>
      <c r="BD3" s="166" t="s">
        <v>1036</v>
      </c>
    </row>
    <row r="4" spans="2:56" x14ac:dyDescent="0.55000000000000004">
      <c r="B4" s="198" t="s">
        <v>390</v>
      </c>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row>
    <row r="5" spans="2:56" x14ac:dyDescent="0.55000000000000004">
      <c r="B5" s="200" t="s">
        <v>244</v>
      </c>
      <c r="C5" s="201">
        <v>6927.6091759299998</v>
      </c>
      <c r="D5" s="201">
        <v>20548.7604858021</v>
      </c>
      <c r="E5" s="201">
        <v>19510.470370024988</v>
      </c>
      <c r="F5" s="201">
        <v>16322.559154159993</v>
      </c>
      <c r="G5" s="201">
        <v>13231.364738110002</v>
      </c>
      <c r="H5" s="201">
        <v>13882.044522140011</v>
      </c>
      <c r="I5" s="201">
        <v>7861.0578040600003</v>
      </c>
      <c r="J5" s="201">
        <v>11223.893465890003</v>
      </c>
      <c r="K5" s="201">
        <v>22113.833960790002</v>
      </c>
      <c r="L5" s="201">
        <v>5205.7066138999999</v>
      </c>
      <c r="M5" s="201">
        <v>11762.253484830006</v>
      </c>
      <c r="N5" s="201">
        <v>12527.666528170053</v>
      </c>
      <c r="O5" s="201">
        <v>14800.317420869998</v>
      </c>
      <c r="P5" s="201">
        <v>50576.109999999986</v>
      </c>
      <c r="Q5" s="201">
        <v>21986.648308499993</v>
      </c>
      <c r="R5" s="201">
        <v>13803.211439540004</v>
      </c>
      <c r="S5" s="201">
        <v>18242.442661550052</v>
      </c>
      <c r="T5" s="201">
        <v>13943.04723573</v>
      </c>
      <c r="U5" s="201">
        <v>11347.595026379986</v>
      </c>
      <c r="V5" s="201">
        <v>8027.2764376599989</v>
      </c>
      <c r="W5" s="201">
        <v>1178.8969304830002</v>
      </c>
      <c r="X5" s="201">
        <v>64.537999999999997</v>
      </c>
      <c r="Y5" s="201">
        <v>507.762</v>
      </c>
      <c r="Z5" s="201">
        <v>1857.7927187970001</v>
      </c>
      <c r="AA5" s="201">
        <v>956.43257039999992</v>
      </c>
      <c r="AB5" s="201">
        <v>213.68653275000005</v>
      </c>
      <c r="AC5" s="201">
        <v>3044.6493107300025</v>
      </c>
      <c r="AD5" s="201">
        <v>3703.3329949100007</v>
      </c>
      <c r="AE5" s="201">
        <v>5308.1913059700018</v>
      </c>
      <c r="AF5" s="201">
        <v>69.59978959</v>
      </c>
      <c r="AG5" s="201">
        <v>3572.2129227439996</v>
      </c>
      <c r="AH5" s="201">
        <v>3177.3612424982903</v>
      </c>
      <c r="AI5" s="201">
        <v>6407.8966631119974</v>
      </c>
      <c r="AJ5" s="201">
        <v>268.93116553999994</v>
      </c>
      <c r="AK5" s="201">
        <v>306.37112303999999</v>
      </c>
      <c r="AL5" s="201">
        <v>559.08353719999991</v>
      </c>
      <c r="AM5" s="201">
        <v>352.82295258000011</v>
      </c>
      <c r="AN5" s="201">
        <v>153.63084617999999</v>
      </c>
      <c r="AO5" s="201">
        <v>2.0136500000000001E-3</v>
      </c>
      <c r="AP5" s="201">
        <v>672.4487701100004</v>
      </c>
      <c r="AQ5" s="201">
        <v>450.88855999999998</v>
      </c>
      <c r="AR5" s="201">
        <v>535.55673000000002</v>
      </c>
      <c r="AS5" s="201">
        <v>375.66500000000002</v>
      </c>
      <c r="AT5" s="201">
        <v>500.14429999999993</v>
      </c>
      <c r="AU5" s="201">
        <v>557.20262427</v>
      </c>
      <c r="AV5" s="201">
        <v>372.3038699999999</v>
      </c>
      <c r="AW5" s="201">
        <v>293.58083140000002</v>
      </c>
      <c r="AX5" s="201">
        <v>510.89528797999998</v>
      </c>
      <c r="AY5" s="201">
        <v>200.57939210000006</v>
      </c>
      <c r="AZ5" s="201">
        <v>49.186900600000001</v>
      </c>
      <c r="BA5" s="201">
        <v>223.88213000000002</v>
      </c>
      <c r="BB5" s="201">
        <v>944.37009131000002</v>
      </c>
      <c r="BC5" s="201">
        <v>767.04433070699986</v>
      </c>
      <c r="BD5" s="201">
        <v>478.99623000000003</v>
      </c>
    </row>
    <row r="6" spans="2:56" x14ac:dyDescent="0.55000000000000004">
      <c r="B6" s="200" t="s">
        <v>245</v>
      </c>
      <c r="C6" s="201">
        <v>725.69892396000012</v>
      </c>
      <c r="D6" s="201">
        <v>1241.8753936875994</v>
      </c>
      <c r="E6" s="201">
        <v>672.19377325999938</v>
      </c>
      <c r="F6" s="201">
        <v>824.78872088000014</v>
      </c>
      <c r="G6" s="201">
        <v>0</v>
      </c>
      <c r="H6" s="201">
        <v>314.81594299999995</v>
      </c>
      <c r="I6" s="201">
        <v>53.266381129999992</v>
      </c>
      <c r="J6" s="201">
        <v>164.91168313</v>
      </c>
      <c r="K6" s="201">
        <v>2714.8745864999992</v>
      </c>
      <c r="L6" s="201">
        <v>265.73043576999993</v>
      </c>
      <c r="M6" s="201">
        <v>921.59819961999949</v>
      </c>
      <c r="N6" s="201">
        <v>792.08442738999975</v>
      </c>
      <c r="O6" s="201">
        <v>878.12977453999997</v>
      </c>
      <c r="P6" s="201">
        <v>903.41000000000008</v>
      </c>
      <c r="Q6" s="201">
        <v>752.83904200000006</v>
      </c>
      <c r="R6" s="201">
        <v>384.71544810999984</v>
      </c>
      <c r="S6" s="201">
        <v>740.53215710000006</v>
      </c>
      <c r="T6" s="201">
        <v>700.99207418999981</v>
      </c>
      <c r="U6" s="201">
        <v>463.44753372000002</v>
      </c>
      <c r="V6" s="201">
        <v>927.73261948999925</v>
      </c>
      <c r="W6" s="201">
        <v>89.406270139999961</v>
      </c>
      <c r="X6" s="201">
        <v>0</v>
      </c>
      <c r="Y6" s="201">
        <v>0</v>
      </c>
      <c r="Z6" s="201">
        <v>23.356448660000002</v>
      </c>
      <c r="AA6" s="201">
        <v>14.295213670000001</v>
      </c>
      <c r="AB6" s="201">
        <v>27.990516979999995</v>
      </c>
      <c r="AC6" s="201">
        <v>143.47741001</v>
      </c>
      <c r="AD6" s="201">
        <v>352.30951938999993</v>
      </c>
      <c r="AE6" s="201">
        <v>105.26959849999999</v>
      </c>
      <c r="AF6" s="201">
        <v>37.993807729999993</v>
      </c>
      <c r="AG6" s="201">
        <v>149.01492218000001</v>
      </c>
      <c r="AH6" s="201">
        <v>344.76566468999999</v>
      </c>
      <c r="AI6" s="201">
        <v>187.17938878000007</v>
      </c>
      <c r="AJ6" s="201">
        <v>0</v>
      </c>
      <c r="AK6" s="201">
        <v>2.4746999999999999</v>
      </c>
      <c r="AL6" s="201">
        <v>5.4487069800000008</v>
      </c>
      <c r="AM6" s="201">
        <v>0</v>
      </c>
      <c r="AN6" s="201">
        <v>23.594961099999999</v>
      </c>
      <c r="AO6" s="201">
        <v>0</v>
      </c>
      <c r="AP6" s="201">
        <v>22.759546809999996</v>
      </c>
      <c r="AQ6" s="201">
        <v>8.8017299999999992</v>
      </c>
      <c r="AR6" s="201">
        <v>37.986499999999999</v>
      </c>
      <c r="AS6" s="201">
        <v>31.797000000000001</v>
      </c>
      <c r="AT6" s="201">
        <v>45.643299999999996</v>
      </c>
      <c r="AU6" s="201">
        <v>0</v>
      </c>
      <c r="AV6" s="201">
        <v>14.817869999999999</v>
      </c>
      <c r="AW6" s="201">
        <v>22.03</v>
      </c>
      <c r="AX6" s="201">
        <v>9.6852397000000021</v>
      </c>
      <c r="AY6" s="201">
        <v>1.5</v>
      </c>
      <c r="AZ6" s="201">
        <v>0</v>
      </c>
      <c r="BA6" s="201">
        <v>8.4211000000000009</v>
      </c>
      <c r="BB6" s="201">
        <v>62.684181720000005</v>
      </c>
      <c r="BC6" s="201">
        <v>11.764291019999998</v>
      </c>
      <c r="BD6" s="201">
        <v>68.327429999999993</v>
      </c>
    </row>
    <row r="7" spans="2:56" x14ac:dyDescent="0.55000000000000004">
      <c r="B7" s="200" t="s">
        <v>246</v>
      </c>
      <c r="C7" s="201">
        <v>2947.406591429999</v>
      </c>
      <c r="D7" s="201">
        <v>111.45</v>
      </c>
      <c r="E7" s="201">
        <v>421.04421874000002</v>
      </c>
      <c r="F7" s="201">
        <v>963.74316824999971</v>
      </c>
      <c r="G7" s="201">
        <v>0</v>
      </c>
      <c r="H7" s="201">
        <v>0</v>
      </c>
      <c r="I7" s="201">
        <v>221.70636062</v>
      </c>
      <c r="J7" s="201">
        <v>0</v>
      </c>
      <c r="K7" s="201">
        <v>0</v>
      </c>
      <c r="L7" s="201">
        <v>263.09867271000002</v>
      </c>
      <c r="M7" s="201">
        <v>1032.4548015299999</v>
      </c>
      <c r="N7" s="201">
        <v>45.231625970000024</v>
      </c>
      <c r="O7" s="201">
        <v>613.61531138000009</v>
      </c>
      <c r="P7" s="201">
        <v>1425.38</v>
      </c>
      <c r="Q7" s="201">
        <v>120.17493284</v>
      </c>
      <c r="R7" s="201">
        <v>1179.01595924</v>
      </c>
      <c r="S7" s="201">
        <v>139.97144815000001</v>
      </c>
      <c r="T7" s="201">
        <v>1355.0689516</v>
      </c>
      <c r="U7" s="201">
        <v>187.71569769999999</v>
      </c>
      <c r="V7" s="201">
        <v>0</v>
      </c>
      <c r="W7" s="201">
        <v>2.2828862600000002</v>
      </c>
      <c r="X7" s="201">
        <v>0</v>
      </c>
      <c r="Y7" s="201">
        <v>0</v>
      </c>
      <c r="Z7" s="201">
        <v>0</v>
      </c>
      <c r="AA7" s="201">
        <v>0</v>
      </c>
      <c r="AB7" s="201">
        <v>0</v>
      </c>
      <c r="AC7" s="201">
        <v>4.7055928199999997</v>
      </c>
      <c r="AD7" s="201">
        <v>146.48935390999998</v>
      </c>
      <c r="AE7" s="201">
        <v>0</v>
      </c>
      <c r="AF7" s="201">
        <v>0</v>
      </c>
      <c r="AG7" s="201">
        <v>42.449668730000006</v>
      </c>
      <c r="AH7" s="201">
        <v>110.39474133000002</v>
      </c>
      <c r="AI7" s="201">
        <v>0</v>
      </c>
      <c r="AJ7" s="201">
        <v>0</v>
      </c>
      <c r="AK7" s="201">
        <v>0</v>
      </c>
      <c r="AL7" s="201">
        <v>0</v>
      </c>
      <c r="AM7" s="201">
        <v>0</v>
      </c>
      <c r="AN7" s="201">
        <v>4.5</v>
      </c>
      <c r="AO7" s="201">
        <v>0</v>
      </c>
      <c r="AP7" s="201">
        <v>0</v>
      </c>
      <c r="AQ7" s="201">
        <v>10.100460000000002</v>
      </c>
      <c r="AR7" s="201">
        <v>0</v>
      </c>
      <c r="AS7" s="201">
        <v>0</v>
      </c>
      <c r="AT7" s="201">
        <v>0</v>
      </c>
      <c r="AU7" s="201">
        <v>0</v>
      </c>
      <c r="AV7" s="201">
        <v>0</v>
      </c>
      <c r="AW7" s="201">
        <v>28.725615449999996</v>
      </c>
      <c r="AX7" s="201">
        <v>0</v>
      </c>
      <c r="AY7" s="201">
        <v>0</v>
      </c>
      <c r="AZ7" s="201">
        <v>0</v>
      </c>
      <c r="BA7" s="201">
        <v>0.87824000000000002</v>
      </c>
      <c r="BB7" s="201">
        <v>14.233999519999998</v>
      </c>
      <c r="BC7" s="201">
        <v>0</v>
      </c>
      <c r="BD7" s="201">
        <v>0</v>
      </c>
    </row>
    <row r="8" spans="2:56" ht="31.35" x14ac:dyDescent="0.55000000000000004">
      <c r="B8" s="200" t="s">
        <v>247</v>
      </c>
      <c r="C8" s="201">
        <v>46836.710952009998</v>
      </c>
      <c r="D8" s="201">
        <v>34287.620989072107</v>
      </c>
      <c r="E8" s="201">
        <v>77609.340141997032</v>
      </c>
      <c r="F8" s="201">
        <v>100583.41474085249</v>
      </c>
      <c r="G8" s="201">
        <v>12845.315427556001</v>
      </c>
      <c r="H8" s="201">
        <v>86059.147163840054</v>
      </c>
      <c r="I8" s="201">
        <v>43649.147901696997</v>
      </c>
      <c r="J8" s="201">
        <v>52663.678290010008</v>
      </c>
      <c r="K8" s="201">
        <v>10064.120898790003</v>
      </c>
      <c r="L8" s="201">
        <v>33874.680196910005</v>
      </c>
      <c r="M8" s="201">
        <v>48979.644697379998</v>
      </c>
      <c r="N8" s="201">
        <v>44860.633209730004</v>
      </c>
      <c r="O8" s="201">
        <v>32440.23645217</v>
      </c>
      <c r="P8" s="201">
        <v>18742.500000000004</v>
      </c>
      <c r="Q8" s="201">
        <v>93109.085475050015</v>
      </c>
      <c r="R8" s="201">
        <v>21576.876764060005</v>
      </c>
      <c r="S8" s="201">
        <v>22886.489775419992</v>
      </c>
      <c r="T8" s="201">
        <v>37356.11961057</v>
      </c>
      <c r="U8" s="201">
        <v>45242.082769829998</v>
      </c>
      <c r="V8" s="201">
        <v>33639.438082700995</v>
      </c>
      <c r="W8" s="201">
        <v>1060.3873726249999</v>
      </c>
      <c r="X8" s="201">
        <v>0.96399999999999997</v>
      </c>
      <c r="Y8" s="201">
        <v>538.03700000000003</v>
      </c>
      <c r="Z8" s="201">
        <v>2005.6527434000002</v>
      </c>
      <c r="AA8" s="201">
        <v>810.58750612999995</v>
      </c>
      <c r="AB8" s="201">
        <v>268.44983235000007</v>
      </c>
      <c r="AC8" s="201">
        <v>4279.3181973700002</v>
      </c>
      <c r="AD8" s="201">
        <v>3436.5214981900008</v>
      </c>
      <c r="AE8" s="201">
        <v>2517.2658112400009</v>
      </c>
      <c r="AF8" s="201">
        <v>145.79163147</v>
      </c>
      <c r="AG8" s="201">
        <v>4798.5058238600004</v>
      </c>
      <c r="AH8" s="201">
        <v>8120.2148567271979</v>
      </c>
      <c r="AI8" s="201">
        <v>2963.9490183399998</v>
      </c>
      <c r="AJ8" s="201">
        <v>141.32516953000001</v>
      </c>
      <c r="AK8" s="201">
        <v>18.311329999999998</v>
      </c>
      <c r="AL8" s="201">
        <v>172.12898140999999</v>
      </c>
      <c r="AM8" s="201">
        <v>72.077747819999985</v>
      </c>
      <c r="AN8" s="201">
        <v>31.63775351</v>
      </c>
      <c r="AO8" s="201">
        <v>63.699513659999994</v>
      </c>
      <c r="AP8" s="201">
        <v>193.05877094000002</v>
      </c>
      <c r="AQ8" s="201">
        <v>566.65929000000006</v>
      </c>
      <c r="AR8" s="201">
        <v>149.14088000000001</v>
      </c>
      <c r="AS8" s="201">
        <v>343.24</v>
      </c>
      <c r="AT8" s="201">
        <v>265.38362000000001</v>
      </c>
      <c r="AU8" s="201">
        <v>191.18586741999997</v>
      </c>
      <c r="AV8" s="201">
        <v>369.11080000000004</v>
      </c>
      <c r="AW8" s="201">
        <v>157.95406140000003</v>
      </c>
      <c r="AX8" s="201">
        <v>24.69789853</v>
      </c>
      <c r="AY8" s="201">
        <v>6.31241144</v>
      </c>
      <c r="AZ8" s="201">
        <v>199.9926619</v>
      </c>
      <c r="BA8" s="201">
        <v>112.49455000000002</v>
      </c>
      <c r="BB8" s="201">
        <v>877.05395918999977</v>
      </c>
      <c r="BC8" s="201">
        <v>464.33939090000001</v>
      </c>
      <c r="BD8" s="201">
        <v>593.11774999999989</v>
      </c>
    </row>
    <row r="9" spans="2:56" x14ac:dyDescent="0.55000000000000004">
      <c r="B9" s="200" t="s">
        <v>248</v>
      </c>
      <c r="C9" s="201">
        <v>3505.1241014699999</v>
      </c>
      <c r="D9" s="201">
        <v>3633.7599748212015</v>
      </c>
      <c r="E9" s="201">
        <v>24698.213811670001</v>
      </c>
      <c r="F9" s="201">
        <v>6660.3086492899984</v>
      </c>
      <c r="G9" s="201">
        <v>8789.454848399997</v>
      </c>
      <c r="H9" s="201">
        <v>2357.4162873299992</v>
      </c>
      <c r="I9" s="201">
        <v>920.60190537999983</v>
      </c>
      <c r="J9" s="201">
        <v>4153.7582335000006</v>
      </c>
      <c r="K9" s="201">
        <v>21723.014629350029</v>
      </c>
      <c r="L9" s="201">
        <v>8367.0478684400023</v>
      </c>
      <c r="M9" s="201">
        <v>16035.79501413001</v>
      </c>
      <c r="N9" s="201">
        <v>20556.505032970075</v>
      </c>
      <c r="O9" s="201">
        <v>4341.0545210800001</v>
      </c>
      <c r="P9" s="201">
        <v>12418.439999999999</v>
      </c>
      <c r="Q9" s="201">
        <v>9319.0896673200077</v>
      </c>
      <c r="R9" s="201">
        <v>16231.613742529988</v>
      </c>
      <c r="S9" s="201">
        <v>13640.688419538987</v>
      </c>
      <c r="T9" s="201">
        <v>6436.9521786000014</v>
      </c>
      <c r="U9" s="201">
        <v>14128.632440459995</v>
      </c>
      <c r="V9" s="201">
        <v>7381.3178858699994</v>
      </c>
      <c r="W9" s="201">
        <v>7610.9453171000177</v>
      </c>
      <c r="X9" s="201">
        <v>44.113999999999997</v>
      </c>
      <c r="Y9" s="201">
        <v>39.518000000000001</v>
      </c>
      <c r="Z9" s="201">
        <v>951.66884537999942</v>
      </c>
      <c r="AA9" s="201">
        <v>29.546787980000001</v>
      </c>
      <c r="AB9" s="201">
        <v>307.0634508600001</v>
      </c>
      <c r="AC9" s="201">
        <v>550.78882244999988</v>
      </c>
      <c r="AD9" s="201">
        <v>7058.613790500006</v>
      </c>
      <c r="AE9" s="201">
        <v>933.91615597999976</v>
      </c>
      <c r="AF9" s="201">
        <v>165.89276226000004</v>
      </c>
      <c r="AG9" s="201">
        <v>2134.032784649999</v>
      </c>
      <c r="AH9" s="201">
        <v>2032.1115193599969</v>
      </c>
      <c r="AI9" s="201">
        <v>1147.2035942770001</v>
      </c>
      <c r="AJ9" s="201">
        <v>88.50433362000004</v>
      </c>
      <c r="AK9" s="201">
        <v>4.4539999999999857E-2</v>
      </c>
      <c r="AL9" s="201">
        <v>234.29885442330016</v>
      </c>
      <c r="AM9" s="201">
        <v>939.08626998000011</v>
      </c>
      <c r="AN9" s="201">
        <v>125.59022287999998</v>
      </c>
      <c r="AO9" s="201">
        <v>0</v>
      </c>
      <c r="AP9" s="201">
        <v>50</v>
      </c>
      <c r="AQ9" s="201">
        <v>290.54451</v>
      </c>
      <c r="AR9" s="201">
        <v>265.59179999999998</v>
      </c>
      <c r="AS9" s="201">
        <v>446.66899999999998</v>
      </c>
      <c r="AT9" s="201">
        <v>280.26143999999994</v>
      </c>
      <c r="AU9" s="201">
        <v>0</v>
      </c>
      <c r="AV9" s="201">
        <v>123.91067000000004</v>
      </c>
      <c r="AW9" s="201">
        <v>282.92639000000003</v>
      </c>
      <c r="AX9" s="201">
        <v>10.7</v>
      </c>
      <c r="AY9" s="201">
        <v>213.48144311000001</v>
      </c>
      <c r="AZ9" s="201">
        <v>0</v>
      </c>
      <c r="BA9" s="201">
        <v>449.86882000000008</v>
      </c>
      <c r="BB9" s="201">
        <v>398.42133098999994</v>
      </c>
      <c r="BC9" s="201">
        <v>0</v>
      </c>
      <c r="BD9" s="201">
        <v>347.80703000000005</v>
      </c>
    </row>
    <row r="10" spans="2:56" x14ac:dyDescent="0.55000000000000004">
      <c r="B10" s="200" t="s">
        <v>249</v>
      </c>
      <c r="C10" s="201">
        <v>16170.169142829998</v>
      </c>
      <c r="D10" s="201">
        <v>25197.137775749998</v>
      </c>
      <c r="E10" s="201">
        <v>40667.220664090026</v>
      </c>
      <c r="F10" s="201">
        <v>32350.263674554993</v>
      </c>
      <c r="G10" s="201">
        <v>8850.4784644600022</v>
      </c>
      <c r="H10" s="201">
        <v>20289.688703099997</v>
      </c>
      <c r="I10" s="201">
        <v>10050.4842916</v>
      </c>
      <c r="J10" s="201">
        <v>20059.184406289995</v>
      </c>
      <c r="K10" s="201">
        <v>6148.17283013</v>
      </c>
      <c r="L10" s="201">
        <v>14091.559860079995</v>
      </c>
      <c r="M10" s="201">
        <v>34735.826234419997</v>
      </c>
      <c r="N10" s="201">
        <v>29885.506689459988</v>
      </c>
      <c r="O10" s="201">
        <v>19641.321623399999</v>
      </c>
      <c r="P10" s="201">
        <v>9625.9000000000015</v>
      </c>
      <c r="Q10" s="201">
        <v>27339.659726842001</v>
      </c>
      <c r="R10" s="201">
        <v>22014.597146730001</v>
      </c>
      <c r="S10" s="201">
        <v>23466.621204319996</v>
      </c>
      <c r="T10" s="201">
        <v>30609.169996600012</v>
      </c>
      <c r="U10" s="201">
        <v>19621.986808870006</v>
      </c>
      <c r="V10" s="201">
        <v>24724.127371240003</v>
      </c>
      <c r="W10" s="201">
        <v>429.67014332999997</v>
      </c>
      <c r="X10" s="201">
        <v>0</v>
      </c>
      <c r="Y10" s="201">
        <v>0</v>
      </c>
      <c r="Z10" s="201">
        <v>1853.0538921599998</v>
      </c>
      <c r="AA10" s="201">
        <v>1.5</v>
      </c>
      <c r="AB10" s="201">
        <v>208.59267575000001</v>
      </c>
      <c r="AC10" s="201">
        <v>2994.9189013900013</v>
      </c>
      <c r="AD10" s="201">
        <v>501.43066700000003</v>
      </c>
      <c r="AE10" s="201">
        <v>1316.14912777</v>
      </c>
      <c r="AF10" s="201">
        <v>0</v>
      </c>
      <c r="AG10" s="201">
        <v>1899.1495909480004</v>
      </c>
      <c r="AH10" s="201">
        <v>0</v>
      </c>
      <c r="AI10" s="201">
        <v>2207.4182566599998</v>
      </c>
      <c r="AJ10" s="201">
        <v>58</v>
      </c>
      <c r="AK10" s="201">
        <v>0</v>
      </c>
      <c r="AL10" s="201">
        <v>1.4777716399999998</v>
      </c>
      <c r="AM10" s="201">
        <v>0</v>
      </c>
      <c r="AN10" s="201">
        <v>0</v>
      </c>
      <c r="AO10" s="201">
        <v>0</v>
      </c>
      <c r="AP10" s="201">
        <v>0</v>
      </c>
      <c r="AQ10" s="201">
        <v>88.086380000000005</v>
      </c>
      <c r="AR10" s="201">
        <v>0</v>
      </c>
      <c r="AS10" s="201">
        <v>28.527999999999999</v>
      </c>
      <c r="AT10" s="201">
        <v>0</v>
      </c>
      <c r="AU10" s="201">
        <v>0</v>
      </c>
      <c r="AV10" s="201">
        <v>0</v>
      </c>
      <c r="AW10" s="201">
        <v>62.368393999999995</v>
      </c>
      <c r="AX10" s="201">
        <v>0</v>
      </c>
      <c r="AY10" s="201">
        <v>19.998221389999998</v>
      </c>
      <c r="AZ10" s="201">
        <v>0</v>
      </c>
      <c r="BA10" s="201">
        <v>0</v>
      </c>
      <c r="BB10" s="201">
        <v>212.82859397999999</v>
      </c>
      <c r="BC10" s="201">
        <v>18.742718929999999</v>
      </c>
      <c r="BD10" s="201">
        <v>26.485610000000001</v>
      </c>
    </row>
    <row r="11" spans="2:56" x14ac:dyDescent="0.55000000000000004">
      <c r="B11" s="200" t="s">
        <v>391</v>
      </c>
      <c r="C11" s="201">
        <v>2622.0858195200003</v>
      </c>
      <c r="D11" s="201">
        <v>3501.2088575928001</v>
      </c>
      <c r="E11" s="201">
        <v>6887.6643484670012</v>
      </c>
      <c r="F11" s="201">
        <v>4780.5842645300008</v>
      </c>
      <c r="G11" s="201">
        <v>959.07141244999912</v>
      </c>
      <c r="H11" s="201">
        <v>9299.76364689</v>
      </c>
      <c r="I11" s="201">
        <v>2576.1629346499999</v>
      </c>
      <c r="J11" s="201">
        <v>3139.00691762</v>
      </c>
      <c r="K11" s="201">
        <v>577.2616940800001</v>
      </c>
      <c r="L11" s="201">
        <v>1333.6035833799999</v>
      </c>
      <c r="M11" s="201">
        <v>4107.1132376899986</v>
      </c>
      <c r="N11" s="201">
        <v>7815.3614736499985</v>
      </c>
      <c r="O11" s="201">
        <v>3051.5886595700003</v>
      </c>
      <c r="P11" s="201">
        <v>560.86999999999989</v>
      </c>
      <c r="Q11" s="201">
        <v>5935.6693556500004</v>
      </c>
      <c r="R11" s="201">
        <v>348.06233833000005</v>
      </c>
      <c r="S11" s="201">
        <v>2581.2169425899997</v>
      </c>
      <c r="T11" s="201">
        <v>4447.3158104500008</v>
      </c>
      <c r="U11" s="201">
        <v>4349.1211975099986</v>
      </c>
      <c r="V11" s="201">
        <v>1713.50757406</v>
      </c>
      <c r="W11" s="201">
        <v>301.71914348999991</v>
      </c>
      <c r="X11" s="201">
        <v>2.6930000000000001</v>
      </c>
      <c r="Y11" s="201">
        <v>0</v>
      </c>
      <c r="Z11" s="201">
        <v>182.29932417000001</v>
      </c>
      <c r="AA11" s="201">
        <v>1.46419425</v>
      </c>
      <c r="AB11" s="201">
        <v>12.031752790000001</v>
      </c>
      <c r="AC11" s="201">
        <v>230.15556791999998</v>
      </c>
      <c r="AD11" s="201">
        <v>343.68484237999996</v>
      </c>
      <c r="AE11" s="201">
        <v>187.51505897999996</v>
      </c>
      <c r="AF11" s="201">
        <v>10.756733730000001</v>
      </c>
      <c r="AG11" s="201">
        <v>399.93788037999991</v>
      </c>
      <c r="AH11" s="201">
        <v>208.75199780000005</v>
      </c>
      <c r="AI11" s="201">
        <v>164.46035869999997</v>
      </c>
      <c r="AJ11" s="201">
        <v>0</v>
      </c>
      <c r="AK11" s="201">
        <v>4.0813720000000036</v>
      </c>
      <c r="AL11" s="201">
        <v>0</v>
      </c>
      <c r="AM11" s="201">
        <v>18.775268709999999</v>
      </c>
      <c r="AN11" s="201">
        <v>2.8792840100000001</v>
      </c>
      <c r="AO11" s="201">
        <v>0</v>
      </c>
      <c r="AP11" s="201">
        <v>0</v>
      </c>
      <c r="AQ11" s="201">
        <v>311.08871000000005</v>
      </c>
      <c r="AR11" s="201">
        <v>33.597029999999997</v>
      </c>
      <c r="AS11" s="201">
        <v>26.228999999999999</v>
      </c>
      <c r="AT11" s="201">
        <v>22.388270000000002</v>
      </c>
      <c r="AU11" s="201">
        <v>0</v>
      </c>
      <c r="AV11" s="201">
        <v>70.552600000000012</v>
      </c>
      <c r="AW11" s="201">
        <v>76.735910000000004</v>
      </c>
      <c r="AX11" s="201">
        <v>24.119019490000007</v>
      </c>
      <c r="AY11" s="201">
        <v>11.972491730000002</v>
      </c>
      <c r="AZ11" s="201">
        <v>0</v>
      </c>
      <c r="BA11" s="201">
        <v>14.361009999999998</v>
      </c>
      <c r="BB11" s="201">
        <v>80.059723040000009</v>
      </c>
      <c r="BC11" s="201">
        <v>40.950795049999996</v>
      </c>
      <c r="BD11" s="201">
        <v>101.33173000000001</v>
      </c>
    </row>
    <row r="12" spans="2:56" x14ac:dyDescent="0.55000000000000004">
      <c r="B12" s="200" t="s">
        <v>392</v>
      </c>
      <c r="C12" s="201">
        <v>1223.9744561900002</v>
      </c>
      <c r="D12" s="201">
        <v>3332.7393227500011</v>
      </c>
      <c r="E12" s="201">
        <v>5109.6688715859982</v>
      </c>
      <c r="F12" s="201">
        <v>4932.9440007950006</v>
      </c>
      <c r="G12" s="201">
        <v>1207.4782249399996</v>
      </c>
      <c r="H12" s="201">
        <v>4958.6545971700034</v>
      </c>
      <c r="I12" s="201">
        <v>203.29583111999997</v>
      </c>
      <c r="J12" s="201">
        <v>2033.5698355</v>
      </c>
      <c r="K12" s="201">
        <v>680.93939461999992</v>
      </c>
      <c r="L12" s="201">
        <v>1597.6143714199998</v>
      </c>
      <c r="M12" s="201">
        <v>4919.4971999600002</v>
      </c>
      <c r="N12" s="201">
        <v>5955.4515969800068</v>
      </c>
      <c r="O12" s="201">
        <v>3866.1924515540004</v>
      </c>
      <c r="P12" s="201">
        <v>4706.51</v>
      </c>
      <c r="Q12" s="201">
        <v>7847.2176803519988</v>
      </c>
      <c r="R12" s="201">
        <v>4051.8567389899977</v>
      </c>
      <c r="S12" s="201">
        <v>3683.2526700274998</v>
      </c>
      <c r="T12" s="201">
        <v>6598.9741589699997</v>
      </c>
      <c r="U12" s="201">
        <v>3279.3195194200007</v>
      </c>
      <c r="V12" s="201">
        <v>3680.4982088100001</v>
      </c>
      <c r="W12" s="201">
        <v>440.70759312999996</v>
      </c>
      <c r="X12" s="201">
        <v>11.629</v>
      </c>
      <c r="Y12" s="201">
        <v>128.316</v>
      </c>
      <c r="Z12" s="201">
        <v>718.04710791999958</v>
      </c>
      <c r="AA12" s="201">
        <v>240.6619431684999</v>
      </c>
      <c r="AB12" s="201">
        <v>179.77490201999998</v>
      </c>
      <c r="AC12" s="201">
        <v>1332.9080583600005</v>
      </c>
      <c r="AD12" s="201">
        <v>1468.0682104299999</v>
      </c>
      <c r="AE12" s="201">
        <v>836.35647261999986</v>
      </c>
      <c r="AF12" s="201">
        <v>47.910489090000006</v>
      </c>
      <c r="AG12" s="201">
        <v>522.5259236095003</v>
      </c>
      <c r="AH12" s="201">
        <v>810.85876145095142</v>
      </c>
      <c r="AI12" s="201">
        <v>787.30411334000007</v>
      </c>
      <c r="AJ12" s="201">
        <v>154.2341569300001</v>
      </c>
      <c r="AK12" s="201">
        <v>0.13827</v>
      </c>
      <c r="AL12" s="201">
        <v>117.22510060999997</v>
      </c>
      <c r="AM12" s="201">
        <v>242.36318502199998</v>
      </c>
      <c r="AN12" s="201">
        <v>137.25601417999999</v>
      </c>
      <c r="AO12" s="201">
        <v>9.0273026999999981</v>
      </c>
      <c r="AP12" s="201">
        <v>115.50444933000001</v>
      </c>
      <c r="AQ12" s="201">
        <v>749.13863000000003</v>
      </c>
      <c r="AR12" s="201">
        <v>58.442839999999997</v>
      </c>
      <c r="AS12" s="201">
        <v>64.741</v>
      </c>
      <c r="AT12" s="201">
        <v>38.365790000000011</v>
      </c>
      <c r="AU12" s="201">
        <v>0</v>
      </c>
      <c r="AV12" s="201">
        <v>174.08487000000005</v>
      </c>
      <c r="AW12" s="201">
        <v>203.19532183000001</v>
      </c>
      <c r="AX12" s="201">
        <v>0</v>
      </c>
      <c r="AY12" s="201">
        <v>155.80502655999999</v>
      </c>
      <c r="AZ12" s="201">
        <v>2.9400961000000003</v>
      </c>
      <c r="BA12" s="201">
        <v>12.054959999999999</v>
      </c>
      <c r="BB12" s="201">
        <v>280.52756383999997</v>
      </c>
      <c r="BC12" s="201">
        <v>131.91936132000001</v>
      </c>
      <c r="BD12" s="201">
        <v>574.47235000000001</v>
      </c>
    </row>
    <row r="13" spans="2:56" x14ac:dyDescent="0.55000000000000004">
      <c r="B13" s="200" t="s">
        <v>252</v>
      </c>
      <c r="C13" s="201">
        <v>39821.62006632</v>
      </c>
      <c r="D13" s="201">
        <v>65552.496344244195</v>
      </c>
      <c r="E13" s="201">
        <v>93058.343275320061</v>
      </c>
      <c r="F13" s="201">
        <v>68192.057734170085</v>
      </c>
      <c r="G13" s="201">
        <v>21640.089249309985</v>
      </c>
      <c r="H13" s="201">
        <v>44464.418926999977</v>
      </c>
      <c r="I13" s="201">
        <v>31262.737284529998</v>
      </c>
      <c r="J13" s="201">
        <v>51691.808451730001</v>
      </c>
      <c r="K13" s="201">
        <v>56673.739346819821</v>
      </c>
      <c r="L13" s="201">
        <v>26614.379270190009</v>
      </c>
      <c r="M13" s="201">
        <v>46367.752266550015</v>
      </c>
      <c r="N13" s="201">
        <v>50153.77011755998</v>
      </c>
      <c r="O13" s="201">
        <v>49827.761740130016</v>
      </c>
      <c r="P13" s="201">
        <v>37257.22</v>
      </c>
      <c r="Q13" s="201">
        <v>92185.330209420048</v>
      </c>
      <c r="R13" s="201">
        <v>30369.122766199987</v>
      </c>
      <c r="S13" s="201">
        <v>26583.612299926986</v>
      </c>
      <c r="T13" s="201">
        <v>50503.177772779971</v>
      </c>
      <c r="U13" s="201">
        <v>35323.726793399997</v>
      </c>
      <c r="V13" s="201">
        <v>25705.233541430011</v>
      </c>
      <c r="W13" s="201">
        <v>9955.6883125830336</v>
      </c>
      <c r="X13" s="201">
        <v>21.683</v>
      </c>
      <c r="Y13" s="201">
        <v>895.13499999999999</v>
      </c>
      <c r="Z13" s="201">
        <v>6171.0066860079914</v>
      </c>
      <c r="AA13" s="201">
        <v>3894.2780484700002</v>
      </c>
      <c r="AB13" s="201">
        <v>625.92045956000015</v>
      </c>
      <c r="AC13" s="201">
        <v>12283.399608650017</v>
      </c>
      <c r="AD13" s="201">
        <v>8552.7164767900049</v>
      </c>
      <c r="AE13" s="201">
        <v>6755.0555446230092</v>
      </c>
      <c r="AF13" s="201">
        <v>185.55996904</v>
      </c>
      <c r="AG13" s="201">
        <v>4533.0318074450015</v>
      </c>
      <c r="AH13" s="201">
        <v>10747.825643043008</v>
      </c>
      <c r="AI13" s="201">
        <v>5136.34758977</v>
      </c>
      <c r="AJ13" s="201">
        <v>477.29062786000003</v>
      </c>
      <c r="AK13" s="201">
        <v>96.778619999999989</v>
      </c>
      <c r="AL13" s="201">
        <v>1135.1499621800001</v>
      </c>
      <c r="AM13" s="201">
        <v>290.69004623000012</v>
      </c>
      <c r="AN13" s="201">
        <v>162.87480628</v>
      </c>
      <c r="AO13" s="201">
        <v>77.404258220000003</v>
      </c>
      <c r="AP13" s="201">
        <v>820.13460025999893</v>
      </c>
      <c r="AQ13" s="201">
        <v>1386.9283600000001</v>
      </c>
      <c r="AR13" s="201">
        <v>485.95501000000002</v>
      </c>
      <c r="AS13" s="201">
        <v>366.71899999999999</v>
      </c>
      <c r="AT13" s="201">
        <v>916.20709000000011</v>
      </c>
      <c r="AU13" s="201">
        <v>1024.1603644500001</v>
      </c>
      <c r="AV13" s="201">
        <v>1220.2357500000001</v>
      </c>
      <c r="AW13" s="201">
        <v>499.66776729999998</v>
      </c>
      <c r="AX13" s="201">
        <v>488.09100427000016</v>
      </c>
      <c r="AY13" s="201">
        <v>162.09493101000001</v>
      </c>
      <c r="AZ13" s="201">
        <v>68.505741499999999</v>
      </c>
      <c r="BA13" s="201">
        <v>517.33604999999989</v>
      </c>
      <c r="BB13" s="201">
        <v>2389.55306126</v>
      </c>
      <c r="BC13" s="201">
        <v>2070.5866406300011</v>
      </c>
      <c r="BD13" s="201">
        <v>1328.7255500000003</v>
      </c>
    </row>
    <row r="14" spans="2:56" x14ac:dyDescent="0.55000000000000004">
      <c r="B14" s="200" t="s">
        <v>253</v>
      </c>
      <c r="C14" s="201">
        <v>7393.97041042</v>
      </c>
      <c r="D14" s="201">
        <v>19977.743414871999</v>
      </c>
      <c r="E14" s="201">
        <v>19415.409522930997</v>
      </c>
      <c r="F14" s="201">
        <v>33288.21186854002</v>
      </c>
      <c r="G14" s="201">
        <v>4155.9444700000004</v>
      </c>
      <c r="H14" s="201">
        <v>17113.239412190007</v>
      </c>
      <c r="I14" s="201">
        <v>6804.2822750999994</v>
      </c>
      <c r="J14" s="201">
        <v>20756.358941210001</v>
      </c>
      <c r="K14" s="201">
        <v>6585.4730890900018</v>
      </c>
      <c r="L14" s="201">
        <v>7599.0837050500022</v>
      </c>
      <c r="M14" s="201">
        <v>20852.043279220001</v>
      </c>
      <c r="N14" s="201">
        <v>26420.87400366001</v>
      </c>
      <c r="O14" s="201">
        <v>15209.424349460001</v>
      </c>
      <c r="P14" s="201">
        <v>4926.9100000000008</v>
      </c>
      <c r="Q14" s="201">
        <v>41086.178137740004</v>
      </c>
      <c r="R14" s="201">
        <v>6693.1721696700006</v>
      </c>
      <c r="S14" s="201">
        <v>35706.010787121675</v>
      </c>
      <c r="T14" s="201">
        <v>19083.310776780014</v>
      </c>
      <c r="U14" s="201">
        <v>26305.901431940001</v>
      </c>
      <c r="V14" s="201">
        <v>13344.840031140009</v>
      </c>
      <c r="W14" s="201">
        <v>4754.4583736400018</v>
      </c>
      <c r="X14" s="201">
        <v>0</v>
      </c>
      <c r="Y14" s="201">
        <v>160</v>
      </c>
      <c r="Z14" s="201">
        <v>5030.7072939300015</v>
      </c>
      <c r="AA14" s="201">
        <v>681.03245384999991</v>
      </c>
      <c r="AB14" s="201">
        <v>685.91642207999996</v>
      </c>
      <c r="AC14" s="201">
        <v>12616.393005120006</v>
      </c>
      <c r="AD14" s="201">
        <v>11985.421903270013</v>
      </c>
      <c r="AE14" s="201">
        <v>4742.9928234700001</v>
      </c>
      <c r="AF14" s="201">
        <v>58.591692259999995</v>
      </c>
      <c r="AG14" s="201">
        <v>4863.0664132000011</v>
      </c>
      <c r="AH14" s="201">
        <v>5215.1433699099998</v>
      </c>
      <c r="AI14" s="201">
        <v>5841.9289257700002</v>
      </c>
      <c r="AJ14" s="201">
        <v>84.222624249999996</v>
      </c>
      <c r="AK14" s="201">
        <v>7.5500240000000032</v>
      </c>
      <c r="AL14" s="201">
        <v>731.64841923999995</v>
      </c>
      <c r="AM14" s="201">
        <v>418.14952359999995</v>
      </c>
      <c r="AN14" s="201">
        <v>310.30637543999995</v>
      </c>
      <c r="AO14" s="201">
        <v>90.395661660000002</v>
      </c>
      <c r="AP14" s="201">
        <v>352.12840159999996</v>
      </c>
      <c r="AQ14" s="201">
        <v>972.8438000000001</v>
      </c>
      <c r="AR14" s="201">
        <v>1266.8511800000001</v>
      </c>
      <c r="AS14" s="201">
        <v>316.44099999999997</v>
      </c>
      <c r="AT14" s="201">
        <v>740.17925999999989</v>
      </c>
      <c r="AU14" s="201">
        <v>157.23437668000005</v>
      </c>
      <c r="AV14" s="201">
        <v>578.00871999999993</v>
      </c>
      <c r="AW14" s="201">
        <v>168.17010999999999</v>
      </c>
      <c r="AX14" s="201">
        <v>80.148078650000016</v>
      </c>
      <c r="AY14" s="201">
        <v>294.95124566999999</v>
      </c>
      <c r="AZ14" s="201">
        <v>0</v>
      </c>
      <c r="BA14" s="201">
        <v>349.41937999999999</v>
      </c>
      <c r="BB14" s="201">
        <v>2448.8803778700017</v>
      </c>
      <c r="BC14" s="201">
        <v>3279.8808385699995</v>
      </c>
      <c r="BD14" s="201">
        <v>654.66902000000005</v>
      </c>
    </row>
    <row r="15" spans="2:56" x14ac:dyDescent="0.55000000000000004">
      <c r="B15" s="200" t="s">
        <v>254</v>
      </c>
      <c r="C15" s="201">
        <v>9296.3263701800006</v>
      </c>
      <c r="D15" s="201">
        <v>18702.487506232497</v>
      </c>
      <c r="E15" s="201">
        <v>10949.927475619994</v>
      </c>
      <c r="F15" s="201">
        <v>22506.850438382484</v>
      </c>
      <c r="G15" s="201">
        <v>1031.7794586299999</v>
      </c>
      <c r="H15" s="201">
        <v>12733.478593489996</v>
      </c>
      <c r="I15" s="201">
        <v>7268.2807445199996</v>
      </c>
      <c r="J15" s="201">
        <v>4933.874214630001</v>
      </c>
      <c r="K15" s="201">
        <v>2706.1095197000009</v>
      </c>
      <c r="L15" s="201">
        <v>5843.068817420005</v>
      </c>
      <c r="M15" s="201">
        <v>15490.383355010021</v>
      </c>
      <c r="N15" s="201">
        <v>12091.793850120001</v>
      </c>
      <c r="O15" s="201">
        <v>7849.4054315200001</v>
      </c>
      <c r="P15" s="201">
        <v>7109.41</v>
      </c>
      <c r="Q15" s="201">
        <v>20828.850072069992</v>
      </c>
      <c r="R15" s="201">
        <v>4209.2915365000008</v>
      </c>
      <c r="S15" s="201">
        <v>20307.007032575995</v>
      </c>
      <c r="T15" s="201">
        <v>10302.244905050004</v>
      </c>
      <c r="U15" s="201">
        <v>21833.940783140002</v>
      </c>
      <c r="V15" s="201">
        <v>6305.7500218299965</v>
      </c>
      <c r="W15" s="201">
        <v>890.06491594999932</v>
      </c>
      <c r="X15" s="201">
        <v>25.332999999999998</v>
      </c>
      <c r="Y15" s="201">
        <v>0</v>
      </c>
      <c r="Z15" s="201">
        <v>1959.3891143090016</v>
      </c>
      <c r="AA15" s="201">
        <v>456.10256781999999</v>
      </c>
      <c r="AB15" s="201">
        <v>173.16123626000004</v>
      </c>
      <c r="AC15" s="201">
        <v>5530.1498116600042</v>
      </c>
      <c r="AD15" s="201">
        <v>4261.05137294</v>
      </c>
      <c r="AE15" s="201">
        <v>1580.592374468999</v>
      </c>
      <c r="AF15" s="201">
        <v>17.118824480000001</v>
      </c>
      <c r="AG15" s="201">
        <v>2200.2178745565006</v>
      </c>
      <c r="AH15" s="201">
        <v>10896.650944270004</v>
      </c>
      <c r="AI15" s="201">
        <v>2977.6482721100024</v>
      </c>
      <c r="AJ15" s="201">
        <v>200.35741569999999</v>
      </c>
      <c r="AK15" s="201">
        <v>41.028520000000007</v>
      </c>
      <c r="AL15" s="201">
        <v>86.293480069999987</v>
      </c>
      <c r="AM15" s="201">
        <v>196.68697682000001</v>
      </c>
      <c r="AN15" s="201">
        <v>79.857579200000004</v>
      </c>
      <c r="AO15" s="201">
        <v>20.7</v>
      </c>
      <c r="AP15" s="201">
        <v>254.50178514999999</v>
      </c>
      <c r="AQ15" s="201">
        <v>783.53588999999999</v>
      </c>
      <c r="AR15" s="201">
        <v>291.76823999999999</v>
      </c>
      <c r="AS15" s="201">
        <v>67.021000000000001</v>
      </c>
      <c r="AT15" s="201">
        <v>56.723790000000008</v>
      </c>
      <c r="AU15" s="201">
        <v>129.29107048000003</v>
      </c>
      <c r="AV15" s="201">
        <v>478.18301999999994</v>
      </c>
      <c r="AW15" s="201">
        <v>55.470439080000006</v>
      </c>
      <c r="AX15" s="201">
        <v>32.163587259999979</v>
      </c>
      <c r="AY15" s="201">
        <v>51.995133440000004</v>
      </c>
      <c r="AZ15" s="201">
        <v>37.237542099999999</v>
      </c>
      <c r="BA15" s="201">
        <v>220.84086000000002</v>
      </c>
      <c r="BB15" s="201">
        <v>1459.2907666600004</v>
      </c>
      <c r="BC15" s="201">
        <v>429.14677709000017</v>
      </c>
      <c r="BD15" s="201">
        <v>382.92388</v>
      </c>
    </row>
    <row r="16" spans="2:56" x14ac:dyDescent="0.55000000000000004">
      <c r="B16" s="200" t="s">
        <v>255</v>
      </c>
      <c r="C16" s="201">
        <v>7976.9053108199996</v>
      </c>
      <c r="D16" s="201">
        <v>9820.3310270480015</v>
      </c>
      <c r="E16" s="201">
        <v>13198.097377240001</v>
      </c>
      <c r="F16" s="201">
        <v>19627.146284089991</v>
      </c>
      <c r="G16" s="201">
        <v>1561.7792362800001</v>
      </c>
      <c r="H16" s="201">
        <v>9196.2784329300011</v>
      </c>
      <c r="I16" s="201">
        <v>2175.7132189100003</v>
      </c>
      <c r="J16" s="201">
        <v>7763.3617419099983</v>
      </c>
      <c r="K16" s="201">
        <v>5393.7479028299958</v>
      </c>
      <c r="L16" s="201">
        <v>7372.2702960700017</v>
      </c>
      <c r="M16" s="201">
        <v>9910.3632858400015</v>
      </c>
      <c r="N16" s="201">
        <v>13674.291399199999</v>
      </c>
      <c r="O16" s="201">
        <v>10540.11874831</v>
      </c>
      <c r="P16" s="201">
        <v>7895.920000000001</v>
      </c>
      <c r="Q16" s="201">
        <v>21050.286148569998</v>
      </c>
      <c r="R16" s="201">
        <v>8379.7457809900006</v>
      </c>
      <c r="S16" s="201">
        <v>7700.4691163169973</v>
      </c>
      <c r="T16" s="201">
        <v>7767.0727303199974</v>
      </c>
      <c r="U16" s="201">
        <v>20852.084528479987</v>
      </c>
      <c r="V16" s="201">
        <v>8823.9953644299985</v>
      </c>
      <c r="W16" s="201">
        <v>457.35471852999996</v>
      </c>
      <c r="X16" s="201">
        <v>0.78500000000000003</v>
      </c>
      <c r="Y16" s="201">
        <v>256.334</v>
      </c>
      <c r="Z16" s="201">
        <v>1753.9553793000002</v>
      </c>
      <c r="AA16" s="201">
        <v>693.54576264949992</v>
      </c>
      <c r="AB16" s="201">
        <v>70.506729609999994</v>
      </c>
      <c r="AC16" s="201">
        <v>1896.4954584799996</v>
      </c>
      <c r="AD16" s="201">
        <v>2601.2786679199994</v>
      </c>
      <c r="AE16" s="201">
        <v>2117.1323067199996</v>
      </c>
      <c r="AF16" s="201">
        <v>0</v>
      </c>
      <c r="AG16" s="201">
        <v>1206.78412951</v>
      </c>
      <c r="AH16" s="201">
        <v>4055.0741050799993</v>
      </c>
      <c r="AI16" s="201">
        <v>2600.9383114499997</v>
      </c>
      <c r="AJ16" s="201">
        <v>76.397012010000012</v>
      </c>
      <c r="AK16" s="201">
        <v>2.0997450000000004</v>
      </c>
      <c r="AL16" s="201">
        <v>410.34468162199994</v>
      </c>
      <c r="AM16" s="201">
        <v>106.53695807</v>
      </c>
      <c r="AN16" s="201">
        <v>214.33300649999998</v>
      </c>
      <c r="AO16" s="201">
        <v>0</v>
      </c>
      <c r="AP16" s="201">
        <v>215.58951351999994</v>
      </c>
      <c r="AQ16" s="201">
        <v>398.32683000000009</v>
      </c>
      <c r="AR16" s="201">
        <v>541.85236000000009</v>
      </c>
      <c r="AS16" s="201">
        <v>15.175000000000001</v>
      </c>
      <c r="AT16" s="201">
        <v>147.16883999999999</v>
      </c>
      <c r="AU16" s="201">
        <v>0</v>
      </c>
      <c r="AV16" s="201">
        <v>130.57334</v>
      </c>
      <c r="AW16" s="201">
        <v>66.213070000000002</v>
      </c>
      <c r="AX16" s="201">
        <v>0.45934542000000056</v>
      </c>
      <c r="AY16" s="201">
        <v>33.587997620000003</v>
      </c>
      <c r="AZ16" s="201">
        <v>0</v>
      </c>
      <c r="BA16" s="201">
        <v>69.297629999999998</v>
      </c>
      <c r="BB16" s="201">
        <v>892.32098083000017</v>
      </c>
      <c r="BC16" s="201">
        <v>539.27519790999997</v>
      </c>
      <c r="BD16" s="201">
        <v>149.87974</v>
      </c>
    </row>
    <row r="17" spans="2:56" x14ac:dyDescent="0.55000000000000004">
      <c r="B17" s="200" t="s">
        <v>256</v>
      </c>
      <c r="C17" s="201">
        <v>77378.29559217002</v>
      </c>
      <c r="D17" s="201">
        <v>96799.625640317056</v>
      </c>
      <c r="E17" s="201">
        <v>78827.606657836528</v>
      </c>
      <c r="F17" s="201">
        <v>36623.516794422518</v>
      </c>
      <c r="G17" s="201">
        <v>12676.177522079992</v>
      </c>
      <c r="H17" s="201">
        <v>15663.858681969996</v>
      </c>
      <c r="I17" s="201">
        <v>20657.192394469963</v>
      </c>
      <c r="J17" s="201">
        <v>40044.32925493006</v>
      </c>
      <c r="K17" s="201">
        <v>78776.121208860408</v>
      </c>
      <c r="L17" s="201">
        <v>14411.195408729982</v>
      </c>
      <c r="M17" s="201">
        <v>74774.49874340008</v>
      </c>
      <c r="N17" s="201">
        <v>60395.979460423121</v>
      </c>
      <c r="O17" s="201">
        <v>48272.643291979999</v>
      </c>
      <c r="P17" s="201">
        <v>26589.870000000003</v>
      </c>
      <c r="Q17" s="201">
        <v>103045.34698786886</v>
      </c>
      <c r="R17" s="201">
        <v>45200.722695922057</v>
      </c>
      <c r="S17" s="201">
        <v>28024.784626753986</v>
      </c>
      <c r="T17" s="201">
        <v>50284.368695899997</v>
      </c>
      <c r="U17" s="201">
        <v>33685.530972779961</v>
      </c>
      <c r="V17" s="201">
        <v>19189.889562089986</v>
      </c>
      <c r="W17" s="201">
        <v>18081.526224199519</v>
      </c>
      <c r="X17" s="201">
        <v>144.999</v>
      </c>
      <c r="Y17" s="201">
        <v>22.33</v>
      </c>
      <c r="Z17" s="201">
        <v>17285.18003732018</v>
      </c>
      <c r="AA17" s="201">
        <v>4928.3245154951019</v>
      </c>
      <c r="AB17" s="201">
        <v>3044.1042311900005</v>
      </c>
      <c r="AC17" s="201">
        <v>21437.375577300038</v>
      </c>
      <c r="AD17" s="201">
        <v>23468.991856419972</v>
      </c>
      <c r="AE17" s="201">
        <v>18633.404388890009</v>
      </c>
      <c r="AF17" s="201">
        <v>216.99423590999996</v>
      </c>
      <c r="AG17" s="201">
        <v>13225.6023216905</v>
      </c>
      <c r="AH17" s="201">
        <v>12666.599482990003</v>
      </c>
      <c r="AI17" s="201">
        <v>18725.72667856</v>
      </c>
      <c r="AJ17" s="201">
        <v>835.37895085999946</v>
      </c>
      <c r="AK17" s="201">
        <v>356.05384999999995</v>
      </c>
      <c r="AL17" s="201">
        <v>2429.1172593899992</v>
      </c>
      <c r="AM17" s="201">
        <v>1922.6220192099968</v>
      </c>
      <c r="AN17" s="201">
        <v>969.81308394000007</v>
      </c>
      <c r="AO17" s="201">
        <v>218.91643783000001</v>
      </c>
      <c r="AP17" s="201">
        <v>1410.2939567499996</v>
      </c>
      <c r="AQ17" s="201">
        <v>2794.3860000000004</v>
      </c>
      <c r="AR17" s="201">
        <v>1429.7653700000001</v>
      </c>
      <c r="AS17" s="201">
        <v>1406.797</v>
      </c>
      <c r="AT17" s="201">
        <v>1969.3886700000005</v>
      </c>
      <c r="AU17" s="201">
        <v>20.374039299999996</v>
      </c>
      <c r="AV17" s="201">
        <v>2241.8298499999996</v>
      </c>
      <c r="AW17" s="201">
        <v>1630.55222546</v>
      </c>
      <c r="AX17" s="201">
        <v>750.39844633999996</v>
      </c>
      <c r="AY17" s="201">
        <v>838.6009932799999</v>
      </c>
      <c r="AZ17" s="201">
        <v>1.5520809999999998</v>
      </c>
      <c r="BA17" s="201">
        <v>1367.3301000000001</v>
      </c>
      <c r="BB17" s="201">
        <v>5381.9036752899983</v>
      </c>
      <c r="BC17" s="201">
        <v>7542.3550750534969</v>
      </c>
      <c r="BD17" s="201">
        <v>2471.7178800000002</v>
      </c>
    </row>
    <row r="18" spans="2:56" x14ac:dyDescent="0.55000000000000004">
      <c r="B18" s="200" t="s">
        <v>257</v>
      </c>
      <c r="C18" s="201">
        <v>1.8991E-4</v>
      </c>
      <c r="D18" s="201">
        <v>0</v>
      </c>
      <c r="E18" s="201">
        <v>0</v>
      </c>
      <c r="F18" s="201">
        <v>394.61611389000001</v>
      </c>
      <c r="G18" s="201">
        <v>138.80703299999999</v>
      </c>
      <c r="H18" s="201">
        <v>271.94499999999999</v>
      </c>
      <c r="I18" s="201">
        <v>0</v>
      </c>
      <c r="J18" s="201">
        <v>0</v>
      </c>
      <c r="K18" s="201">
        <v>0</v>
      </c>
      <c r="L18" s="201">
        <v>0</v>
      </c>
      <c r="M18" s="201">
        <v>0</v>
      </c>
      <c r="N18" s="201">
        <v>231.19854094999999</v>
      </c>
      <c r="O18" s="201">
        <v>150.06793393000001</v>
      </c>
      <c r="P18" s="201">
        <v>0</v>
      </c>
      <c r="Q18" s="201">
        <v>0</v>
      </c>
      <c r="R18" s="201">
        <v>0</v>
      </c>
      <c r="S18" s="201">
        <v>0</v>
      </c>
      <c r="T18" s="201">
        <v>0</v>
      </c>
      <c r="U18" s="201">
        <v>0</v>
      </c>
      <c r="V18" s="201">
        <v>0</v>
      </c>
      <c r="W18" s="201">
        <v>0</v>
      </c>
      <c r="X18" s="201">
        <v>0</v>
      </c>
      <c r="Y18" s="201">
        <v>0</v>
      </c>
      <c r="Z18" s="201">
        <v>3.3375079999999997</v>
      </c>
      <c r="AA18" s="201">
        <v>0</v>
      </c>
      <c r="AB18" s="201">
        <v>0</v>
      </c>
      <c r="AC18" s="201">
        <v>0</v>
      </c>
      <c r="AD18" s="201">
        <v>0</v>
      </c>
      <c r="AE18" s="201">
        <v>0.35388797999999999</v>
      </c>
      <c r="AF18" s="201">
        <v>0</v>
      </c>
      <c r="AG18" s="201">
        <v>7.8239414399999996</v>
      </c>
      <c r="AH18" s="201">
        <v>0</v>
      </c>
      <c r="AI18" s="201">
        <v>0</v>
      </c>
      <c r="AJ18" s="201">
        <v>0</v>
      </c>
      <c r="AK18" s="201">
        <v>0</v>
      </c>
      <c r="AL18" s="201">
        <v>0</v>
      </c>
      <c r="AM18" s="201">
        <v>0</v>
      </c>
      <c r="AN18" s="201">
        <v>0</v>
      </c>
      <c r="AO18" s="201">
        <v>33.183290190000001</v>
      </c>
      <c r="AP18" s="201">
        <v>0</v>
      </c>
      <c r="AQ18" s="201">
        <v>0</v>
      </c>
      <c r="AR18" s="201">
        <v>0</v>
      </c>
      <c r="AS18" s="201">
        <v>0</v>
      </c>
      <c r="AT18" s="201">
        <v>0</v>
      </c>
      <c r="AU18" s="201">
        <v>0</v>
      </c>
      <c r="AV18" s="201">
        <v>0</v>
      </c>
      <c r="AW18" s="201">
        <v>0</v>
      </c>
      <c r="AX18" s="201">
        <v>0</v>
      </c>
      <c r="AY18" s="201">
        <v>2.6272822000000002</v>
      </c>
      <c r="AZ18" s="201">
        <v>0</v>
      </c>
      <c r="BA18" s="201">
        <v>0</v>
      </c>
      <c r="BB18" s="201">
        <v>0</v>
      </c>
      <c r="BC18" s="201">
        <v>0</v>
      </c>
      <c r="BD18" s="201">
        <v>0</v>
      </c>
    </row>
    <row r="19" spans="2:56" x14ac:dyDescent="0.55000000000000004">
      <c r="B19" s="200" t="s">
        <v>258</v>
      </c>
      <c r="C19" s="201">
        <v>12765.648902790057</v>
      </c>
      <c r="D19" s="201">
        <v>3039.5869423499989</v>
      </c>
      <c r="E19" s="201">
        <v>40583.82478768997</v>
      </c>
      <c r="F19" s="201">
        <v>6840.4324015440034</v>
      </c>
      <c r="G19" s="201">
        <v>1722.2693425185489</v>
      </c>
      <c r="H19" s="201">
        <v>14216.383685450019</v>
      </c>
      <c r="I19" s="201">
        <v>10290.443882789992</v>
      </c>
      <c r="J19" s="201">
        <v>10674.158794699651</v>
      </c>
      <c r="K19" s="201">
        <v>16699.378299420096</v>
      </c>
      <c r="L19" s="201">
        <v>22322.366885779982</v>
      </c>
      <c r="M19" s="201">
        <v>394.28101122000027</v>
      </c>
      <c r="N19" s="201">
        <v>774.26528137999787</v>
      </c>
      <c r="O19" s="201">
        <v>14112.20333224</v>
      </c>
      <c r="P19" s="201">
        <v>30778.730000000003</v>
      </c>
      <c r="Q19" s="201">
        <v>29.543905180000003</v>
      </c>
      <c r="R19" s="201">
        <v>990.09867112000484</v>
      </c>
      <c r="S19" s="201">
        <v>22148.141507993198</v>
      </c>
      <c r="T19" s="201">
        <v>5843.646725670008</v>
      </c>
      <c r="U19" s="201">
        <v>2832.3837325299946</v>
      </c>
      <c r="V19" s="201">
        <v>32292.225377639894</v>
      </c>
      <c r="W19" s="201">
        <v>92.86248317999997</v>
      </c>
      <c r="X19" s="201">
        <v>2.9489999999999998</v>
      </c>
      <c r="Y19" s="201">
        <v>0</v>
      </c>
      <c r="Z19" s="201">
        <v>5321.8243035427095</v>
      </c>
      <c r="AA19" s="201">
        <v>1.6616525199999999</v>
      </c>
      <c r="AB19" s="201">
        <v>143.85294395000005</v>
      </c>
      <c r="AC19" s="201">
        <v>33155.698038718983</v>
      </c>
      <c r="AD19" s="201">
        <v>7786.5923322000035</v>
      </c>
      <c r="AE19" s="201">
        <v>9275.8745838084433</v>
      </c>
      <c r="AF19" s="201">
        <v>348.78091111999993</v>
      </c>
      <c r="AG19" s="201">
        <v>11862.254389250893</v>
      </c>
      <c r="AH19" s="201">
        <v>1668.5521163899989</v>
      </c>
      <c r="AI19" s="201">
        <v>25.843928670000007</v>
      </c>
      <c r="AJ19" s="201">
        <v>974.19323914999984</v>
      </c>
      <c r="AK19" s="201">
        <v>106.24796903999999</v>
      </c>
      <c r="AL19" s="201">
        <v>30.576881520000004</v>
      </c>
      <c r="AM19" s="201">
        <v>318.59931136000012</v>
      </c>
      <c r="AN19" s="201">
        <v>578.70643627999993</v>
      </c>
      <c r="AO19" s="201">
        <v>1678.92460848</v>
      </c>
      <c r="AP19" s="201">
        <v>2357.0738217399985</v>
      </c>
      <c r="AQ19" s="201">
        <v>162.97702000000001</v>
      </c>
      <c r="AR19" s="201">
        <v>1304.31863</v>
      </c>
      <c r="AS19" s="201">
        <v>827.21400000000006</v>
      </c>
      <c r="AT19" s="201">
        <v>40.453110000000009</v>
      </c>
      <c r="AU19" s="201">
        <v>493.18822651999977</v>
      </c>
      <c r="AV19" s="201">
        <v>89.123000000000005</v>
      </c>
      <c r="AW19" s="201">
        <v>1388.8221399899999</v>
      </c>
      <c r="AX19" s="201">
        <v>19.309974910000001</v>
      </c>
      <c r="AY19" s="201">
        <v>120.33921595999995</v>
      </c>
      <c r="AZ19" s="201">
        <v>304.11498460000001</v>
      </c>
      <c r="BA19" s="201">
        <v>2163.6245400000003</v>
      </c>
      <c r="BB19" s="201">
        <v>1726.3590425000004</v>
      </c>
      <c r="BC19" s="201">
        <v>3414.1121415992034</v>
      </c>
      <c r="BD19" s="201">
        <v>67.019840000000002</v>
      </c>
    </row>
    <row r="20" spans="2:56" s="167" customFormat="1" x14ac:dyDescent="0.55000000000000004">
      <c r="B20" s="202" t="s">
        <v>393</v>
      </c>
      <c r="C20" s="203">
        <v>235591.54600595011</v>
      </c>
      <c r="D20" s="203">
        <v>305746.82367453957</v>
      </c>
      <c r="E20" s="203">
        <v>431609.0252964726</v>
      </c>
      <c r="F20" s="203">
        <v>354891.4380083516</v>
      </c>
      <c r="G20" s="203">
        <v>88810.00942773452</v>
      </c>
      <c r="H20" s="203">
        <v>250821.13359650003</v>
      </c>
      <c r="I20" s="203">
        <v>143994.37321057692</v>
      </c>
      <c r="J20" s="203">
        <v>229301.89423104969</v>
      </c>
      <c r="K20" s="203">
        <v>230856.78736098032</v>
      </c>
      <c r="L20" s="203">
        <v>149161.40598584997</v>
      </c>
      <c r="M20" s="203">
        <v>290283.50481080008</v>
      </c>
      <c r="N20" s="203">
        <v>286180.61323761329</v>
      </c>
      <c r="O20" s="203">
        <v>225594.081042134</v>
      </c>
      <c r="P20" s="203">
        <v>213517.18</v>
      </c>
      <c r="Q20" s="203">
        <v>444635.9196494029</v>
      </c>
      <c r="R20" s="203">
        <v>175432.10319793201</v>
      </c>
      <c r="S20" s="203">
        <v>225851.24064938535</v>
      </c>
      <c r="T20" s="203">
        <v>245231.46162320999</v>
      </c>
      <c r="U20" s="203">
        <v>239453.4692361599</v>
      </c>
      <c r="V20" s="203">
        <v>185755.83207839087</v>
      </c>
      <c r="W20" s="203">
        <v>45345.970684640568</v>
      </c>
      <c r="X20" s="203">
        <v>319.68700000000001</v>
      </c>
      <c r="Y20" s="203">
        <v>2547.4319999999998</v>
      </c>
      <c r="Z20" s="203">
        <v>45117.271402896891</v>
      </c>
      <c r="AA20" s="203">
        <v>12709.4332164031</v>
      </c>
      <c r="AB20" s="203">
        <v>5961.05168615</v>
      </c>
      <c r="AC20" s="203">
        <v>99500.433360979063</v>
      </c>
      <c r="AD20" s="203">
        <v>75666.503486250003</v>
      </c>
      <c r="AE20" s="203">
        <v>54310.06944102046</v>
      </c>
      <c r="AF20" s="203">
        <v>1304.99084668</v>
      </c>
      <c r="AG20" s="203">
        <v>51416.610394194395</v>
      </c>
      <c r="AH20" s="203">
        <v>60054.304445539456</v>
      </c>
      <c r="AI20" s="203">
        <v>49173.845099539001</v>
      </c>
      <c r="AJ20" s="203">
        <v>3358.8346954499993</v>
      </c>
      <c r="AK20" s="203">
        <v>941.18006307999997</v>
      </c>
      <c r="AL20" s="203">
        <v>5912.7936362852997</v>
      </c>
      <c r="AM20" s="203">
        <v>4878.4102594019978</v>
      </c>
      <c r="AN20" s="203">
        <v>2794.9803695000001</v>
      </c>
      <c r="AO20" s="203">
        <v>2192.2530863899997</v>
      </c>
      <c r="AP20" s="203">
        <v>6463.4936162099975</v>
      </c>
      <c r="AQ20" s="203">
        <v>8974.3061699999998</v>
      </c>
      <c r="AR20" s="203">
        <v>6400.8265700000002</v>
      </c>
      <c r="AS20" s="203">
        <v>4316.2359999999999</v>
      </c>
      <c r="AT20" s="203">
        <v>5022.3074800000004</v>
      </c>
      <c r="AU20" s="203">
        <v>2572.6365691200003</v>
      </c>
      <c r="AV20" s="203">
        <v>5862.7343599999995</v>
      </c>
      <c r="AW20" s="203">
        <v>4936.4122759100001</v>
      </c>
      <c r="AX20" s="203">
        <v>1950.6678825500001</v>
      </c>
      <c r="AY20" s="203">
        <v>2113.8457855100005</v>
      </c>
      <c r="AZ20" s="203">
        <v>663.53000780000002</v>
      </c>
      <c r="BA20" s="203">
        <v>5509.8093699999999</v>
      </c>
      <c r="BB20" s="203">
        <v>17168.487348000002</v>
      </c>
      <c r="BC20" s="203">
        <v>18710.117558779701</v>
      </c>
      <c r="BD20" s="203">
        <v>7245.474040000001</v>
      </c>
    </row>
    <row r="21" spans="2:56" x14ac:dyDescent="0.55000000000000004">
      <c r="B21" s="204"/>
      <c r="C21" s="205"/>
      <c r="D21" s="205"/>
      <c r="E21" s="205"/>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5"/>
      <c r="AX21" s="205"/>
      <c r="AY21" s="205"/>
      <c r="AZ21" s="205"/>
      <c r="BA21" s="205"/>
      <c r="BB21" s="205"/>
      <c r="BC21" s="205"/>
      <c r="BD21" s="205"/>
    </row>
    <row r="22" spans="2:56" x14ac:dyDescent="0.55000000000000004">
      <c r="B22" s="206" t="s">
        <v>394</v>
      </c>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row>
    <row r="23" spans="2:56" x14ac:dyDescent="0.55000000000000004">
      <c r="B23" s="142" t="s">
        <v>261</v>
      </c>
      <c r="C23" s="208">
        <v>58690.199729970001</v>
      </c>
      <c r="D23" s="208">
        <v>84971.892736407579</v>
      </c>
      <c r="E23" s="208">
        <v>128373.09444590897</v>
      </c>
      <c r="F23" s="208">
        <v>113428.5403119751</v>
      </c>
      <c r="G23" s="208">
        <v>12281.66507701</v>
      </c>
      <c r="H23" s="208">
        <v>104439.43110254015</v>
      </c>
      <c r="I23" s="208">
        <v>47452.721900849996</v>
      </c>
      <c r="J23" s="208">
        <v>79497.985525383003</v>
      </c>
      <c r="K23" s="208">
        <v>80434.681068159844</v>
      </c>
      <c r="L23" s="208">
        <v>71918.578406220025</v>
      </c>
      <c r="M23" s="208">
        <v>142535.44659403007</v>
      </c>
      <c r="N23" s="208">
        <v>93846.306019930067</v>
      </c>
      <c r="O23" s="208">
        <v>107529.67464202397</v>
      </c>
      <c r="P23" s="208">
        <v>45456.409999999996</v>
      </c>
      <c r="Q23" s="208">
        <v>185007.81560996431</v>
      </c>
      <c r="R23" s="208">
        <v>79366.85271271001</v>
      </c>
      <c r="S23" s="208">
        <v>78281.305600990905</v>
      </c>
      <c r="T23" s="208">
        <v>100490.65614000993</v>
      </c>
      <c r="U23" s="208">
        <v>109459.86163209003</v>
      </c>
      <c r="V23" s="208">
        <v>97587.281234629918</v>
      </c>
      <c r="W23" s="208">
        <v>18514.312491820514</v>
      </c>
      <c r="X23" s="208">
        <v>174.03399999999999</v>
      </c>
      <c r="Y23" s="208">
        <v>711.63199999999995</v>
      </c>
      <c r="Z23" s="208">
        <v>21127.443627033859</v>
      </c>
      <c r="AA23" s="208">
        <v>4340.6860284100003</v>
      </c>
      <c r="AB23" s="208">
        <v>2282.3151241699998</v>
      </c>
      <c r="AC23" s="208">
        <v>47533.111772838754</v>
      </c>
      <c r="AD23" s="208">
        <v>26054.674267229944</v>
      </c>
      <c r="AE23" s="208">
        <v>32226.172398517359</v>
      </c>
      <c r="AF23" s="208">
        <v>344.72195220000009</v>
      </c>
      <c r="AG23" s="208">
        <v>23713.243572600895</v>
      </c>
      <c r="AH23" s="208">
        <v>23664.958653954989</v>
      </c>
      <c r="AI23" s="208">
        <v>12976.730605670009</v>
      </c>
      <c r="AJ23" s="208">
        <v>882.76989476000006</v>
      </c>
      <c r="AK23" s="208">
        <v>315.87154079000004</v>
      </c>
      <c r="AL23" s="208">
        <v>2690.5374569020023</v>
      </c>
      <c r="AM23" s="208">
        <v>2289.0724469619981</v>
      </c>
      <c r="AN23" s="208">
        <v>619.26973527000007</v>
      </c>
      <c r="AO23" s="208">
        <v>344.07214582999995</v>
      </c>
      <c r="AP23" s="208">
        <v>3091.0062887300032</v>
      </c>
      <c r="AQ23" s="208">
        <v>1627.8010299999999</v>
      </c>
      <c r="AR23" s="208">
        <v>1288.9926300000002</v>
      </c>
      <c r="AS23" s="208">
        <v>319.214</v>
      </c>
      <c r="AT23" s="208">
        <v>558.27820999999994</v>
      </c>
      <c r="AU23" s="208">
        <v>86.353999060000007</v>
      </c>
      <c r="AV23" s="208">
        <v>2468.0920700000001</v>
      </c>
      <c r="AW23" s="208">
        <v>1616.2799380650001</v>
      </c>
      <c r="AX23" s="208">
        <v>639.13966968</v>
      </c>
      <c r="AY23" s="208">
        <v>977.84932504999904</v>
      </c>
      <c r="AZ23" s="208">
        <v>345.91320180000002</v>
      </c>
      <c r="BA23" s="208">
        <v>482.23984000000002</v>
      </c>
      <c r="BB23" s="208">
        <v>8096.1705146699924</v>
      </c>
      <c r="BC23" s="208">
        <v>6176.7992010361922</v>
      </c>
      <c r="BD23" s="208">
        <v>2814.6620739700002</v>
      </c>
    </row>
    <row r="24" spans="2:56" x14ac:dyDescent="0.55000000000000004">
      <c r="B24" s="142" t="s">
        <v>262</v>
      </c>
      <c r="C24" s="208">
        <v>7072.1001605900001</v>
      </c>
      <c r="D24" s="208">
        <v>5605.8023261338894</v>
      </c>
      <c r="E24" s="208">
        <v>2951.6875046400019</v>
      </c>
      <c r="F24" s="208">
        <v>2198.4897490400085</v>
      </c>
      <c r="G24" s="208">
        <v>102.35830199000002</v>
      </c>
      <c r="H24" s="208">
        <v>3113.06850119</v>
      </c>
      <c r="I24" s="208">
        <v>125.16677066</v>
      </c>
      <c r="J24" s="208">
        <v>3169.9495366700003</v>
      </c>
      <c r="K24" s="208">
        <v>1463.7976446399996</v>
      </c>
      <c r="L24" s="208">
        <v>1016.6236359300002</v>
      </c>
      <c r="M24" s="208">
        <v>2543.9588945100031</v>
      </c>
      <c r="N24" s="208">
        <v>3528.0599880099999</v>
      </c>
      <c r="O24" s="208">
        <v>2498.2231238399968</v>
      </c>
      <c r="P24" s="208">
        <v>18438.32</v>
      </c>
      <c r="Q24" s="208">
        <v>8948.4719224300006</v>
      </c>
      <c r="R24" s="208">
        <v>5209.4091404900082</v>
      </c>
      <c r="S24" s="208">
        <v>9419.1175914499836</v>
      </c>
      <c r="T24" s="208">
        <v>5298.2061554499978</v>
      </c>
      <c r="U24" s="208">
        <v>1040.6002706400004</v>
      </c>
      <c r="V24" s="208">
        <v>466.6910944899999</v>
      </c>
      <c r="W24" s="208">
        <v>2304.1055200400019</v>
      </c>
      <c r="X24" s="208">
        <v>40.835999999999999</v>
      </c>
      <c r="Y24" s="208">
        <v>105.70399999999999</v>
      </c>
      <c r="Z24" s="208">
        <v>1780.5494520599989</v>
      </c>
      <c r="AA24" s="208">
        <v>406.30972600999974</v>
      </c>
      <c r="AB24" s="208">
        <v>80.945411100000001</v>
      </c>
      <c r="AC24" s="208">
        <v>2240.8692473199981</v>
      </c>
      <c r="AD24" s="208">
        <v>2396.9230938400051</v>
      </c>
      <c r="AE24" s="208">
        <v>2835.898756489998</v>
      </c>
      <c r="AF24" s="208">
        <v>285.59674486</v>
      </c>
      <c r="AG24" s="208">
        <v>2755.5682122729991</v>
      </c>
      <c r="AH24" s="208">
        <v>654.9088856300001</v>
      </c>
      <c r="AI24" s="208">
        <v>2591.7754095899982</v>
      </c>
      <c r="AJ24" s="208">
        <v>40.271131310000001</v>
      </c>
      <c r="AK24" s="208">
        <v>71.713367239999997</v>
      </c>
      <c r="AL24" s="208">
        <v>153.65518188000001</v>
      </c>
      <c r="AM24" s="208">
        <v>184.57573878999997</v>
      </c>
      <c r="AN24" s="208">
        <v>145.36479901999999</v>
      </c>
      <c r="AO24" s="208">
        <v>0</v>
      </c>
      <c r="AP24" s="208">
        <v>284.99890384000003</v>
      </c>
      <c r="AQ24" s="208">
        <v>0</v>
      </c>
      <c r="AR24" s="208">
        <v>391.70474000000002</v>
      </c>
      <c r="AS24" s="208">
        <v>445.13900000000001</v>
      </c>
      <c r="AT24" s="208">
        <v>269.53386</v>
      </c>
      <c r="AU24" s="208">
        <v>334.79280846</v>
      </c>
      <c r="AV24" s="208">
        <v>99.477519999999998</v>
      </c>
      <c r="AW24" s="208">
        <v>101.05941827999999</v>
      </c>
      <c r="AX24" s="208">
        <v>262.55022821000006</v>
      </c>
      <c r="AY24" s="208">
        <v>97.545711759999989</v>
      </c>
      <c r="AZ24" s="208">
        <v>0</v>
      </c>
      <c r="BA24" s="208">
        <v>0</v>
      </c>
      <c r="BB24" s="208">
        <v>857.56029547000071</v>
      </c>
      <c r="BC24" s="208">
        <v>1240.5084030099993</v>
      </c>
      <c r="BD24" s="208">
        <v>53.793466049999992</v>
      </c>
    </row>
    <row r="25" spans="2:56" x14ac:dyDescent="0.55000000000000004">
      <c r="B25" s="142" t="s">
        <v>263</v>
      </c>
      <c r="C25" s="208">
        <v>19068.910542469999</v>
      </c>
      <c r="D25" s="208">
        <v>62640.426607412301</v>
      </c>
      <c r="E25" s="208">
        <v>1917.1645330700003</v>
      </c>
      <c r="F25" s="208">
        <v>23787.36331053001</v>
      </c>
      <c r="G25" s="208">
        <v>7228.2385145199996</v>
      </c>
      <c r="H25" s="208">
        <v>47201.047438489994</v>
      </c>
      <c r="I25" s="208">
        <v>20284.364377739999</v>
      </c>
      <c r="J25" s="208">
        <v>45515.073693580031</v>
      </c>
      <c r="K25" s="208">
        <v>53285.243926950032</v>
      </c>
      <c r="L25" s="208">
        <v>20976.089976839994</v>
      </c>
      <c r="M25" s="208">
        <v>41148.426238140019</v>
      </c>
      <c r="N25" s="208">
        <v>18134.064297070003</v>
      </c>
      <c r="O25" s="208">
        <v>24131.882631420009</v>
      </c>
      <c r="P25" s="208">
        <v>1055.9000000000001</v>
      </c>
      <c r="Q25" s="208">
        <v>58464.705538459995</v>
      </c>
      <c r="R25" s="208">
        <v>6556.065750069999</v>
      </c>
      <c r="S25" s="208">
        <v>29049.108396552001</v>
      </c>
      <c r="T25" s="208">
        <v>44162.739972759904</v>
      </c>
      <c r="U25" s="208">
        <v>26702.810767910025</v>
      </c>
      <c r="V25" s="208">
        <v>30268.399608140018</v>
      </c>
      <c r="W25" s="208">
        <v>5548.0449713299986</v>
      </c>
      <c r="X25" s="208">
        <v>4.9000000000000004</v>
      </c>
      <c r="Y25" s="208">
        <v>721.54</v>
      </c>
      <c r="Z25" s="208">
        <v>4384.9527752869981</v>
      </c>
      <c r="AA25" s="208">
        <v>3380.1471516099991</v>
      </c>
      <c r="AB25" s="208">
        <v>0</v>
      </c>
      <c r="AC25" s="208">
        <v>8198.8210220500096</v>
      </c>
      <c r="AD25" s="208">
        <v>8495.8705709000023</v>
      </c>
      <c r="AE25" s="208">
        <v>3802.2549344329987</v>
      </c>
      <c r="AF25" s="208">
        <v>0</v>
      </c>
      <c r="AG25" s="208">
        <v>5870.4698037999951</v>
      </c>
      <c r="AH25" s="208">
        <v>9877.353836197999</v>
      </c>
      <c r="AI25" s="208">
        <v>5036.0147959700034</v>
      </c>
      <c r="AJ25" s="208">
        <v>219.08123157000003</v>
      </c>
      <c r="AK25" s="208">
        <v>71.031247860000008</v>
      </c>
      <c r="AL25" s="208">
        <v>450.19265657999995</v>
      </c>
      <c r="AM25" s="208">
        <v>88.846562669999997</v>
      </c>
      <c r="AN25" s="208">
        <v>0</v>
      </c>
      <c r="AO25" s="208">
        <v>0</v>
      </c>
      <c r="AP25" s="208">
        <v>212.37878965000004</v>
      </c>
      <c r="AQ25" s="208">
        <v>0</v>
      </c>
      <c r="AR25" s="208">
        <v>82.85615</v>
      </c>
      <c r="AS25" s="208">
        <v>374.67</v>
      </c>
      <c r="AT25" s="208">
        <v>0</v>
      </c>
      <c r="AU25" s="208">
        <v>1002.3838139799999</v>
      </c>
      <c r="AV25" s="208">
        <v>842.93909999999994</v>
      </c>
      <c r="AW25" s="208">
        <v>249.85150009999995</v>
      </c>
      <c r="AX25" s="208">
        <v>279.43261551000001</v>
      </c>
      <c r="AY25" s="208">
        <v>210.10725131999996</v>
      </c>
      <c r="AZ25" s="208">
        <v>108.0025409</v>
      </c>
      <c r="BA25" s="208">
        <v>0</v>
      </c>
      <c r="BB25" s="208">
        <v>2731.8248248200007</v>
      </c>
      <c r="BC25" s="208">
        <v>425.44771838999998</v>
      </c>
      <c r="BD25" s="208">
        <v>859.43867993000015</v>
      </c>
    </row>
    <row r="26" spans="2:56" x14ac:dyDescent="0.55000000000000004">
      <c r="B26" s="142" t="s">
        <v>395</v>
      </c>
      <c r="C26" s="208">
        <v>2091.91050627</v>
      </c>
      <c r="D26" s="208">
        <v>1988.3096469800003</v>
      </c>
      <c r="E26" s="208">
        <v>18449.180462766999</v>
      </c>
      <c r="F26" s="208">
        <v>17872.360409372497</v>
      </c>
      <c r="G26" s="208">
        <v>4026.8385827960037</v>
      </c>
      <c r="H26" s="208">
        <v>12958.82680124999</v>
      </c>
      <c r="I26" s="208">
        <v>6289.7737437570004</v>
      </c>
      <c r="J26" s="208">
        <v>11540.295289647</v>
      </c>
      <c r="K26" s="208">
        <v>67.01400000000001</v>
      </c>
      <c r="L26" s="208">
        <v>5626.4334062000007</v>
      </c>
      <c r="M26" s="208">
        <v>5034.3635402</v>
      </c>
      <c r="N26" s="208">
        <v>8839.8189406499987</v>
      </c>
      <c r="O26" s="208">
        <v>5732.60164042</v>
      </c>
      <c r="P26" s="208">
        <v>798.3</v>
      </c>
      <c r="Q26" s="208">
        <v>11226.15841443</v>
      </c>
      <c r="R26" s="208">
        <v>1818.4719315099999</v>
      </c>
      <c r="S26" s="208">
        <v>806.40261846199996</v>
      </c>
      <c r="T26" s="208">
        <v>5061.269089540001</v>
      </c>
      <c r="U26" s="208">
        <v>3035.5290230599999</v>
      </c>
      <c r="V26" s="208">
        <v>3288.2096259209984</v>
      </c>
      <c r="W26" s="208">
        <v>0</v>
      </c>
      <c r="X26" s="208">
        <v>0</v>
      </c>
      <c r="Y26" s="208">
        <v>0</v>
      </c>
      <c r="Z26" s="208">
        <v>0</v>
      </c>
      <c r="AA26" s="208">
        <v>0</v>
      </c>
      <c r="AB26" s="208">
        <v>0</v>
      </c>
      <c r="AC26" s="208">
        <v>0</v>
      </c>
      <c r="AD26" s="208">
        <v>0</v>
      </c>
      <c r="AE26" s="208">
        <v>0</v>
      </c>
      <c r="AF26" s="208">
        <v>0</v>
      </c>
      <c r="AG26" s="208">
        <v>0</v>
      </c>
      <c r="AH26" s="208">
        <v>0</v>
      </c>
      <c r="AI26" s="208">
        <v>0</v>
      </c>
      <c r="AJ26" s="208">
        <v>0</v>
      </c>
      <c r="AK26" s="208">
        <v>0</v>
      </c>
      <c r="AL26" s="208">
        <v>0</v>
      </c>
      <c r="AM26" s="208">
        <v>0</v>
      </c>
      <c r="AN26" s="208">
        <v>0</v>
      </c>
      <c r="AO26" s="208">
        <v>0</v>
      </c>
      <c r="AP26" s="208">
        <v>0</v>
      </c>
      <c r="AQ26" s="208">
        <v>0</v>
      </c>
      <c r="AR26" s="208">
        <v>0</v>
      </c>
      <c r="AS26" s="208">
        <v>0</v>
      </c>
      <c r="AT26" s="208">
        <v>0</v>
      </c>
      <c r="AU26" s="208">
        <v>0</v>
      </c>
      <c r="AV26" s="208">
        <v>0</v>
      </c>
      <c r="AW26" s="208">
        <v>0</v>
      </c>
      <c r="AX26" s="208">
        <v>0</v>
      </c>
      <c r="AY26" s="208">
        <v>0</v>
      </c>
      <c r="AZ26" s="208">
        <v>0</v>
      </c>
      <c r="BA26" s="208">
        <v>0</v>
      </c>
      <c r="BB26" s="208">
        <v>0</v>
      </c>
      <c r="BC26" s="208">
        <v>0</v>
      </c>
      <c r="BD26" s="208">
        <v>0</v>
      </c>
    </row>
    <row r="27" spans="2:56" ht="31.35" x14ac:dyDescent="0.55000000000000004">
      <c r="B27" s="159" t="s">
        <v>396</v>
      </c>
      <c r="C27" s="208">
        <v>21091.652402399999</v>
      </c>
      <c r="D27" s="208">
        <v>23454.140125605001</v>
      </c>
      <c r="E27" s="208">
        <v>100387.68246077003</v>
      </c>
      <c r="F27" s="208">
        <v>129732.45373002738</v>
      </c>
      <c r="G27" s="208">
        <v>26155.778563430002</v>
      </c>
      <c r="H27" s="208">
        <v>34325.33878132989</v>
      </c>
      <c r="I27" s="208">
        <v>19905.16470392</v>
      </c>
      <c r="J27" s="208">
        <v>26959.274587249998</v>
      </c>
      <c r="K27" s="208">
        <v>9639.9106001100026</v>
      </c>
      <c r="L27" s="208">
        <v>22186.260668100007</v>
      </c>
      <c r="M27" s="208">
        <v>33719.706301689977</v>
      </c>
      <c r="N27" s="208">
        <v>56264.675739869999</v>
      </c>
      <c r="O27" s="208">
        <v>31398.219422219998</v>
      </c>
      <c r="P27" s="208">
        <v>105980.72</v>
      </c>
      <c r="Q27" s="208">
        <v>58346.982761100015</v>
      </c>
      <c r="R27" s="208">
        <v>17592.501660440004</v>
      </c>
      <c r="S27" s="208">
        <v>13754.429569884</v>
      </c>
      <c r="T27" s="208">
        <v>35831.754916330028</v>
      </c>
      <c r="U27" s="208">
        <v>32879.483891669988</v>
      </c>
      <c r="V27" s="208">
        <v>12377.482141650004</v>
      </c>
      <c r="W27" s="208">
        <v>166.31055099999998</v>
      </c>
      <c r="X27" s="208">
        <v>0</v>
      </c>
      <c r="Y27" s="208">
        <v>0</v>
      </c>
      <c r="Z27" s="208">
        <v>516.30439253999987</v>
      </c>
      <c r="AA27" s="208">
        <v>120.58317679</v>
      </c>
      <c r="AB27" s="208">
        <v>432.17825597999985</v>
      </c>
      <c r="AC27" s="208">
        <v>3495.8571450899999</v>
      </c>
      <c r="AD27" s="208">
        <v>1660.66631433</v>
      </c>
      <c r="AE27" s="208">
        <v>341.17461300000002</v>
      </c>
      <c r="AF27" s="208">
        <v>164.24091641000001</v>
      </c>
      <c r="AG27" s="208">
        <v>1305.4963693600007</v>
      </c>
      <c r="AH27" s="208">
        <v>703.83956263000005</v>
      </c>
      <c r="AI27" s="208">
        <v>1994.7137134700004</v>
      </c>
      <c r="AJ27" s="208">
        <v>107.89208331</v>
      </c>
      <c r="AK27" s="208">
        <v>0</v>
      </c>
      <c r="AL27" s="208">
        <v>279.7574090999999</v>
      </c>
      <c r="AM27" s="208">
        <v>0</v>
      </c>
      <c r="AN27" s="208">
        <v>197.15475502000001</v>
      </c>
      <c r="AO27" s="208">
        <v>96.64817257</v>
      </c>
      <c r="AP27" s="208">
        <v>310.43581081000002</v>
      </c>
      <c r="AQ27" s="208">
        <v>2368.4950699999999</v>
      </c>
      <c r="AR27" s="208">
        <v>231.15576000000001</v>
      </c>
      <c r="AS27" s="208">
        <v>53.543999999999997</v>
      </c>
      <c r="AT27" s="208">
        <v>84.039480000000012</v>
      </c>
      <c r="AU27" s="208">
        <v>0</v>
      </c>
      <c r="AV27" s="208">
        <v>214.04157000000001</v>
      </c>
      <c r="AW27" s="208">
        <v>479.92426513000009</v>
      </c>
      <c r="AX27" s="208">
        <v>37.753977370000001</v>
      </c>
      <c r="AY27" s="208">
        <v>0</v>
      </c>
      <c r="AZ27" s="208">
        <v>0</v>
      </c>
      <c r="BA27" s="208">
        <v>228.10811000000001</v>
      </c>
      <c r="BB27" s="208">
        <v>80.400000000000006</v>
      </c>
      <c r="BC27" s="208">
        <v>596.78314581000018</v>
      </c>
      <c r="BD27" s="208">
        <v>303.48618144999995</v>
      </c>
    </row>
    <row r="28" spans="2:56" ht="31.35" x14ac:dyDescent="0.55000000000000004">
      <c r="B28" s="159" t="s">
        <v>266</v>
      </c>
      <c r="C28" s="208">
        <v>11674.309227690001</v>
      </c>
      <c r="D28" s="208">
        <v>30267</v>
      </c>
      <c r="E28" s="208">
        <v>29831.380635149999</v>
      </c>
      <c r="F28" s="208">
        <v>7797.1115553800028</v>
      </c>
      <c r="G28" s="208">
        <v>8320.1707942499997</v>
      </c>
      <c r="H28" s="208">
        <v>5396.1654633599983</v>
      </c>
      <c r="I28" s="208">
        <v>2657.1305396999996</v>
      </c>
      <c r="J28" s="208">
        <v>24345.670485759987</v>
      </c>
      <c r="K28" s="208">
        <v>45990.066264380257</v>
      </c>
      <c r="L28" s="208">
        <v>6578.5650211100019</v>
      </c>
      <c r="M28" s="208">
        <v>12446.139182019981</v>
      </c>
      <c r="N28" s="208">
        <v>18839.192022210031</v>
      </c>
      <c r="O28" s="208">
        <v>15538.766373670038</v>
      </c>
      <c r="P28" s="208">
        <v>10484.85</v>
      </c>
      <c r="Q28" s="208">
        <v>43081.353145760091</v>
      </c>
      <c r="R28" s="208">
        <v>12045.745901850005</v>
      </c>
      <c r="S28" s="208">
        <v>9024.4311020199948</v>
      </c>
      <c r="T28" s="208">
        <v>19368.936656940004</v>
      </c>
      <c r="U28" s="208">
        <v>13381.869411839956</v>
      </c>
      <c r="V28" s="208">
        <v>10864.81983192999</v>
      </c>
      <c r="W28" s="208">
        <v>7389.6933777400136</v>
      </c>
      <c r="X28" s="208">
        <v>22.373000000000001</v>
      </c>
      <c r="Y28" s="208">
        <v>39.518000000000001</v>
      </c>
      <c r="Z28" s="208">
        <v>7306.0950976959866</v>
      </c>
      <c r="AA28" s="208">
        <v>1677.9383622151022</v>
      </c>
      <c r="AB28" s="208">
        <v>1000.5340379600009</v>
      </c>
      <c r="AC28" s="208">
        <v>15146.625809260058</v>
      </c>
      <c r="AD28" s="208">
        <v>12054.52456283002</v>
      </c>
      <c r="AE28" s="208">
        <v>5333.265595200005</v>
      </c>
      <c r="AF28" s="208">
        <v>232.97181061999996</v>
      </c>
      <c r="AG28" s="208">
        <v>6476.6436494379986</v>
      </c>
      <c r="AH28" s="208">
        <v>4476.5448475500025</v>
      </c>
      <c r="AI28" s="208">
        <v>7521.6646091900002</v>
      </c>
      <c r="AJ28" s="208">
        <v>640.77796930999978</v>
      </c>
      <c r="AK28" s="208">
        <v>0</v>
      </c>
      <c r="AL28" s="208">
        <v>674.15175236000016</v>
      </c>
      <c r="AM28" s="208">
        <v>939.08626998000011</v>
      </c>
      <c r="AN28" s="208">
        <v>352.04070618999998</v>
      </c>
      <c r="AO28" s="208">
        <v>530.31955042000004</v>
      </c>
      <c r="AP28" s="208">
        <v>703.01973213999952</v>
      </c>
      <c r="AQ28" s="208">
        <v>568.67385000000002</v>
      </c>
      <c r="AR28" s="208">
        <v>767.81723999999997</v>
      </c>
      <c r="AS28" s="208">
        <v>842.42100000000005</v>
      </c>
      <c r="AT28" s="208">
        <v>324.55612000000002</v>
      </c>
      <c r="AU28" s="208">
        <v>5.3183355299999997</v>
      </c>
      <c r="AV28" s="208">
        <v>600.00705000000005</v>
      </c>
      <c r="AW28" s="208">
        <v>697.05761913000026</v>
      </c>
      <c r="AX28" s="208">
        <v>30.70924248</v>
      </c>
      <c r="AY28" s="208">
        <v>230.92969277</v>
      </c>
      <c r="AZ28" s="208">
        <v>0</v>
      </c>
      <c r="BA28" s="208">
        <v>1166.8261</v>
      </c>
      <c r="BB28" s="208">
        <v>1798.2575128100004</v>
      </c>
      <c r="BC28" s="208">
        <v>5437.2257936934957</v>
      </c>
      <c r="BD28" s="208">
        <v>932.72027599</v>
      </c>
    </row>
    <row r="29" spans="2:56" x14ac:dyDescent="0.55000000000000004">
      <c r="B29" s="142" t="s">
        <v>267</v>
      </c>
      <c r="C29" s="208">
        <v>9645.9046325899981</v>
      </c>
      <c r="D29" s="208">
        <v>9956.258845758397</v>
      </c>
      <c r="E29" s="208">
        <v>22538.366638289976</v>
      </c>
      <c r="F29" s="208">
        <v>24109.097571870007</v>
      </c>
      <c r="G29" s="208">
        <v>8834.8197443200006</v>
      </c>
      <c r="H29" s="208">
        <v>11242.315991219999</v>
      </c>
      <c r="I29" s="208">
        <v>3834.5313885199998</v>
      </c>
      <c r="J29" s="208">
        <v>7322.7591049500006</v>
      </c>
      <c r="K29" s="208">
        <v>23865.339738930023</v>
      </c>
      <c r="L29" s="208">
        <v>1734.5521930100001</v>
      </c>
      <c r="M29" s="208">
        <v>7757.3109519199988</v>
      </c>
      <c r="N29" s="208">
        <v>15564.079583719997</v>
      </c>
      <c r="O29" s="208">
        <v>3926.8126057800009</v>
      </c>
      <c r="P29" s="208">
        <v>2356.2399999999998</v>
      </c>
      <c r="Q29" s="208">
        <v>16755.892775600005</v>
      </c>
      <c r="R29" s="208">
        <v>3964.4824450599999</v>
      </c>
      <c r="S29" s="208">
        <v>23656.8566757017</v>
      </c>
      <c r="T29" s="208">
        <v>5004.3861768399966</v>
      </c>
      <c r="U29" s="208">
        <v>17043.223945589998</v>
      </c>
      <c r="V29" s="208">
        <v>6901.2587688999993</v>
      </c>
      <c r="W29" s="208">
        <v>1084.8827527000001</v>
      </c>
      <c r="X29" s="208">
        <v>7.4989999999999997</v>
      </c>
      <c r="Y29" s="208">
        <v>160</v>
      </c>
      <c r="Z29" s="208">
        <v>3149.2346593400007</v>
      </c>
      <c r="AA29" s="208">
        <v>489.08611554999999</v>
      </c>
      <c r="AB29" s="208">
        <v>55.15</v>
      </c>
      <c r="AC29" s="208">
        <v>8775.3521131999969</v>
      </c>
      <c r="AD29" s="208">
        <v>7511.5124688100004</v>
      </c>
      <c r="AE29" s="208">
        <v>2197.979458459999</v>
      </c>
      <c r="AF29" s="208">
        <v>58.591692259999995</v>
      </c>
      <c r="AG29" s="208">
        <v>1396.1067651900005</v>
      </c>
      <c r="AH29" s="208">
        <v>5117.82798353</v>
      </c>
      <c r="AI29" s="208">
        <v>3727.641275420001</v>
      </c>
      <c r="AJ29" s="208">
        <v>50</v>
      </c>
      <c r="AK29" s="208">
        <v>0</v>
      </c>
      <c r="AL29" s="208">
        <v>244.07333833000007</v>
      </c>
      <c r="AM29" s="208">
        <v>302.57237302999999</v>
      </c>
      <c r="AN29" s="208">
        <v>222.82552981000001</v>
      </c>
      <c r="AO29" s="208">
        <v>1027.28922711</v>
      </c>
      <c r="AP29" s="208">
        <v>316.33945040000009</v>
      </c>
      <c r="AQ29" s="208">
        <v>670.60317999999995</v>
      </c>
      <c r="AR29" s="208">
        <v>1320.68469</v>
      </c>
      <c r="AS29" s="208">
        <v>312.18400000000003</v>
      </c>
      <c r="AT29" s="208">
        <v>575.60109999999997</v>
      </c>
      <c r="AU29" s="208">
        <v>107.60043684000001</v>
      </c>
      <c r="AV29" s="208">
        <v>555.94002</v>
      </c>
      <c r="AW29" s="208">
        <v>165.89028870000004</v>
      </c>
      <c r="AX29" s="208">
        <v>52.981857819999995</v>
      </c>
      <c r="AY29" s="208">
        <v>76.77114345999999</v>
      </c>
      <c r="AZ29" s="208">
        <v>191.50781620000001</v>
      </c>
      <c r="BA29" s="208">
        <v>325.74099999999999</v>
      </c>
      <c r="BB29" s="208">
        <v>2085.9649205999995</v>
      </c>
      <c r="BC29" s="208">
        <v>2902.8011236300003</v>
      </c>
      <c r="BD29" s="208">
        <v>626.77061819999983</v>
      </c>
    </row>
    <row r="30" spans="2:56" x14ac:dyDescent="0.55000000000000004">
      <c r="B30" s="142" t="s">
        <v>268</v>
      </c>
      <c r="C30" s="208">
        <v>7528.0630359199959</v>
      </c>
      <c r="D30" s="208">
        <v>6198.0438281299976</v>
      </c>
      <c r="E30" s="208">
        <v>16577.089419219999</v>
      </c>
      <c r="F30" s="208">
        <v>3247.74749535</v>
      </c>
      <c r="G30" s="208">
        <v>0</v>
      </c>
      <c r="H30" s="208">
        <v>2810.1849156800004</v>
      </c>
      <c r="I30" s="208">
        <v>623.76230738999993</v>
      </c>
      <c r="J30" s="208">
        <v>3550.27625274</v>
      </c>
      <c r="K30" s="208">
        <v>2094.9113357199999</v>
      </c>
      <c r="L30" s="208">
        <v>2659.9916641900004</v>
      </c>
      <c r="M30" s="208">
        <v>11250.974852419999</v>
      </c>
      <c r="N30" s="208">
        <v>8228.08702748</v>
      </c>
      <c r="O30" s="208">
        <v>9767.2350908900044</v>
      </c>
      <c r="P30" s="208">
        <v>5332.16</v>
      </c>
      <c r="Q30" s="208">
        <v>12898.511336199994</v>
      </c>
      <c r="R30" s="208">
        <v>6761.7484206099989</v>
      </c>
      <c r="S30" s="208">
        <v>9699.8296542499993</v>
      </c>
      <c r="T30" s="208">
        <v>2786.06517343</v>
      </c>
      <c r="U30" s="208">
        <v>5840.6107658799992</v>
      </c>
      <c r="V30" s="208">
        <v>2757.34827559</v>
      </c>
      <c r="W30" s="208">
        <v>2214.2955318400004</v>
      </c>
      <c r="X30" s="208">
        <v>0</v>
      </c>
      <c r="Y30" s="208">
        <v>0</v>
      </c>
      <c r="Z30" s="208">
        <v>1580.9951362699999</v>
      </c>
      <c r="AA30" s="208">
        <v>434.12058494999997</v>
      </c>
      <c r="AB30" s="208">
        <v>235.3</v>
      </c>
      <c r="AC30" s="208">
        <v>3827.4926406499994</v>
      </c>
      <c r="AD30" s="208">
        <v>2826.6199203000001</v>
      </c>
      <c r="AE30" s="208">
        <v>1937.5090615899999</v>
      </c>
      <c r="AF30" s="208">
        <v>0</v>
      </c>
      <c r="AG30" s="208">
        <v>1732.4083246524999</v>
      </c>
      <c r="AH30" s="208">
        <v>2477.5174418900006</v>
      </c>
      <c r="AI30" s="208">
        <v>1880.1685060299999</v>
      </c>
      <c r="AJ30" s="208">
        <v>72.361357780000006</v>
      </c>
      <c r="AK30" s="208">
        <v>0</v>
      </c>
      <c r="AL30" s="208">
        <v>174.35796902999999</v>
      </c>
      <c r="AM30" s="208">
        <v>215.41130999999996</v>
      </c>
      <c r="AN30" s="208">
        <v>384.05694595</v>
      </c>
      <c r="AO30" s="208">
        <v>26.189848300000001</v>
      </c>
      <c r="AP30" s="208">
        <v>389.50258684999994</v>
      </c>
      <c r="AQ30" s="208">
        <v>200.38795000000002</v>
      </c>
      <c r="AR30" s="208">
        <v>468.87608999999998</v>
      </c>
      <c r="AS30" s="208">
        <v>289.18299999999999</v>
      </c>
      <c r="AT30" s="208">
        <v>167.05394000000001</v>
      </c>
      <c r="AU30" s="208">
        <v>0</v>
      </c>
      <c r="AV30" s="208">
        <v>53.966340000000002</v>
      </c>
      <c r="AW30" s="208">
        <v>174.32765481000001</v>
      </c>
      <c r="AX30" s="208">
        <v>0</v>
      </c>
      <c r="AY30" s="208">
        <v>107.87496562</v>
      </c>
      <c r="AZ30" s="208">
        <v>0</v>
      </c>
      <c r="BA30" s="208">
        <v>466.44381999999996</v>
      </c>
      <c r="BB30" s="208">
        <v>526.74326504999988</v>
      </c>
      <c r="BC30" s="208">
        <v>804.36199877000001</v>
      </c>
      <c r="BD30" s="208">
        <v>254.34884201000003</v>
      </c>
    </row>
    <row r="31" spans="2:56" x14ac:dyDescent="0.55000000000000004">
      <c r="B31" s="142" t="s">
        <v>269</v>
      </c>
      <c r="C31" s="208">
        <v>2479.6162766699999</v>
      </c>
      <c r="D31" s="208">
        <v>9574.8972840033748</v>
      </c>
      <c r="E31" s="208">
        <v>11462.953089089991</v>
      </c>
      <c r="F31" s="208">
        <v>5069.8907025400003</v>
      </c>
      <c r="G31" s="208">
        <v>1470.0056910099997</v>
      </c>
      <c r="H31" s="208">
        <v>6753.7168941099999</v>
      </c>
      <c r="I31" s="208">
        <v>2975.9508503700004</v>
      </c>
      <c r="J31" s="208">
        <v>5719.6547848800001</v>
      </c>
      <c r="K31" s="208">
        <v>2184.3259439899975</v>
      </c>
      <c r="L31" s="208">
        <v>3537.9345303400009</v>
      </c>
      <c r="M31" s="208">
        <v>4585.1263479200015</v>
      </c>
      <c r="N31" s="208">
        <v>3029.6782281800033</v>
      </c>
      <c r="O31" s="208">
        <v>4347.4371494099978</v>
      </c>
      <c r="P31" s="208">
        <v>4740.34</v>
      </c>
      <c r="Q31" s="208">
        <v>15615.371695900021</v>
      </c>
      <c r="R31" s="208">
        <v>4476.3181163899972</v>
      </c>
      <c r="S31" s="208">
        <v>6022.6096625765058</v>
      </c>
      <c r="T31" s="208">
        <v>6686.164195389998</v>
      </c>
      <c r="U31" s="208">
        <v>5456.8892790500086</v>
      </c>
      <c r="V31" s="208">
        <v>6814.4875394400051</v>
      </c>
      <c r="W31" s="208">
        <v>1207.3863624500004</v>
      </c>
      <c r="X31" s="208">
        <v>17.271999999999998</v>
      </c>
      <c r="Y31" s="208">
        <v>128.316</v>
      </c>
      <c r="Z31" s="208">
        <v>1606.3686713799984</v>
      </c>
      <c r="AA31" s="208">
        <v>514.42700389799961</v>
      </c>
      <c r="AB31" s="208">
        <v>277.6391068399999</v>
      </c>
      <c r="AC31" s="208">
        <v>1843.4668129200002</v>
      </c>
      <c r="AD31" s="208">
        <v>2176.7201608900004</v>
      </c>
      <c r="AE31" s="208">
        <v>963.93776686000012</v>
      </c>
      <c r="AF31" s="208">
        <v>44.472937400000006</v>
      </c>
      <c r="AG31" s="208">
        <v>790.1863321194993</v>
      </c>
      <c r="AH31" s="208">
        <v>883.6833398309999</v>
      </c>
      <c r="AI31" s="208">
        <v>1149.5471535869997</v>
      </c>
      <c r="AJ31" s="208">
        <v>109.45767638000004</v>
      </c>
      <c r="AK31" s="208">
        <v>7.6281421800000002</v>
      </c>
      <c r="AL31" s="208">
        <v>141.31719971000001</v>
      </c>
      <c r="AM31" s="208">
        <v>226.53216697000002</v>
      </c>
      <c r="AN31" s="208">
        <v>152.96618744</v>
      </c>
      <c r="AO31" s="208">
        <v>120.34705</v>
      </c>
      <c r="AP31" s="208">
        <v>141.08526828000001</v>
      </c>
      <c r="AQ31" s="208">
        <v>947.18710999999996</v>
      </c>
      <c r="AR31" s="208">
        <v>42.322240000000001</v>
      </c>
      <c r="AS31" s="208">
        <v>116.877</v>
      </c>
      <c r="AT31" s="208">
        <v>96.179179999999988</v>
      </c>
      <c r="AU31" s="208">
        <v>0</v>
      </c>
      <c r="AV31" s="208">
        <v>448.78836000000001</v>
      </c>
      <c r="AW31" s="208">
        <v>167.63994333999995</v>
      </c>
      <c r="AX31" s="208">
        <v>3.0602711600000001</v>
      </c>
      <c r="AY31" s="208">
        <v>154.04781473</v>
      </c>
      <c r="AZ31" s="208">
        <v>0</v>
      </c>
      <c r="BA31" s="208">
        <v>43.450720000000004</v>
      </c>
      <c r="BB31" s="208">
        <v>417.44993925000028</v>
      </c>
      <c r="BC31" s="208">
        <v>103.60676145999997</v>
      </c>
      <c r="BD31" s="208">
        <v>481.36496003000025</v>
      </c>
    </row>
    <row r="32" spans="2:56" x14ac:dyDescent="0.55000000000000004">
      <c r="B32" s="142" t="s">
        <v>270</v>
      </c>
      <c r="C32" s="208">
        <v>11819.640787739989</v>
      </c>
      <c r="D32" s="208">
        <v>15345.420711656914</v>
      </c>
      <c r="E32" s="208">
        <v>20203.259634060014</v>
      </c>
      <c r="F32" s="208">
        <v>18767.62340832</v>
      </c>
      <c r="G32" s="208">
        <v>4281.0226340999998</v>
      </c>
      <c r="H32" s="208">
        <v>10904.663431980105</v>
      </c>
      <c r="I32" s="208">
        <v>7239.0396933300108</v>
      </c>
      <c r="J32" s="208">
        <v>10796.367207469999</v>
      </c>
      <c r="K32" s="208">
        <v>6802.6831213999994</v>
      </c>
      <c r="L32" s="208">
        <v>6891.2686944999805</v>
      </c>
      <c r="M32" s="208">
        <v>12270.278330019995</v>
      </c>
      <c r="N32" s="208">
        <v>13461.452665189998</v>
      </c>
      <c r="O32" s="208">
        <v>11002.336360139994</v>
      </c>
      <c r="P32" s="208">
        <v>16245.28</v>
      </c>
      <c r="Q32" s="208">
        <v>21581.695829299977</v>
      </c>
      <c r="R32" s="208">
        <v>11680.06135069998</v>
      </c>
      <c r="S32" s="208">
        <v>10905.87141997005</v>
      </c>
      <c r="T32" s="208">
        <v>11734.581810690004</v>
      </c>
      <c r="U32" s="208">
        <v>11623.684494959985</v>
      </c>
      <c r="V32" s="208">
        <v>9036.8470893199865</v>
      </c>
      <c r="W32" s="208">
        <v>3422.6262732900036</v>
      </c>
      <c r="X32" s="208">
        <v>25.643000000000001</v>
      </c>
      <c r="Y32" s="208">
        <v>15.427</v>
      </c>
      <c r="Z32" s="208">
        <v>3156.1921580099993</v>
      </c>
      <c r="AA32" s="208">
        <v>626.57621477000043</v>
      </c>
      <c r="AB32" s="208">
        <v>478.68501241999962</v>
      </c>
      <c r="AC32" s="208">
        <v>5541.4662045900232</v>
      </c>
      <c r="AD32" s="208">
        <v>4363.7842959799982</v>
      </c>
      <c r="AE32" s="208">
        <v>3318.615027379999</v>
      </c>
      <c r="AF32" s="208">
        <v>68.400167440000004</v>
      </c>
      <c r="AG32" s="208">
        <v>2959.8063648660004</v>
      </c>
      <c r="AH32" s="208">
        <v>2972.3039539300062</v>
      </c>
      <c r="AI32" s="208">
        <v>3820.906136441984</v>
      </c>
      <c r="AJ32" s="208">
        <v>290.00374707999987</v>
      </c>
      <c r="AK32" s="208">
        <v>166.47439915999982</v>
      </c>
      <c r="AL32" s="208">
        <v>570.79526141329984</v>
      </c>
      <c r="AM32" s="208">
        <v>310.52916812000041</v>
      </c>
      <c r="AN32" s="208">
        <v>121.64898173</v>
      </c>
      <c r="AO32" s="208">
        <v>33.183290190000001</v>
      </c>
      <c r="AP32" s="208">
        <v>448.10132575000029</v>
      </c>
      <c r="AQ32" s="208">
        <v>418.14738</v>
      </c>
      <c r="AR32" s="208">
        <v>155.16082999999998</v>
      </c>
      <c r="AS32" s="208">
        <v>328.06099999999998</v>
      </c>
      <c r="AT32" s="208">
        <v>215.05826000000002</v>
      </c>
      <c r="AU32" s="208">
        <v>123.63325614000003</v>
      </c>
      <c r="AV32" s="208">
        <v>368.79788000000002</v>
      </c>
      <c r="AW32" s="208">
        <v>110.78569508000001</v>
      </c>
      <c r="AX32" s="208">
        <v>102.83225376999999</v>
      </c>
      <c r="AY32" s="208">
        <v>208.88401077000012</v>
      </c>
      <c r="AZ32" s="208">
        <v>0</v>
      </c>
      <c r="BA32" s="208">
        <v>201.03823</v>
      </c>
      <c r="BB32" s="208">
        <v>307.53251735000003</v>
      </c>
      <c r="BC32" s="208">
        <v>749.13207138999974</v>
      </c>
      <c r="BD32" s="208">
        <v>347.80594948999988</v>
      </c>
    </row>
    <row r="33" spans="2:60" x14ac:dyDescent="0.55000000000000004">
      <c r="B33" s="142" t="s">
        <v>271</v>
      </c>
      <c r="C33" s="208">
        <v>0</v>
      </c>
      <c r="D33" s="208">
        <v>8.5138469699999995</v>
      </c>
      <c r="E33" s="208">
        <v>13.8891831</v>
      </c>
      <c r="F33" s="208">
        <v>60.44878261400001</v>
      </c>
      <c r="G33" s="208">
        <v>3527.5525992180001</v>
      </c>
      <c r="H33" s="208">
        <v>0</v>
      </c>
      <c r="I33" s="208">
        <v>8.0037499999999998E-2</v>
      </c>
      <c r="J33" s="208">
        <v>725.57580640999993</v>
      </c>
      <c r="K33" s="208">
        <v>0</v>
      </c>
      <c r="L33" s="208">
        <v>1916.9588714500005</v>
      </c>
      <c r="M33" s="208">
        <v>603.22400000000005</v>
      </c>
      <c r="N33" s="208">
        <v>65.444318519999996</v>
      </c>
      <c r="O33" s="208">
        <v>306.86521699999997</v>
      </c>
      <c r="P33" s="208">
        <v>0</v>
      </c>
      <c r="Q33" s="208">
        <v>630.09019000000001</v>
      </c>
      <c r="R33" s="208">
        <v>0</v>
      </c>
      <c r="S33" s="208">
        <v>3169.8318673537005</v>
      </c>
      <c r="T33" s="208">
        <v>279.40181144999997</v>
      </c>
      <c r="U33" s="208">
        <v>170.80799999999999</v>
      </c>
      <c r="V33" s="208">
        <v>767.39272520000009</v>
      </c>
      <c r="W33" s="208">
        <v>0</v>
      </c>
      <c r="X33" s="208">
        <v>0</v>
      </c>
      <c r="Y33" s="208">
        <v>0</v>
      </c>
      <c r="Z33" s="208">
        <v>0</v>
      </c>
      <c r="AA33" s="208">
        <v>0</v>
      </c>
      <c r="AB33" s="208">
        <v>0</v>
      </c>
      <c r="AC33" s="208">
        <v>0</v>
      </c>
      <c r="AD33" s="208">
        <v>0</v>
      </c>
      <c r="AE33" s="208">
        <v>0</v>
      </c>
      <c r="AF33" s="208">
        <v>0</v>
      </c>
      <c r="AG33" s="208">
        <v>0</v>
      </c>
      <c r="AH33" s="208">
        <v>0</v>
      </c>
      <c r="AI33" s="208">
        <v>0</v>
      </c>
      <c r="AJ33" s="208">
        <v>0</v>
      </c>
      <c r="AK33" s="208">
        <v>0</v>
      </c>
      <c r="AL33" s="208">
        <v>0</v>
      </c>
      <c r="AM33" s="208">
        <v>0</v>
      </c>
      <c r="AN33" s="208">
        <v>0</v>
      </c>
      <c r="AO33" s="208">
        <v>0</v>
      </c>
      <c r="AP33" s="208">
        <v>0</v>
      </c>
      <c r="AQ33" s="208">
        <v>0</v>
      </c>
      <c r="AR33" s="208">
        <v>0</v>
      </c>
      <c r="AS33" s="208">
        <v>0</v>
      </c>
      <c r="AT33" s="208">
        <v>0</v>
      </c>
      <c r="AU33" s="208">
        <v>0</v>
      </c>
      <c r="AV33" s="208">
        <v>0</v>
      </c>
      <c r="AW33" s="208">
        <v>0</v>
      </c>
      <c r="AX33" s="208">
        <v>0</v>
      </c>
      <c r="AY33" s="208">
        <v>0</v>
      </c>
      <c r="AZ33" s="208">
        <v>0</v>
      </c>
      <c r="BA33" s="208">
        <v>0</v>
      </c>
      <c r="BB33" s="208">
        <v>0</v>
      </c>
      <c r="BC33" s="208">
        <v>0</v>
      </c>
      <c r="BD33" s="208">
        <v>0</v>
      </c>
    </row>
    <row r="34" spans="2:60" x14ac:dyDescent="0.55000000000000004">
      <c r="B34" s="142" t="s">
        <v>272</v>
      </c>
      <c r="C34" s="208">
        <v>84429.238703640105</v>
      </c>
      <c r="D34" s="208">
        <v>55736.117715482156</v>
      </c>
      <c r="E34" s="208">
        <v>78903.277290406506</v>
      </c>
      <c r="F34" s="208">
        <v>8820.3109813324972</v>
      </c>
      <c r="G34" s="208">
        <v>12581.558925089996</v>
      </c>
      <c r="H34" s="208">
        <v>11676.374275350037</v>
      </c>
      <c r="I34" s="208">
        <v>32606.686896840019</v>
      </c>
      <c r="J34" s="208">
        <v>10159.01195631</v>
      </c>
      <c r="K34" s="208">
        <v>5028.8137167000232</v>
      </c>
      <c r="L34" s="208">
        <v>4118.1489179599994</v>
      </c>
      <c r="M34" s="208">
        <v>16388.549577930018</v>
      </c>
      <c r="N34" s="208">
        <v>46379.754406780055</v>
      </c>
      <c r="O34" s="208">
        <v>9414.0267853200094</v>
      </c>
      <c r="P34" s="208">
        <v>2628.66</v>
      </c>
      <c r="Q34" s="208">
        <v>12078.870430258994</v>
      </c>
      <c r="R34" s="208">
        <v>25960.445768101959</v>
      </c>
      <c r="S34" s="208">
        <v>32061.446490174269</v>
      </c>
      <c r="T34" s="208">
        <v>8527.2995243800033</v>
      </c>
      <c r="U34" s="208">
        <v>12818.097753469996</v>
      </c>
      <c r="V34" s="208">
        <v>4625.6141431800033</v>
      </c>
      <c r="W34" s="208">
        <v>3494.3128504400006</v>
      </c>
      <c r="X34" s="208">
        <v>27.13</v>
      </c>
      <c r="Y34" s="208">
        <v>665.29499999999996</v>
      </c>
      <c r="Z34" s="208">
        <v>509.13543328000009</v>
      </c>
      <c r="AA34" s="208">
        <v>719.55885219999993</v>
      </c>
      <c r="AB34" s="208">
        <v>1118.3047376799998</v>
      </c>
      <c r="AC34" s="208">
        <v>2897.3705930600026</v>
      </c>
      <c r="AD34" s="208">
        <v>8125.2078311399991</v>
      </c>
      <c r="AE34" s="208">
        <v>1353.26182909</v>
      </c>
      <c r="AF34" s="208">
        <v>105.99462548999999</v>
      </c>
      <c r="AG34" s="208">
        <v>4416.6809998945</v>
      </c>
      <c r="AH34" s="208">
        <v>9225.3659479600083</v>
      </c>
      <c r="AI34" s="208">
        <v>8474.6828941700005</v>
      </c>
      <c r="AJ34" s="208">
        <v>946.21960394999928</v>
      </c>
      <c r="AK34" s="208">
        <v>308.461365</v>
      </c>
      <c r="AL34" s="208">
        <v>533.9554109799999</v>
      </c>
      <c r="AM34" s="208">
        <v>321.78422287999996</v>
      </c>
      <c r="AN34" s="208">
        <v>599.65272906999996</v>
      </c>
      <c r="AO34" s="208">
        <v>14.20380186</v>
      </c>
      <c r="AP34" s="208">
        <v>566.6254597599999</v>
      </c>
      <c r="AQ34" s="208">
        <v>2173.0106000000001</v>
      </c>
      <c r="AR34" s="208">
        <v>1651.2562000000003</v>
      </c>
      <c r="AS34" s="208">
        <v>1234.943</v>
      </c>
      <c r="AT34" s="208">
        <v>2732.0073299999995</v>
      </c>
      <c r="AU34" s="208">
        <v>912.55391912000016</v>
      </c>
      <c r="AV34" s="208">
        <v>210.68444999999997</v>
      </c>
      <c r="AW34" s="208">
        <v>1173.5959583199999</v>
      </c>
      <c r="AX34" s="208">
        <v>542.20776020000005</v>
      </c>
      <c r="AY34" s="208">
        <v>49.835870030000002</v>
      </c>
      <c r="AZ34" s="208">
        <v>18.106450000000002</v>
      </c>
      <c r="BA34" s="208">
        <v>2595.96155</v>
      </c>
      <c r="BB34" s="208">
        <v>266.58355798000002</v>
      </c>
      <c r="BC34" s="208">
        <v>273.45134407</v>
      </c>
      <c r="BD34" s="208">
        <v>571.08299457999999</v>
      </c>
    </row>
    <row r="35" spans="2:60" s="167" customFormat="1" x14ac:dyDescent="0.55000000000000004">
      <c r="B35" s="209" t="s">
        <v>397</v>
      </c>
      <c r="C35" s="203">
        <v>235591.54600595002</v>
      </c>
      <c r="D35" s="203">
        <v>305746.82367453957</v>
      </c>
      <c r="E35" s="203">
        <v>431609.02529647254</v>
      </c>
      <c r="F35" s="203">
        <v>354891.43800835154</v>
      </c>
      <c r="G35" s="203">
        <v>88810.009427733996</v>
      </c>
      <c r="H35" s="203">
        <v>250821.13359650018</v>
      </c>
      <c r="I35" s="203">
        <v>143994.37321057703</v>
      </c>
      <c r="J35" s="203">
        <v>229301.89423105001</v>
      </c>
      <c r="K35" s="203">
        <v>230856.7873609802</v>
      </c>
      <c r="L35" s="203">
        <v>149161.40598585</v>
      </c>
      <c r="M35" s="203">
        <v>290283.50481080002</v>
      </c>
      <c r="N35" s="203">
        <v>286180.6132376102</v>
      </c>
      <c r="O35" s="203">
        <v>225594.08104213403</v>
      </c>
      <c r="P35" s="203">
        <v>213517.18</v>
      </c>
      <c r="Q35" s="203">
        <v>444635.91964940343</v>
      </c>
      <c r="R35" s="203">
        <v>175432.10319793195</v>
      </c>
      <c r="S35" s="203">
        <v>225851.24064938514</v>
      </c>
      <c r="T35" s="203">
        <v>245231.46162320985</v>
      </c>
      <c r="U35" s="203">
        <v>239453.46923615996</v>
      </c>
      <c r="V35" s="203">
        <v>185755.83207839093</v>
      </c>
      <c r="W35" s="203">
        <v>45345.970682650535</v>
      </c>
      <c r="X35" s="203">
        <v>319.68700000000001</v>
      </c>
      <c r="Y35" s="203">
        <v>2547.4319999999998</v>
      </c>
      <c r="Z35" s="203">
        <v>45117.27140289684</v>
      </c>
      <c r="AA35" s="203">
        <v>12709.433216403102</v>
      </c>
      <c r="AB35" s="203">
        <v>5961.0516861499991</v>
      </c>
      <c r="AC35" s="203">
        <v>99500.433360978845</v>
      </c>
      <c r="AD35" s="203">
        <v>75666.50348624996</v>
      </c>
      <c r="AE35" s="203">
        <v>54310.06944102035</v>
      </c>
      <c r="AF35" s="203">
        <v>1304.99084668</v>
      </c>
      <c r="AG35" s="203">
        <v>51416.610394194395</v>
      </c>
      <c r="AH35" s="203">
        <v>60054.304453104007</v>
      </c>
      <c r="AI35" s="203">
        <v>49173.845099538994</v>
      </c>
      <c r="AJ35" s="203">
        <v>3358.8346954499984</v>
      </c>
      <c r="AK35" s="203">
        <v>941.18006222999998</v>
      </c>
      <c r="AL35" s="203">
        <v>5912.7936362853025</v>
      </c>
      <c r="AM35" s="203">
        <v>4878.4102594019987</v>
      </c>
      <c r="AN35" s="203">
        <v>2794.9803695000001</v>
      </c>
      <c r="AO35" s="203">
        <v>2192.2530862799999</v>
      </c>
      <c r="AP35" s="203">
        <v>6463.4936162100048</v>
      </c>
      <c r="AQ35" s="203">
        <v>8974.3061699999998</v>
      </c>
      <c r="AR35" s="203">
        <v>6400.8265700000002</v>
      </c>
      <c r="AS35" s="203">
        <v>4316.2359999999999</v>
      </c>
      <c r="AT35" s="203">
        <v>5022.3074799999995</v>
      </c>
      <c r="AU35" s="203">
        <v>2572.6365691300002</v>
      </c>
      <c r="AV35" s="203">
        <v>5862.7343600000004</v>
      </c>
      <c r="AW35" s="203">
        <v>4936.4122809549999</v>
      </c>
      <c r="AX35" s="203">
        <v>1950.6678762000004</v>
      </c>
      <c r="AY35" s="203">
        <v>2113.8457855099991</v>
      </c>
      <c r="AZ35" s="203">
        <v>663.53000889999998</v>
      </c>
      <c r="BA35" s="203">
        <v>5509.8093699999999</v>
      </c>
      <c r="BB35" s="203">
        <v>17168.487347999995</v>
      </c>
      <c r="BC35" s="203">
        <v>18710.117561259682</v>
      </c>
      <c r="BD35" s="203">
        <v>7245.4740416999994</v>
      </c>
    </row>
    <row r="36" spans="2:60" x14ac:dyDescent="0.55000000000000004">
      <c r="B36" s="204"/>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c r="BC36" s="210"/>
      <c r="BD36" s="210"/>
      <c r="BE36" s="211"/>
      <c r="BF36" s="211"/>
      <c r="BG36" s="211"/>
      <c r="BH36" s="211"/>
    </row>
    <row r="37" spans="2:60" x14ac:dyDescent="0.55000000000000004">
      <c r="B37" s="206" t="s">
        <v>398</v>
      </c>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1"/>
      <c r="BF37" s="211"/>
      <c r="BG37" s="211"/>
      <c r="BH37" s="211"/>
    </row>
    <row r="38" spans="2:60" x14ac:dyDescent="0.55000000000000004">
      <c r="B38" s="213" t="s">
        <v>274</v>
      </c>
      <c r="C38" s="208">
        <v>36578.746745520002</v>
      </c>
      <c r="D38" s="208">
        <v>27575.730842559969</v>
      </c>
      <c r="E38" s="208">
        <v>1936.7092467200002</v>
      </c>
      <c r="F38" s="208">
        <v>2541.7597706899996</v>
      </c>
      <c r="G38" s="208">
        <v>0</v>
      </c>
      <c r="H38" s="208">
        <v>0</v>
      </c>
      <c r="I38" s="208">
        <v>0</v>
      </c>
      <c r="J38" s="208">
        <v>0</v>
      </c>
      <c r="K38" s="208">
        <v>11.696261080000001</v>
      </c>
      <c r="L38" s="208">
        <v>223.86008559999999</v>
      </c>
      <c r="M38" s="208">
        <v>4.7248949500000004</v>
      </c>
      <c r="N38" s="208">
        <v>751.63696019000031</v>
      </c>
      <c r="O38" s="208">
        <v>16.152060549999998</v>
      </c>
      <c r="P38" s="208">
        <v>4.75</v>
      </c>
      <c r="Q38" s="208">
        <v>0</v>
      </c>
      <c r="R38" s="208">
        <v>712.69529038000019</v>
      </c>
      <c r="S38" s="208">
        <v>7387.1111522049832</v>
      </c>
      <c r="T38" s="208">
        <v>0.1979978</v>
      </c>
      <c r="U38" s="208">
        <v>7.0918460799999998</v>
      </c>
      <c r="V38" s="208">
        <v>0</v>
      </c>
      <c r="W38" s="208">
        <v>480.23436489000017</v>
      </c>
      <c r="X38" s="208">
        <v>0</v>
      </c>
      <c r="Y38" s="208">
        <v>0</v>
      </c>
      <c r="Z38" s="208">
        <v>181.93143462000006</v>
      </c>
      <c r="AA38" s="208">
        <v>336.35929363999998</v>
      </c>
      <c r="AB38" s="208">
        <v>0</v>
      </c>
      <c r="AC38" s="208">
        <v>956.49303965000047</v>
      </c>
      <c r="AD38" s="208">
        <v>1127.4791658599995</v>
      </c>
      <c r="AE38" s="208">
        <v>937.07610986999998</v>
      </c>
      <c r="AF38" s="208">
        <v>0</v>
      </c>
      <c r="AG38" s="208">
        <v>524.19454446999987</v>
      </c>
      <c r="AH38" s="208">
        <v>0</v>
      </c>
      <c r="AI38" s="208">
        <v>281.52333332000012</v>
      </c>
      <c r="AJ38" s="208">
        <v>103.25935667</v>
      </c>
      <c r="AK38" s="208">
        <v>94.969309999999993</v>
      </c>
      <c r="AL38" s="208">
        <v>355.69277984999997</v>
      </c>
      <c r="AM38" s="208">
        <v>127.13711568999999</v>
      </c>
      <c r="AN38" s="208">
        <v>0</v>
      </c>
      <c r="AO38" s="208">
        <v>0</v>
      </c>
      <c r="AP38" s="208">
        <v>100.40516254000002</v>
      </c>
      <c r="AQ38" s="208">
        <v>690.12195999999994</v>
      </c>
      <c r="AR38" s="208">
        <v>0</v>
      </c>
      <c r="AS38" s="208">
        <v>0</v>
      </c>
      <c r="AT38" s="208">
        <v>0</v>
      </c>
      <c r="AU38" s="208">
        <v>0</v>
      </c>
      <c r="AV38" s="208">
        <v>0</v>
      </c>
      <c r="AW38" s="208">
        <v>0</v>
      </c>
      <c r="AX38" s="208">
        <v>0</v>
      </c>
      <c r="AY38" s="208">
        <v>0</v>
      </c>
      <c r="AZ38" s="208">
        <v>0</v>
      </c>
      <c r="BA38" s="208">
        <v>0</v>
      </c>
      <c r="BB38" s="208">
        <v>0</v>
      </c>
      <c r="BC38" s="208">
        <v>0</v>
      </c>
      <c r="BD38" s="208">
        <v>0</v>
      </c>
    </row>
    <row r="39" spans="2:60" x14ac:dyDescent="0.55000000000000004">
      <c r="B39" s="214" t="s">
        <v>275</v>
      </c>
      <c r="C39" s="201">
        <v>74.617299770000002</v>
      </c>
      <c r="D39" s="201">
        <v>0.85085916000000017</v>
      </c>
      <c r="E39" s="201">
        <v>5.4998841600000006</v>
      </c>
      <c r="F39" s="201">
        <v>12.0363899</v>
      </c>
      <c r="G39" s="201">
        <v>4500</v>
      </c>
      <c r="H39" s="201">
        <v>0</v>
      </c>
      <c r="I39" s="201">
        <v>0</v>
      </c>
      <c r="J39" s="201">
        <v>0.13289128</v>
      </c>
      <c r="K39" s="201">
        <v>0</v>
      </c>
      <c r="L39" s="201">
        <v>0</v>
      </c>
      <c r="M39" s="201">
        <v>0</v>
      </c>
      <c r="N39" s="201">
        <v>0</v>
      </c>
      <c r="O39" s="201">
        <v>3.702</v>
      </c>
      <c r="P39" s="201">
        <v>0</v>
      </c>
      <c r="Q39" s="201">
        <v>0</v>
      </c>
      <c r="R39" s="201">
        <v>1.0496356100000011</v>
      </c>
      <c r="S39" s="201">
        <v>0</v>
      </c>
      <c r="T39" s="201">
        <v>0</v>
      </c>
      <c r="U39" s="201">
        <v>1.2</v>
      </c>
      <c r="V39" s="201">
        <v>0</v>
      </c>
      <c r="W39" s="201">
        <v>0</v>
      </c>
      <c r="X39" s="201">
        <v>0</v>
      </c>
      <c r="Y39" s="201">
        <v>0</v>
      </c>
      <c r="Z39" s="201">
        <v>0</v>
      </c>
      <c r="AA39" s="201">
        <v>0</v>
      </c>
      <c r="AB39" s="201">
        <v>0</v>
      </c>
      <c r="AC39" s="201">
        <v>0</v>
      </c>
      <c r="AD39" s="201">
        <v>0</v>
      </c>
      <c r="AE39" s="201">
        <v>0</v>
      </c>
      <c r="AF39" s="201">
        <v>0</v>
      </c>
      <c r="AG39" s="201">
        <v>0</v>
      </c>
      <c r="AH39" s="201">
        <v>0</v>
      </c>
      <c r="AI39" s="201">
        <v>0</v>
      </c>
      <c r="AJ39" s="201">
        <v>0</v>
      </c>
      <c r="AK39" s="201">
        <v>0</v>
      </c>
      <c r="AL39" s="201">
        <v>0</v>
      </c>
      <c r="AM39" s="201">
        <v>0</v>
      </c>
      <c r="AN39" s="201">
        <v>0</v>
      </c>
      <c r="AO39" s="201">
        <v>0</v>
      </c>
      <c r="AP39" s="201">
        <v>0</v>
      </c>
      <c r="AQ39" s="201">
        <v>0</v>
      </c>
      <c r="AR39" s="201">
        <v>0</v>
      </c>
      <c r="AS39" s="201">
        <v>0</v>
      </c>
      <c r="AT39" s="201">
        <v>0</v>
      </c>
      <c r="AU39" s="201">
        <v>0</v>
      </c>
      <c r="AV39" s="201">
        <v>0</v>
      </c>
      <c r="AW39" s="201">
        <v>0</v>
      </c>
      <c r="AX39" s="201">
        <v>0</v>
      </c>
      <c r="AY39" s="201">
        <v>0</v>
      </c>
      <c r="AZ39" s="201">
        <v>0</v>
      </c>
      <c r="BA39" s="201">
        <v>0</v>
      </c>
      <c r="BB39" s="201">
        <v>0</v>
      </c>
      <c r="BC39" s="201">
        <v>0</v>
      </c>
      <c r="BD39" s="201">
        <v>0</v>
      </c>
    </row>
    <row r="40" spans="2:60" x14ac:dyDescent="0.55000000000000004">
      <c r="B40" s="214" t="s">
        <v>276</v>
      </c>
      <c r="C40" s="201">
        <v>7528.4550672600008</v>
      </c>
      <c r="D40" s="201">
        <v>6198.0438281299994</v>
      </c>
      <c r="E40" s="201">
        <v>17868.711153879995</v>
      </c>
      <c r="F40" s="201">
        <v>3243.6665454399995</v>
      </c>
      <c r="G40" s="201">
        <v>0</v>
      </c>
      <c r="H40" s="201">
        <v>2810.1849156800004</v>
      </c>
      <c r="I40" s="201">
        <v>623.76230738999982</v>
      </c>
      <c r="J40" s="201">
        <v>4420.27625274</v>
      </c>
      <c r="K40" s="201">
        <v>2094.911335719999</v>
      </c>
      <c r="L40" s="201">
        <v>2659.9916641900004</v>
      </c>
      <c r="M40" s="201">
        <v>11219.727072980008</v>
      </c>
      <c r="N40" s="201">
        <v>8418.0870474800013</v>
      </c>
      <c r="O40" s="201">
        <v>9979.2910200999995</v>
      </c>
      <c r="P40" s="201">
        <v>0</v>
      </c>
      <c r="Q40" s="201">
        <v>12898.511336200003</v>
      </c>
      <c r="R40" s="201">
        <v>6856.6369007799949</v>
      </c>
      <c r="S40" s="201">
        <v>9816.9286807099961</v>
      </c>
      <c r="T40" s="201">
        <v>2557.5328224300001</v>
      </c>
      <c r="U40" s="201">
        <v>5915.6107658800001</v>
      </c>
      <c r="V40" s="201">
        <v>0</v>
      </c>
      <c r="W40" s="201">
        <v>2362.7212090799994</v>
      </c>
      <c r="X40" s="201">
        <v>0</v>
      </c>
      <c r="Y40" s="201">
        <v>0</v>
      </c>
      <c r="Z40" s="201">
        <v>1580.9951362700001</v>
      </c>
      <c r="AA40" s="201">
        <v>434.12058494999997</v>
      </c>
      <c r="AB40" s="201">
        <v>235.3</v>
      </c>
      <c r="AC40" s="201">
        <v>3827.4926406499994</v>
      </c>
      <c r="AD40" s="201">
        <v>2778.3144732099995</v>
      </c>
      <c r="AE40" s="201">
        <v>1937.5090615900015</v>
      </c>
      <c r="AF40" s="201">
        <v>0</v>
      </c>
      <c r="AG40" s="201">
        <v>1741.7978712825002</v>
      </c>
      <c r="AH40" s="201">
        <v>2477.5174305799992</v>
      </c>
      <c r="AI40" s="201">
        <v>1880.168506030001</v>
      </c>
      <c r="AJ40" s="201">
        <v>72.361357780000006</v>
      </c>
      <c r="AK40" s="201">
        <v>0</v>
      </c>
      <c r="AL40" s="201">
        <v>174.35796903000005</v>
      </c>
      <c r="AM40" s="201">
        <v>0</v>
      </c>
      <c r="AN40" s="201">
        <v>0</v>
      </c>
      <c r="AO40" s="201">
        <v>26.189848300000005</v>
      </c>
      <c r="AP40" s="201">
        <v>389.50258684999989</v>
      </c>
      <c r="AQ40" s="201">
        <v>216.4462</v>
      </c>
      <c r="AR40" s="201">
        <v>468.87609000000003</v>
      </c>
      <c r="AS40" s="201">
        <v>291.233</v>
      </c>
      <c r="AT40" s="201">
        <v>167.05393000000001</v>
      </c>
      <c r="AU40" s="201">
        <v>0</v>
      </c>
      <c r="AV40" s="201">
        <v>53.966349999999998</v>
      </c>
      <c r="AW40" s="201">
        <v>174.32765000000001</v>
      </c>
      <c r="AX40" s="201">
        <v>0</v>
      </c>
      <c r="AY40" s="201">
        <v>107.87496562</v>
      </c>
      <c r="AZ40" s="201">
        <v>0</v>
      </c>
      <c r="BA40" s="201">
        <v>0</v>
      </c>
      <c r="BB40" s="201">
        <v>526.74787920999972</v>
      </c>
      <c r="BC40" s="201">
        <v>804.38189448000014</v>
      </c>
      <c r="BD40" s="201">
        <v>0</v>
      </c>
    </row>
    <row r="41" spans="2:60" x14ac:dyDescent="0.55000000000000004">
      <c r="B41" s="214" t="s">
        <v>277</v>
      </c>
      <c r="C41" s="201">
        <v>840.07535193000012</v>
      </c>
      <c r="D41" s="201">
        <v>1468.9656143500004</v>
      </c>
      <c r="E41" s="201">
        <v>1328.0102092499917</v>
      </c>
      <c r="F41" s="201">
        <v>2090.731361059999</v>
      </c>
      <c r="G41" s="201">
        <v>6106.6333019899994</v>
      </c>
      <c r="H41" s="201">
        <v>1379.966891510001</v>
      </c>
      <c r="I41" s="201">
        <v>1108.1477677100004</v>
      </c>
      <c r="J41" s="201">
        <v>1822.9918122600002</v>
      </c>
      <c r="K41" s="201">
        <v>1340.829897979999</v>
      </c>
      <c r="L41" s="201">
        <v>415.67767439000028</v>
      </c>
      <c r="M41" s="201">
        <v>1259.09232288</v>
      </c>
      <c r="N41" s="201">
        <v>1607.4790065099996</v>
      </c>
      <c r="O41" s="201">
        <v>1911.7862464700002</v>
      </c>
      <c r="P41" s="201">
        <v>710.65000000000009</v>
      </c>
      <c r="Q41" s="201">
        <v>2361.2885546600019</v>
      </c>
      <c r="R41" s="201">
        <v>1138.0443779399995</v>
      </c>
      <c r="S41" s="201">
        <v>1484.8298935299993</v>
      </c>
      <c r="T41" s="201">
        <v>679.7003927500009</v>
      </c>
      <c r="U41" s="201">
        <v>742.50881036999999</v>
      </c>
      <c r="V41" s="201">
        <v>1363.1706071200001</v>
      </c>
      <c r="W41" s="201">
        <v>670.72570851999967</v>
      </c>
      <c r="X41" s="201">
        <v>23.983000000000001</v>
      </c>
      <c r="Y41" s="201">
        <v>22.33</v>
      </c>
      <c r="Z41" s="201">
        <v>324.32107994</v>
      </c>
      <c r="AA41" s="201">
        <v>95.786453169999987</v>
      </c>
      <c r="AB41" s="201">
        <v>28.744591889999999</v>
      </c>
      <c r="AC41" s="201">
        <v>602.91285292999999</v>
      </c>
      <c r="AD41" s="201">
        <v>521.85689596000009</v>
      </c>
      <c r="AE41" s="201">
        <v>416.18571922000001</v>
      </c>
      <c r="AF41" s="201">
        <v>90.899750429999969</v>
      </c>
      <c r="AG41" s="201">
        <v>536.69458068999973</v>
      </c>
      <c r="AH41" s="201">
        <v>333.52871643999964</v>
      </c>
      <c r="AI41" s="201">
        <v>640.0963468399998</v>
      </c>
      <c r="AJ41" s="201">
        <v>25.469208630000001</v>
      </c>
      <c r="AK41" s="201">
        <v>8.4715308599999997</v>
      </c>
      <c r="AL41" s="201">
        <v>39.98058803</v>
      </c>
      <c r="AM41" s="201">
        <v>48.286985699999995</v>
      </c>
      <c r="AN41" s="201">
        <v>71.801127100000016</v>
      </c>
      <c r="AO41" s="201">
        <v>4.7311860000000004E-2</v>
      </c>
      <c r="AP41" s="201">
        <v>63.096662280000018</v>
      </c>
      <c r="AQ41" s="201">
        <v>129.36156</v>
      </c>
      <c r="AR41" s="201">
        <v>46.836300000000001</v>
      </c>
      <c r="AS41" s="201">
        <v>53.668999999999997</v>
      </c>
      <c r="AT41" s="201">
        <v>57.350320000000018</v>
      </c>
      <c r="AU41" s="201">
        <v>14.073093760000003</v>
      </c>
      <c r="AV41" s="201">
        <v>136.70236</v>
      </c>
      <c r="AW41" s="201">
        <v>60.604529999999997</v>
      </c>
      <c r="AX41" s="201">
        <v>32.535785370000021</v>
      </c>
      <c r="AY41" s="201">
        <v>50.140830300000012</v>
      </c>
      <c r="AZ41" s="201">
        <v>0</v>
      </c>
      <c r="BA41" s="201">
        <v>49.64800000000001</v>
      </c>
      <c r="BB41" s="201">
        <v>236.34127416000015</v>
      </c>
      <c r="BC41" s="201">
        <v>153.24053350999998</v>
      </c>
      <c r="BD41" s="201">
        <v>87.89255</v>
      </c>
    </row>
    <row r="42" spans="2:60" x14ac:dyDescent="0.55000000000000004">
      <c r="B42" s="214" t="s">
        <v>278</v>
      </c>
      <c r="C42" s="201">
        <v>839.43919100000016</v>
      </c>
      <c r="D42" s="201">
        <v>1468.9656143500004</v>
      </c>
      <c r="E42" s="201">
        <v>1328.0102092499917</v>
      </c>
      <c r="F42" s="201">
        <v>1848.9323502799989</v>
      </c>
      <c r="G42" s="201">
        <v>102.35830198999993</v>
      </c>
      <c r="H42" s="201">
        <v>1379.966891510001</v>
      </c>
      <c r="I42" s="201">
        <v>1108.1477677100004</v>
      </c>
      <c r="J42" s="201">
        <v>1822.9918122600002</v>
      </c>
      <c r="K42" s="201">
        <v>1340.829897979999</v>
      </c>
      <c r="L42" s="201">
        <v>415.67767439000028</v>
      </c>
      <c r="M42" s="201">
        <v>1259.09232288</v>
      </c>
      <c r="N42" s="201">
        <v>1607.4790065099996</v>
      </c>
      <c r="O42" s="201">
        <v>1911.7862464700002</v>
      </c>
      <c r="P42" s="201">
        <v>710.65000000000009</v>
      </c>
      <c r="Q42" s="201">
        <v>2361.2885546600019</v>
      </c>
      <c r="R42" s="201">
        <v>1124.8479402699995</v>
      </c>
      <c r="S42" s="201">
        <v>1484.8298935299993</v>
      </c>
      <c r="T42" s="201">
        <v>679.7003927500009</v>
      </c>
      <c r="U42" s="201">
        <v>742.50881036999999</v>
      </c>
      <c r="V42" s="201">
        <v>1363.1706071200001</v>
      </c>
      <c r="W42" s="201">
        <v>670.72570851999967</v>
      </c>
      <c r="X42" s="201">
        <v>23.983000000000001</v>
      </c>
      <c r="Y42" s="201">
        <v>22.33</v>
      </c>
      <c r="Z42" s="201">
        <v>324.32107994</v>
      </c>
      <c r="AA42" s="201">
        <v>95.786453169999987</v>
      </c>
      <c r="AB42" s="201">
        <v>28.744591889999999</v>
      </c>
      <c r="AC42" s="201">
        <v>602.91285292999999</v>
      </c>
      <c r="AD42" s="201">
        <v>521.85689596000009</v>
      </c>
      <c r="AE42" s="201">
        <v>416.18571922000001</v>
      </c>
      <c r="AF42" s="201">
        <v>90.899750429999969</v>
      </c>
      <c r="AG42" s="201">
        <v>536.69458068999973</v>
      </c>
      <c r="AH42" s="201">
        <v>333.52871643999964</v>
      </c>
      <c r="AI42" s="201">
        <v>640.0963468399998</v>
      </c>
      <c r="AJ42" s="201">
        <v>25.469208630000001</v>
      </c>
      <c r="AK42" s="201">
        <v>8.4715308599999997</v>
      </c>
      <c r="AL42" s="201">
        <v>39.98058803</v>
      </c>
      <c r="AM42" s="201">
        <v>48.286985699999995</v>
      </c>
      <c r="AN42" s="201">
        <v>71.801127100000016</v>
      </c>
      <c r="AO42" s="201">
        <v>4.7311860000000004E-2</v>
      </c>
      <c r="AP42" s="201">
        <v>63.096662280000018</v>
      </c>
      <c r="AQ42" s="201">
        <v>129.33205999999998</v>
      </c>
      <c r="AR42" s="201">
        <v>46.836300000000001</v>
      </c>
      <c r="AS42" s="201">
        <v>53.668999999999997</v>
      </c>
      <c r="AT42" s="201">
        <v>57.350320000000018</v>
      </c>
      <c r="AU42" s="201">
        <v>14.073093760000003</v>
      </c>
      <c r="AV42" s="201">
        <v>136.70236</v>
      </c>
      <c r="AW42" s="201">
        <v>60.604529999999997</v>
      </c>
      <c r="AX42" s="201">
        <v>32.535785370000021</v>
      </c>
      <c r="AY42" s="201">
        <v>50.140830300000012</v>
      </c>
      <c r="AZ42" s="201">
        <v>0</v>
      </c>
      <c r="BA42" s="201">
        <v>49.64800000000001</v>
      </c>
      <c r="BB42" s="201">
        <v>236.34127416000015</v>
      </c>
      <c r="BC42" s="201">
        <v>153.24053350999998</v>
      </c>
      <c r="BD42" s="201">
        <v>87.89255</v>
      </c>
    </row>
    <row r="43" spans="2:60" x14ac:dyDescent="0.55000000000000004">
      <c r="B43" s="214" t="s">
        <v>399</v>
      </c>
      <c r="C43" s="201">
        <v>0.63616093000000018</v>
      </c>
      <c r="D43" s="201">
        <v>0</v>
      </c>
      <c r="E43" s="201">
        <v>0</v>
      </c>
      <c r="F43" s="201">
        <v>241.79901077999997</v>
      </c>
      <c r="G43" s="201">
        <v>6004.2749999999996</v>
      </c>
      <c r="H43" s="201">
        <v>0</v>
      </c>
      <c r="I43" s="201">
        <v>0</v>
      </c>
      <c r="J43" s="201">
        <v>0</v>
      </c>
      <c r="K43" s="201">
        <v>0</v>
      </c>
      <c r="L43" s="201">
        <v>0</v>
      </c>
      <c r="M43" s="201">
        <v>0</v>
      </c>
      <c r="N43" s="201">
        <v>0</v>
      </c>
      <c r="O43" s="201">
        <v>0</v>
      </c>
      <c r="P43" s="201">
        <v>0</v>
      </c>
      <c r="Q43" s="201">
        <v>0</v>
      </c>
      <c r="R43" s="201">
        <v>13.196437669999998</v>
      </c>
      <c r="S43" s="201">
        <v>0</v>
      </c>
      <c r="T43" s="201">
        <v>0</v>
      </c>
      <c r="U43" s="201">
        <v>0</v>
      </c>
      <c r="V43" s="201">
        <v>0</v>
      </c>
      <c r="W43" s="201">
        <v>0</v>
      </c>
      <c r="X43" s="201">
        <v>0</v>
      </c>
      <c r="Y43" s="201">
        <v>0</v>
      </c>
      <c r="Z43" s="201">
        <v>0</v>
      </c>
      <c r="AA43" s="201">
        <v>0</v>
      </c>
      <c r="AB43" s="201">
        <v>0</v>
      </c>
      <c r="AC43" s="201">
        <v>0</v>
      </c>
      <c r="AD43" s="201">
        <v>0</v>
      </c>
      <c r="AE43" s="201">
        <v>0</v>
      </c>
      <c r="AF43" s="201">
        <v>0</v>
      </c>
      <c r="AG43" s="201">
        <v>0</v>
      </c>
      <c r="AH43" s="201">
        <v>0</v>
      </c>
      <c r="AI43" s="201">
        <v>0</v>
      </c>
      <c r="AJ43" s="201">
        <v>0</v>
      </c>
      <c r="AK43" s="201">
        <v>0</v>
      </c>
      <c r="AL43" s="201">
        <v>0</v>
      </c>
      <c r="AM43" s="201">
        <v>0</v>
      </c>
      <c r="AN43" s="201">
        <v>0</v>
      </c>
      <c r="AO43" s="201">
        <v>0</v>
      </c>
      <c r="AP43" s="201">
        <v>0</v>
      </c>
      <c r="AQ43" s="201">
        <v>2.9499999999999998E-2</v>
      </c>
      <c r="AR43" s="201">
        <v>0</v>
      </c>
      <c r="AS43" s="201">
        <v>0</v>
      </c>
      <c r="AT43" s="201">
        <v>0</v>
      </c>
      <c r="AU43" s="201">
        <v>0</v>
      </c>
      <c r="AV43" s="201">
        <v>0</v>
      </c>
      <c r="AW43" s="201">
        <v>0</v>
      </c>
      <c r="AX43" s="201">
        <v>0</v>
      </c>
      <c r="AY43" s="201">
        <v>0</v>
      </c>
      <c r="AZ43" s="201">
        <v>0</v>
      </c>
      <c r="BA43" s="201">
        <v>0</v>
      </c>
      <c r="BB43" s="201">
        <v>0</v>
      </c>
      <c r="BC43" s="201">
        <v>0</v>
      </c>
      <c r="BD43" s="201">
        <v>0</v>
      </c>
    </row>
    <row r="44" spans="2:60" x14ac:dyDescent="0.55000000000000004">
      <c r="B44" s="214" t="s">
        <v>280</v>
      </c>
      <c r="C44" s="201">
        <v>179035.47497211999</v>
      </c>
      <c r="D44" s="201">
        <v>243623.31719086494</v>
      </c>
      <c r="E44" s="201">
        <v>382968.06522073998</v>
      </c>
      <c r="F44" s="201">
        <v>313593.42763625947</v>
      </c>
      <c r="G44" s="201">
        <v>68516.819583624107</v>
      </c>
      <c r="H44" s="201">
        <v>236668.08133079769</v>
      </c>
      <c r="I44" s="201">
        <v>117572.09063715025</v>
      </c>
      <c r="J44" s="201">
        <v>201227.81480339001</v>
      </c>
      <c r="K44" s="201">
        <v>217300.58587281156</v>
      </c>
      <c r="L44" s="201">
        <v>126469.53058561038</v>
      </c>
      <c r="M44" s="201">
        <v>263634.41354297992</v>
      </c>
      <c r="N44" s="201">
        <v>263071.40071407234</v>
      </c>
      <c r="O44" s="201">
        <v>198795.06505183689</v>
      </c>
      <c r="P44" s="201">
        <v>212801.78000000009</v>
      </c>
      <c r="Q44" s="201">
        <v>396046.65091288672</v>
      </c>
      <c r="R44" s="201">
        <v>150579.88650282036</v>
      </c>
      <c r="S44" s="201">
        <v>190245.40262571003</v>
      </c>
      <c r="T44" s="201">
        <v>233160.77706430978</v>
      </c>
      <c r="U44" s="201">
        <v>219747.23902282008</v>
      </c>
      <c r="V44" s="201">
        <v>174136.08741043083</v>
      </c>
      <c r="W44" s="201">
        <v>37399.038281110326</v>
      </c>
      <c r="X44" s="201">
        <v>235.477</v>
      </c>
      <c r="Y44" s="201">
        <v>2525.1019999999999</v>
      </c>
      <c r="Z44" s="201">
        <v>39952.025634472688</v>
      </c>
      <c r="AA44" s="201">
        <v>11594.928753723092</v>
      </c>
      <c r="AB44" s="201">
        <v>5051.5753576800016</v>
      </c>
      <c r="AC44" s="201">
        <v>86369.610885957794</v>
      </c>
      <c r="AD44" s="201">
        <v>65332.475606569911</v>
      </c>
      <c r="AE44" s="201">
        <v>48331.749540680386</v>
      </c>
      <c r="AF44" s="201">
        <v>1214.0910962499995</v>
      </c>
      <c r="AG44" s="201">
        <v>43432.101996029123</v>
      </c>
      <c r="AH44" s="201">
        <v>55931.886558529404</v>
      </c>
      <c r="AI44" s="201">
        <v>45650.070925898886</v>
      </c>
      <c r="AJ44" s="201">
        <v>2133.4818328399997</v>
      </c>
      <c r="AK44" s="201">
        <v>837.7392222200001</v>
      </c>
      <c r="AL44" s="201">
        <v>4819.1490975052911</v>
      </c>
      <c r="AM44" s="201">
        <v>4234.4187499020063</v>
      </c>
      <c r="AN44" s="201">
        <v>2223.6962400700004</v>
      </c>
      <c r="AO44" s="201">
        <v>453.90802755999999</v>
      </c>
      <c r="AP44" s="201">
        <v>5755.4010058299991</v>
      </c>
      <c r="AQ44" s="201">
        <v>7431.9895400000014</v>
      </c>
      <c r="AR44" s="201">
        <v>5804.4541799999997</v>
      </c>
      <c r="AS44" s="201">
        <v>3838.8710000000001</v>
      </c>
      <c r="AT44" s="201">
        <v>4559.1985000000004</v>
      </c>
      <c r="AU44" s="201">
        <v>107.60043684000001</v>
      </c>
      <c r="AV44" s="201">
        <v>5581.8678099999988</v>
      </c>
      <c r="AW44" s="201">
        <v>4610.0696675399995</v>
      </c>
      <c r="AX44" s="201">
        <v>1918.1320971800001</v>
      </c>
      <c r="AY44" s="201">
        <v>1749.4366026299999</v>
      </c>
      <c r="AZ44" s="201">
        <v>663.53000780000002</v>
      </c>
      <c r="BA44" s="201">
        <v>4921.4964799999998</v>
      </c>
      <c r="BB44" s="201">
        <v>16116.17210480002</v>
      </c>
      <c r="BC44" s="201">
        <v>16784.180865849656</v>
      </c>
      <c r="BD44" s="201">
        <v>6730.9227599999995</v>
      </c>
    </row>
    <row r="45" spans="2:60" x14ac:dyDescent="0.55000000000000004">
      <c r="B45" s="215" t="s">
        <v>281</v>
      </c>
      <c r="C45" s="201">
        <v>120024.85387469998</v>
      </c>
      <c r="D45" s="201">
        <v>241737.01755181493</v>
      </c>
      <c r="E45" s="201">
        <v>271719.79322977999</v>
      </c>
      <c r="F45" s="201">
        <v>297909.543304967</v>
      </c>
      <c r="G45" s="201">
        <v>57171.054079775109</v>
      </c>
      <c r="H45" s="201">
        <v>229463.15286176768</v>
      </c>
      <c r="I45" s="201">
        <v>58545.826362170214</v>
      </c>
      <c r="J45" s="201">
        <v>110530.69282995</v>
      </c>
      <c r="K45" s="201">
        <v>214815.23443265154</v>
      </c>
      <c r="L45" s="201">
        <v>85949.76516041033</v>
      </c>
      <c r="M45" s="201">
        <v>252663.60228790992</v>
      </c>
      <c r="N45" s="201">
        <v>218908.57628209211</v>
      </c>
      <c r="O45" s="201">
        <v>117352.53657858391</v>
      </c>
      <c r="P45" s="201">
        <v>212801.78000000009</v>
      </c>
      <c r="Q45" s="201">
        <v>242878.61632440591</v>
      </c>
      <c r="R45" s="201">
        <v>99254.570524330265</v>
      </c>
      <c r="S45" s="201">
        <v>186877.49517468634</v>
      </c>
      <c r="T45" s="201">
        <v>217584.93218473977</v>
      </c>
      <c r="U45" s="201">
        <v>175631.67254011019</v>
      </c>
      <c r="V45" s="201">
        <v>150580.94426683983</v>
      </c>
      <c r="W45" s="201">
        <v>37351.729881530322</v>
      </c>
      <c r="X45" s="201">
        <v>235.477</v>
      </c>
      <c r="Y45" s="201">
        <v>2525.1019999999999</v>
      </c>
      <c r="Z45" s="201">
        <v>39952.025634472688</v>
      </c>
      <c r="AA45" s="201">
        <v>11594.928753723092</v>
      </c>
      <c r="AB45" s="201">
        <v>5051.5753576800016</v>
      </c>
      <c r="AC45" s="201">
        <v>86369.610885957794</v>
      </c>
      <c r="AD45" s="201">
        <v>65290.48135691991</v>
      </c>
      <c r="AE45" s="201">
        <v>48331.749540680386</v>
      </c>
      <c r="AF45" s="201">
        <v>1214.0910962499995</v>
      </c>
      <c r="AG45" s="201">
        <v>43410.010508779123</v>
      </c>
      <c r="AH45" s="201">
        <v>55931.886558529404</v>
      </c>
      <c r="AI45" s="201">
        <v>45650.070925898886</v>
      </c>
      <c r="AJ45" s="201">
        <v>2133.4818328399997</v>
      </c>
      <c r="AK45" s="201">
        <v>837.7392222200001</v>
      </c>
      <c r="AL45" s="201">
        <v>4819.1490975052911</v>
      </c>
      <c r="AM45" s="201">
        <v>4234.4187499020063</v>
      </c>
      <c r="AN45" s="201">
        <v>2222.7031329599999</v>
      </c>
      <c r="AO45" s="201">
        <v>360.47919755000004</v>
      </c>
      <c r="AP45" s="201">
        <v>5755.4010058299991</v>
      </c>
      <c r="AQ45" s="201">
        <v>7431.9895400000014</v>
      </c>
      <c r="AR45" s="201">
        <v>5804.4541799999997</v>
      </c>
      <c r="AS45" s="201">
        <v>3838.8710000000001</v>
      </c>
      <c r="AT45" s="201">
        <v>4545.6554599999999</v>
      </c>
      <c r="AU45" s="201">
        <v>107.60043684000001</v>
      </c>
      <c r="AV45" s="201">
        <v>5581.8678099999988</v>
      </c>
      <c r="AW45" s="201">
        <v>4610.0696675399995</v>
      </c>
      <c r="AX45" s="201">
        <v>1918.1320971800001</v>
      </c>
      <c r="AY45" s="201">
        <v>1749.4366026299999</v>
      </c>
      <c r="AZ45" s="201">
        <v>663.53000780000002</v>
      </c>
      <c r="BA45" s="201">
        <v>4921.4964799999998</v>
      </c>
      <c r="BB45" s="201">
        <v>16116.17210480002</v>
      </c>
      <c r="BC45" s="201">
        <v>16784.180865849656</v>
      </c>
      <c r="BD45" s="201">
        <v>6730.9227599999995</v>
      </c>
    </row>
    <row r="46" spans="2:60" x14ac:dyDescent="0.55000000000000004">
      <c r="B46" s="215" t="s">
        <v>282</v>
      </c>
      <c r="C46" s="201">
        <v>59010.62109742</v>
      </c>
      <c r="D46" s="201">
        <v>1886.29963905</v>
      </c>
      <c r="E46" s="201">
        <v>111248.27199096</v>
      </c>
      <c r="F46" s="201">
        <v>15683.8843312925</v>
      </c>
      <c r="G46" s="201">
        <v>11345.765503849001</v>
      </c>
      <c r="H46" s="201">
        <v>7204.9284690300065</v>
      </c>
      <c r="I46" s="201">
        <v>59026.264274980029</v>
      </c>
      <c r="J46" s="201">
        <v>90697.121973440007</v>
      </c>
      <c r="K46" s="201">
        <v>2485.3514401599987</v>
      </c>
      <c r="L46" s="201">
        <v>40519.76542520005</v>
      </c>
      <c r="M46" s="201">
        <v>10970.811255070003</v>
      </c>
      <c r="N46" s="201">
        <v>44162.824431980225</v>
      </c>
      <c r="O46" s="201">
        <v>81442.528473252998</v>
      </c>
      <c r="P46" s="201">
        <v>0</v>
      </c>
      <c r="Q46" s="201">
        <v>153168.0345884808</v>
      </c>
      <c r="R46" s="201">
        <v>51325.315978490085</v>
      </c>
      <c r="S46" s="201">
        <v>3367.9074510236992</v>
      </c>
      <c r="T46" s="201">
        <v>15575.844879569997</v>
      </c>
      <c r="U46" s="201">
        <v>44115.566482709888</v>
      </c>
      <c r="V46" s="201">
        <v>23555.143143590991</v>
      </c>
      <c r="W46" s="201">
        <v>47.308399580000014</v>
      </c>
      <c r="X46" s="201">
        <v>0</v>
      </c>
      <c r="Y46" s="201">
        <v>0</v>
      </c>
      <c r="Z46" s="201">
        <v>0</v>
      </c>
      <c r="AA46" s="201">
        <v>0</v>
      </c>
      <c r="AB46" s="201">
        <v>0</v>
      </c>
      <c r="AC46" s="201">
        <v>0</v>
      </c>
      <c r="AD46" s="201">
        <v>41.994249650000008</v>
      </c>
      <c r="AE46" s="201">
        <v>0</v>
      </c>
      <c r="AF46" s="201">
        <v>0</v>
      </c>
      <c r="AG46" s="201">
        <v>22.091487249999997</v>
      </c>
      <c r="AH46" s="201">
        <v>0</v>
      </c>
      <c r="AI46" s="201">
        <v>0</v>
      </c>
      <c r="AJ46" s="201">
        <v>0</v>
      </c>
      <c r="AK46" s="201">
        <v>0</v>
      </c>
      <c r="AL46" s="201">
        <v>0</v>
      </c>
      <c r="AM46" s="201">
        <v>0</v>
      </c>
      <c r="AN46" s="201">
        <v>0.99310711000000007</v>
      </c>
      <c r="AO46" s="201">
        <v>93.428830009999984</v>
      </c>
      <c r="AP46" s="201">
        <v>0</v>
      </c>
      <c r="AQ46" s="201">
        <v>0</v>
      </c>
      <c r="AR46" s="201">
        <v>0</v>
      </c>
      <c r="AS46" s="201">
        <v>0</v>
      </c>
      <c r="AT46" s="201">
        <v>13.543039999999998</v>
      </c>
      <c r="AU46" s="201">
        <v>0</v>
      </c>
      <c r="AV46" s="201">
        <v>0</v>
      </c>
      <c r="AW46" s="201">
        <v>0</v>
      </c>
      <c r="AX46" s="201">
        <v>0</v>
      </c>
      <c r="AY46" s="201">
        <v>0</v>
      </c>
      <c r="AZ46" s="201">
        <v>0</v>
      </c>
      <c r="BA46" s="201">
        <v>0</v>
      </c>
      <c r="BB46" s="201">
        <v>0</v>
      </c>
      <c r="BC46" s="201">
        <v>0</v>
      </c>
      <c r="BD46" s="201">
        <v>0</v>
      </c>
    </row>
    <row r="47" spans="2:60" x14ac:dyDescent="0.55000000000000004">
      <c r="B47" s="214" t="s">
        <v>283</v>
      </c>
      <c r="C47" s="201">
        <v>14.988839290000001</v>
      </c>
      <c r="D47" s="201">
        <v>13.63093795</v>
      </c>
      <c r="E47" s="201">
        <v>9496.003274480001</v>
      </c>
      <c r="F47" s="201">
        <v>0</v>
      </c>
      <c r="G47" s="201">
        <v>0</v>
      </c>
      <c r="H47" s="201">
        <v>0</v>
      </c>
      <c r="I47" s="201">
        <v>6297.1737437569991</v>
      </c>
      <c r="J47" s="201">
        <v>9495.9428024499994</v>
      </c>
      <c r="K47" s="201">
        <v>0</v>
      </c>
      <c r="L47" s="201">
        <v>1916.9588714500003</v>
      </c>
      <c r="M47" s="201">
        <v>2347.0819135299998</v>
      </c>
      <c r="N47" s="201">
        <v>133.58553963000003</v>
      </c>
      <c r="O47" s="201">
        <v>4606.2521236669991</v>
      </c>
      <c r="P47" s="201">
        <v>0</v>
      </c>
      <c r="Q47" s="201">
        <v>15650.195755549978</v>
      </c>
      <c r="R47" s="201">
        <v>2697.6110257200016</v>
      </c>
      <c r="S47" s="201">
        <v>0</v>
      </c>
      <c r="T47" s="201">
        <v>204.97508519999997</v>
      </c>
      <c r="U47" s="201">
        <v>375.35350390000002</v>
      </c>
      <c r="V47" s="201">
        <v>767.39272520000009</v>
      </c>
      <c r="W47" s="201">
        <v>0</v>
      </c>
      <c r="X47" s="201">
        <v>0</v>
      </c>
      <c r="Y47" s="201">
        <v>0</v>
      </c>
      <c r="Z47" s="201">
        <v>0</v>
      </c>
      <c r="AA47" s="201">
        <v>0</v>
      </c>
      <c r="AB47" s="201">
        <v>0</v>
      </c>
      <c r="AC47" s="201">
        <v>0</v>
      </c>
      <c r="AD47" s="201">
        <v>0</v>
      </c>
      <c r="AE47" s="201">
        <v>0</v>
      </c>
      <c r="AF47" s="201">
        <v>0</v>
      </c>
      <c r="AG47" s="201">
        <v>0</v>
      </c>
      <c r="AH47" s="201">
        <v>0</v>
      </c>
      <c r="AI47" s="201">
        <v>0</v>
      </c>
      <c r="AJ47" s="201">
        <v>0</v>
      </c>
      <c r="AK47" s="201">
        <v>0</v>
      </c>
      <c r="AL47" s="201">
        <v>0</v>
      </c>
      <c r="AM47" s="201">
        <v>0</v>
      </c>
      <c r="AN47" s="201">
        <v>0</v>
      </c>
      <c r="AO47" s="201">
        <v>0</v>
      </c>
      <c r="AP47" s="201">
        <v>0</v>
      </c>
      <c r="AQ47" s="201">
        <v>0</v>
      </c>
      <c r="AR47" s="201">
        <v>0</v>
      </c>
      <c r="AS47" s="201">
        <v>0</v>
      </c>
      <c r="AT47" s="201">
        <v>0</v>
      </c>
      <c r="AU47" s="201">
        <v>0</v>
      </c>
      <c r="AV47" s="201">
        <v>0</v>
      </c>
      <c r="AW47" s="201">
        <v>0</v>
      </c>
      <c r="AX47" s="201">
        <v>0</v>
      </c>
      <c r="AY47" s="201">
        <v>0</v>
      </c>
      <c r="AZ47" s="201">
        <v>0</v>
      </c>
      <c r="BA47" s="201">
        <v>0</v>
      </c>
      <c r="BB47" s="201">
        <v>0</v>
      </c>
      <c r="BC47" s="201">
        <v>0</v>
      </c>
      <c r="BD47" s="201">
        <v>0</v>
      </c>
    </row>
    <row r="48" spans="2:60" x14ac:dyDescent="0.55000000000000004">
      <c r="B48" s="215" t="s">
        <v>284</v>
      </c>
      <c r="C48" s="201">
        <v>1.7119717700000008</v>
      </c>
      <c r="D48" s="201">
        <v>0</v>
      </c>
      <c r="E48" s="201">
        <v>2449.3329762799995</v>
      </c>
      <c r="F48" s="201">
        <v>0</v>
      </c>
      <c r="G48" s="201">
        <v>0</v>
      </c>
      <c r="H48" s="201">
        <v>0</v>
      </c>
      <c r="I48" s="201">
        <v>0</v>
      </c>
      <c r="J48" s="201">
        <v>0</v>
      </c>
      <c r="K48" s="201">
        <v>0</v>
      </c>
      <c r="L48" s="201">
        <v>1916.9588714500003</v>
      </c>
      <c r="M48" s="201">
        <v>0</v>
      </c>
      <c r="N48" s="201">
        <v>0</v>
      </c>
      <c r="O48" s="201">
        <v>79.234999999999999</v>
      </c>
      <c r="P48" s="201">
        <v>0</v>
      </c>
      <c r="Q48" s="201">
        <v>0</v>
      </c>
      <c r="R48" s="201">
        <v>26.027911569999997</v>
      </c>
      <c r="S48" s="201">
        <v>0</v>
      </c>
      <c r="T48" s="201">
        <v>202.57242099999996</v>
      </c>
      <c r="U48" s="201">
        <v>0.77024077999999996</v>
      </c>
      <c r="V48" s="201">
        <v>767.39272520000009</v>
      </c>
      <c r="W48" s="201">
        <v>0</v>
      </c>
      <c r="X48" s="201">
        <v>0</v>
      </c>
      <c r="Y48" s="201">
        <v>0</v>
      </c>
      <c r="Z48" s="201">
        <v>0</v>
      </c>
      <c r="AA48" s="201">
        <v>0</v>
      </c>
      <c r="AB48" s="201">
        <v>0</v>
      </c>
      <c r="AC48" s="201">
        <v>0</v>
      </c>
      <c r="AD48" s="201">
        <v>0</v>
      </c>
      <c r="AE48" s="201">
        <v>0</v>
      </c>
      <c r="AF48" s="201">
        <v>0</v>
      </c>
      <c r="AG48" s="201">
        <v>0</v>
      </c>
      <c r="AH48" s="201">
        <v>0</v>
      </c>
      <c r="AI48" s="201">
        <v>0</v>
      </c>
      <c r="AJ48" s="201">
        <v>0</v>
      </c>
      <c r="AK48" s="201">
        <v>0</v>
      </c>
      <c r="AL48" s="201">
        <v>0</v>
      </c>
      <c r="AM48" s="201">
        <v>0</v>
      </c>
      <c r="AN48" s="201">
        <v>0</v>
      </c>
      <c r="AO48" s="201">
        <v>0</v>
      </c>
      <c r="AP48" s="201">
        <v>0</v>
      </c>
      <c r="AQ48" s="201">
        <v>0</v>
      </c>
      <c r="AR48" s="201">
        <v>0</v>
      </c>
      <c r="AS48" s="201">
        <v>0</v>
      </c>
      <c r="AT48" s="201">
        <v>0</v>
      </c>
      <c r="AU48" s="201">
        <v>0</v>
      </c>
      <c r="AV48" s="201">
        <v>0</v>
      </c>
      <c r="AW48" s="201">
        <v>0</v>
      </c>
      <c r="AX48" s="201">
        <v>0</v>
      </c>
      <c r="AY48" s="201">
        <v>0</v>
      </c>
      <c r="AZ48" s="201">
        <v>0</v>
      </c>
      <c r="BA48" s="201">
        <v>0</v>
      </c>
      <c r="BB48" s="201">
        <v>0</v>
      </c>
      <c r="BC48" s="201">
        <v>0</v>
      </c>
      <c r="BD48" s="201">
        <v>0</v>
      </c>
    </row>
    <row r="49" spans="2:56" x14ac:dyDescent="0.55000000000000004">
      <c r="B49" s="215" t="s">
        <v>285</v>
      </c>
      <c r="C49" s="201">
        <v>13.27686752</v>
      </c>
      <c r="D49" s="201">
        <v>13.63093795</v>
      </c>
      <c r="E49" s="201">
        <v>7046.6702982000006</v>
      </c>
      <c r="F49" s="201">
        <v>0</v>
      </c>
      <c r="G49" s="201">
        <v>0</v>
      </c>
      <c r="H49" s="201">
        <v>0</v>
      </c>
      <c r="I49" s="201">
        <v>6297.1737437569991</v>
      </c>
      <c r="J49" s="201">
        <v>9495.9428024499994</v>
      </c>
      <c r="K49" s="201">
        <v>0</v>
      </c>
      <c r="L49" s="201">
        <v>0</v>
      </c>
      <c r="M49" s="201">
        <v>2347.0819135299998</v>
      </c>
      <c r="N49" s="201">
        <v>133.58553963000003</v>
      </c>
      <c r="O49" s="201">
        <v>4527.0171236669994</v>
      </c>
      <c r="P49" s="201">
        <v>0</v>
      </c>
      <c r="Q49" s="201">
        <v>15650.195755549978</v>
      </c>
      <c r="R49" s="201">
        <v>2671.5831141500016</v>
      </c>
      <c r="S49" s="201">
        <v>0</v>
      </c>
      <c r="T49" s="201">
        <v>2.4026641999999998</v>
      </c>
      <c r="U49" s="201">
        <v>374.58326312000003</v>
      </c>
      <c r="V49" s="201">
        <v>0</v>
      </c>
      <c r="W49" s="201">
        <v>0</v>
      </c>
      <c r="X49" s="201">
        <v>0</v>
      </c>
      <c r="Y49" s="201">
        <v>0</v>
      </c>
      <c r="Z49" s="201">
        <v>0</v>
      </c>
      <c r="AA49" s="201">
        <v>0</v>
      </c>
      <c r="AB49" s="201">
        <v>0</v>
      </c>
      <c r="AC49" s="201">
        <v>0</v>
      </c>
      <c r="AD49" s="201">
        <v>0</v>
      </c>
      <c r="AE49" s="201">
        <v>0</v>
      </c>
      <c r="AF49" s="201">
        <v>0</v>
      </c>
      <c r="AG49" s="201">
        <v>0</v>
      </c>
      <c r="AH49" s="201">
        <v>0</v>
      </c>
      <c r="AI49" s="201">
        <v>0</v>
      </c>
      <c r="AJ49" s="201">
        <v>0</v>
      </c>
      <c r="AK49" s="201">
        <v>0</v>
      </c>
      <c r="AL49" s="201">
        <v>0</v>
      </c>
      <c r="AM49" s="201">
        <v>0</v>
      </c>
      <c r="AN49" s="201">
        <v>0</v>
      </c>
      <c r="AO49" s="201">
        <v>0</v>
      </c>
      <c r="AP49" s="201">
        <v>0</v>
      </c>
      <c r="AQ49" s="201">
        <v>0</v>
      </c>
      <c r="AR49" s="201">
        <v>0</v>
      </c>
      <c r="AS49" s="201">
        <v>0</v>
      </c>
      <c r="AT49" s="201">
        <v>0</v>
      </c>
      <c r="AU49" s="201">
        <v>0</v>
      </c>
      <c r="AV49" s="201">
        <v>0</v>
      </c>
      <c r="AW49" s="201">
        <v>0</v>
      </c>
      <c r="AX49" s="201">
        <v>0</v>
      </c>
      <c r="AY49" s="201">
        <v>0</v>
      </c>
      <c r="AZ49" s="201">
        <v>0</v>
      </c>
      <c r="BA49" s="201">
        <v>0</v>
      </c>
      <c r="BB49" s="201">
        <v>0</v>
      </c>
      <c r="BC49" s="201">
        <v>0</v>
      </c>
      <c r="BD49" s="201">
        <v>0</v>
      </c>
    </row>
    <row r="50" spans="2:56" x14ac:dyDescent="0.55000000000000004">
      <c r="B50" s="214" t="s">
        <v>286</v>
      </c>
      <c r="C50" s="201">
        <v>8133.0376286699993</v>
      </c>
      <c r="D50" s="201">
        <v>26815.20730269299</v>
      </c>
      <c r="E50" s="201">
        <v>10819.199967380002</v>
      </c>
      <c r="F50" s="201">
        <v>4822.8174209999997</v>
      </c>
      <c r="G50" s="201">
        <v>2876.5070330000003</v>
      </c>
      <c r="H50" s="201">
        <v>9594.8863190200027</v>
      </c>
      <c r="I50" s="201">
        <v>6782.3730939999996</v>
      </c>
      <c r="J50" s="201">
        <v>10181.736030630002</v>
      </c>
      <c r="K50" s="201">
        <v>9022.5958434299991</v>
      </c>
      <c r="L50" s="201">
        <v>6115.9183501299995</v>
      </c>
      <c r="M50" s="201">
        <v>10944.201225260002</v>
      </c>
      <c r="N50" s="201">
        <v>9618.8195489599966</v>
      </c>
      <c r="O50" s="201">
        <v>8419.8037671000002</v>
      </c>
      <c r="P50" s="201">
        <v>0</v>
      </c>
      <c r="Q50" s="201">
        <v>483.4372805000001</v>
      </c>
      <c r="R50" s="201">
        <v>836.03980646999719</v>
      </c>
      <c r="S50" s="201">
        <v>12610.316613750008</v>
      </c>
      <c r="T50" s="201">
        <v>723.35508394000101</v>
      </c>
      <c r="U50" s="201">
        <v>8555.245993939996</v>
      </c>
      <c r="V50" s="201">
        <v>18.375948439999998</v>
      </c>
      <c r="W50" s="201">
        <v>3483.6891416100002</v>
      </c>
      <c r="X50" s="201">
        <v>11.462999999999999</v>
      </c>
      <c r="Y50" s="201">
        <v>0</v>
      </c>
      <c r="Z50" s="201">
        <v>3077.9981175942007</v>
      </c>
      <c r="AA50" s="201">
        <v>246.57647839999998</v>
      </c>
      <c r="AB50" s="201">
        <v>643.93173657999989</v>
      </c>
      <c r="AC50" s="201">
        <v>5289.8250734099938</v>
      </c>
      <c r="AD50" s="201">
        <v>5777.340841459999</v>
      </c>
      <c r="AE50" s="201">
        <v>2683.1373849302672</v>
      </c>
      <c r="AF50" s="201">
        <v>0</v>
      </c>
      <c r="AG50" s="201">
        <v>5143.2237789780002</v>
      </c>
      <c r="AH50" s="201">
        <v>1174.6352527700001</v>
      </c>
      <c r="AI50" s="201">
        <v>686.75372444999982</v>
      </c>
      <c r="AJ50" s="201">
        <v>34.222624249999996</v>
      </c>
      <c r="AK50" s="201">
        <v>0</v>
      </c>
      <c r="AL50" s="201">
        <v>523.61320187000001</v>
      </c>
      <c r="AM50" s="201">
        <v>253.15609811000004</v>
      </c>
      <c r="AN50" s="201">
        <v>110.32164346</v>
      </c>
      <c r="AO50" s="201">
        <v>33.183290190000001</v>
      </c>
      <c r="AP50" s="201">
        <v>155.08819871000003</v>
      </c>
      <c r="AQ50" s="201">
        <v>406.03277000000003</v>
      </c>
      <c r="AR50" s="201">
        <v>80.66</v>
      </c>
      <c r="AS50" s="201">
        <v>132.43100000000001</v>
      </c>
      <c r="AT50" s="201">
        <v>238.22212000000002</v>
      </c>
      <c r="AU50" s="201">
        <v>0</v>
      </c>
      <c r="AV50" s="201">
        <v>90.197839999999985</v>
      </c>
      <c r="AW50" s="201">
        <v>87.053323999999989</v>
      </c>
      <c r="AX50" s="201">
        <v>0</v>
      </c>
      <c r="AY50" s="201">
        <v>206.39338696000004</v>
      </c>
      <c r="AZ50" s="201">
        <v>0</v>
      </c>
      <c r="BA50" s="201">
        <v>66.673190000000005</v>
      </c>
      <c r="BB50" s="201">
        <v>282.08312423997825</v>
      </c>
      <c r="BC50" s="201">
        <v>968.31426494007394</v>
      </c>
      <c r="BD50" s="201">
        <v>160.26097000000001</v>
      </c>
    </row>
    <row r="51" spans="2:56" x14ac:dyDescent="0.55000000000000004">
      <c r="B51" s="214" t="s">
        <v>287</v>
      </c>
      <c r="C51" s="201">
        <v>275.14835971000002</v>
      </c>
      <c r="D51" s="201">
        <v>216.6</v>
      </c>
      <c r="E51" s="201">
        <v>379.52</v>
      </c>
      <c r="F51" s="201">
        <v>383.42957408999996</v>
      </c>
      <c r="G51" s="201">
        <v>138.80703299999999</v>
      </c>
      <c r="H51" s="201">
        <v>0</v>
      </c>
      <c r="I51" s="201">
        <v>156.05603343000001</v>
      </c>
      <c r="J51" s="201">
        <v>198.73647561000001</v>
      </c>
      <c r="K51" s="201">
        <v>0.17577467000000002</v>
      </c>
      <c r="L51" s="201">
        <v>0</v>
      </c>
      <c r="M51" s="201">
        <v>238.33730925</v>
      </c>
      <c r="N51" s="201">
        <v>231.19854094999999</v>
      </c>
      <c r="O51" s="201">
        <v>149.92831244000001</v>
      </c>
      <c r="P51" s="201">
        <v>0</v>
      </c>
      <c r="Q51" s="201">
        <v>324.51771300000001</v>
      </c>
      <c r="R51" s="201">
        <v>7.1630944000000003</v>
      </c>
      <c r="S51" s="201">
        <v>153.71655529</v>
      </c>
      <c r="T51" s="201">
        <v>87.066674169999999</v>
      </c>
      <c r="U51" s="201">
        <v>124.55123657999999</v>
      </c>
      <c r="V51" s="201">
        <v>0</v>
      </c>
      <c r="W51" s="201">
        <v>0</v>
      </c>
      <c r="X51" s="201">
        <v>0</v>
      </c>
      <c r="Y51" s="201">
        <v>0</v>
      </c>
      <c r="Z51" s="201">
        <v>0</v>
      </c>
      <c r="AA51" s="201">
        <v>0</v>
      </c>
      <c r="AB51" s="201">
        <v>0</v>
      </c>
      <c r="AC51" s="201">
        <v>0</v>
      </c>
      <c r="AD51" s="201">
        <v>0</v>
      </c>
      <c r="AE51" s="201">
        <v>0.35388797999999999</v>
      </c>
      <c r="AF51" s="201">
        <v>0</v>
      </c>
      <c r="AG51" s="201">
        <v>3.1297810499999996</v>
      </c>
      <c r="AH51" s="201">
        <v>0</v>
      </c>
      <c r="AI51" s="201">
        <v>17.193388899999999</v>
      </c>
      <c r="AJ51" s="201">
        <v>0</v>
      </c>
      <c r="AK51" s="201">
        <v>0</v>
      </c>
      <c r="AL51" s="201">
        <v>0</v>
      </c>
      <c r="AM51" s="201">
        <v>0</v>
      </c>
      <c r="AN51" s="201">
        <v>0</v>
      </c>
      <c r="AO51" s="201">
        <v>33.183290190000001</v>
      </c>
      <c r="AP51" s="201">
        <v>0</v>
      </c>
      <c r="AQ51" s="201">
        <v>0</v>
      </c>
      <c r="AR51" s="201">
        <v>0</v>
      </c>
      <c r="AS51" s="201">
        <v>4.0149999999999997</v>
      </c>
      <c r="AT51" s="201">
        <v>0</v>
      </c>
      <c r="AU51" s="201">
        <v>0</v>
      </c>
      <c r="AV51" s="201">
        <v>0</v>
      </c>
      <c r="AW51" s="201">
        <v>0</v>
      </c>
      <c r="AX51" s="201">
        <v>0</v>
      </c>
      <c r="AY51" s="201">
        <v>2.6272822000000002</v>
      </c>
      <c r="AZ51" s="201">
        <v>0</v>
      </c>
      <c r="BA51" s="201">
        <v>0</v>
      </c>
      <c r="BB51" s="201">
        <v>0</v>
      </c>
      <c r="BC51" s="201">
        <v>0</v>
      </c>
      <c r="BD51" s="201">
        <v>0</v>
      </c>
    </row>
    <row r="52" spans="2:56" x14ac:dyDescent="0.55000000000000004">
      <c r="B52" s="216" t="s">
        <v>288</v>
      </c>
      <c r="C52" s="201">
        <v>6171.4982545900002</v>
      </c>
      <c r="D52" s="201">
        <v>9397.5275271999981</v>
      </c>
      <c r="E52" s="201">
        <v>8666.5453607899999</v>
      </c>
      <c r="F52" s="201">
        <v>4280.6166854900002</v>
      </c>
      <c r="G52" s="201">
        <v>2737.7000000000003</v>
      </c>
      <c r="H52" s="201">
        <v>0</v>
      </c>
      <c r="I52" s="201">
        <v>6626.3170605699997</v>
      </c>
      <c r="J52" s="201">
        <v>9664.4723389500014</v>
      </c>
      <c r="K52" s="201">
        <v>8595.1878356599991</v>
      </c>
      <c r="L52" s="201">
        <v>5363.12191222</v>
      </c>
      <c r="M52" s="201">
        <v>10570.40240504</v>
      </c>
      <c r="N52" s="201">
        <v>9362.5108706999963</v>
      </c>
      <c r="O52" s="201">
        <v>7745.4611679300006</v>
      </c>
      <c r="P52" s="201">
        <v>0</v>
      </c>
      <c r="Q52" s="201">
        <v>0</v>
      </c>
      <c r="R52" s="201">
        <v>183.18074881999999</v>
      </c>
      <c r="S52" s="201">
        <v>12402.396535880009</v>
      </c>
      <c r="T52" s="201">
        <v>26.98328174000001</v>
      </c>
      <c r="U52" s="201">
        <v>7842.3970811399968</v>
      </c>
      <c r="V52" s="201">
        <v>0</v>
      </c>
      <c r="W52" s="201">
        <v>3273.4306080100005</v>
      </c>
      <c r="X52" s="201">
        <v>0</v>
      </c>
      <c r="Y52" s="201">
        <v>0</v>
      </c>
      <c r="Z52" s="201">
        <v>1754.64265628</v>
      </c>
      <c r="AA52" s="201">
        <v>191.97520603000001</v>
      </c>
      <c r="AB52" s="201">
        <v>643.93173657999989</v>
      </c>
      <c r="AC52" s="201">
        <v>1961.9639646200008</v>
      </c>
      <c r="AD52" s="201">
        <v>5208.9387012999987</v>
      </c>
      <c r="AE52" s="201">
        <v>2290.45534013</v>
      </c>
      <c r="AF52" s="201">
        <v>0</v>
      </c>
      <c r="AG52" s="201">
        <v>3994.3372223280012</v>
      </c>
      <c r="AH52" s="201">
        <v>1173.8391497500002</v>
      </c>
      <c r="AI52" s="201">
        <v>392.8908307800001</v>
      </c>
      <c r="AJ52" s="201">
        <v>34.222624249999996</v>
      </c>
      <c r="AK52" s="201">
        <v>0</v>
      </c>
      <c r="AL52" s="201">
        <v>467.29157770999996</v>
      </c>
      <c r="AM52" s="201">
        <v>115.57715057</v>
      </c>
      <c r="AN52" s="201">
        <v>83.923663439999999</v>
      </c>
      <c r="AO52" s="201">
        <v>0</v>
      </c>
      <c r="AP52" s="201">
        <v>36.14900464000003</v>
      </c>
      <c r="AQ52" s="201">
        <v>222.16338000000002</v>
      </c>
      <c r="AR52" s="201">
        <v>80.66</v>
      </c>
      <c r="AS52" s="201">
        <v>0.97599999999999998</v>
      </c>
      <c r="AT52" s="201">
        <v>144.71646000000004</v>
      </c>
      <c r="AU52" s="201">
        <v>0</v>
      </c>
      <c r="AV52" s="201">
        <v>16.224799999999984</v>
      </c>
      <c r="AW52" s="201">
        <v>83.881113999999997</v>
      </c>
      <c r="AX52" s="201">
        <v>0</v>
      </c>
      <c r="AY52" s="201">
        <v>109.69403616000001</v>
      </c>
      <c r="AZ52" s="201">
        <v>0</v>
      </c>
      <c r="BA52" s="201">
        <v>65.895130000000009</v>
      </c>
      <c r="BB52" s="201">
        <v>144.49975360998232</v>
      </c>
      <c r="BC52" s="201">
        <v>377.07971493999997</v>
      </c>
      <c r="BD52" s="201">
        <v>67.389529999999993</v>
      </c>
    </row>
    <row r="53" spans="2:56" x14ac:dyDescent="0.55000000000000004">
      <c r="B53" s="215" t="s">
        <v>289</v>
      </c>
      <c r="C53" s="201">
        <v>1620.8025865399998</v>
      </c>
      <c r="D53" s="201">
        <v>17170.261721492992</v>
      </c>
      <c r="E53" s="201">
        <v>1769.50150134</v>
      </c>
      <c r="F53" s="201">
        <v>153.01823254000001</v>
      </c>
      <c r="G53" s="201">
        <v>0</v>
      </c>
      <c r="H53" s="201">
        <v>0</v>
      </c>
      <c r="I53" s="201">
        <v>0</v>
      </c>
      <c r="J53" s="201">
        <v>318.52721607000001</v>
      </c>
      <c r="K53" s="201">
        <v>0</v>
      </c>
      <c r="L53" s="201">
        <v>573.7212721999997</v>
      </c>
      <c r="M53" s="201">
        <v>111.98303872000002</v>
      </c>
      <c r="N53" s="201">
        <v>25.110137310000059</v>
      </c>
      <c r="O53" s="201">
        <v>244.63425122000001</v>
      </c>
      <c r="P53" s="201">
        <v>0</v>
      </c>
      <c r="Q53" s="201">
        <v>158.91956750000008</v>
      </c>
      <c r="R53" s="201">
        <v>626.95301208999717</v>
      </c>
      <c r="S53" s="201">
        <v>53.570998639999985</v>
      </c>
      <c r="T53" s="201">
        <v>579.49656774000096</v>
      </c>
      <c r="U53" s="201">
        <v>488.29767622000026</v>
      </c>
      <c r="V53" s="201">
        <v>18.375948439999998</v>
      </c>
      <c r="W53" s="201">
        <v>110.06103614999994</v>
      </c>
      <c r="X53" s="201">
        <v>11.462999999999999</v>
      </c>
      <c r="Y53" s="201">
        <v>0</v>
      </c>
      <c r="Z53" s="201">
        <v>1093.089320004201</v>
      </c>
      <c r="AA53" s="201">
        <v>54.601272369999982</v>
      </c>
      <c r="AB53" s="201">
        <v>0</v>
      </c>
      <c r="AC53" s="201">
        <v>2826.0690996099929</v>
      </c>
      <c r="AD53" s="201">
        <v>444.66038343999986</v>
      </c>
      <c r="AE53" s="201">
        <v>374.3753527800003</v>
      </c>
      <c r="AF53" s="201">
        <v>0</v>
      </c>
      <c r="AG53" s="201">
        <v>1074.5855235099991</v>
      </c>
      <c r="AH53" s="201">
        <v>2.9999999969732015E-6</v>
      </c>
      <c r="AI53" s="201">
        <v>276.66950476999972</v>
      </c>
      <c r="AJ53" s="201">
        <v>0</v>
      </c>
      <c r="AK53" s="201">
        <v>0</v>
      </c>
      <c r="AL53" s="201">
        <v>56.321624159999999</v>
      </c>
      <c r="AM53" s="201">
        <v>137.57894754000006</v>
      </c>
      <c r="AN53" s="201">
        <v>26.397980019999999</v>
      </c>
      <c r="AO53" s="201">
        <v>0</v>
      </c>
      <c r="AP53" s="201">
        <v>118.93919407</v>
      </c>
      <c r="AQ53" s="201">
        <v>183.86939000000001</v>
      </c>
      <c r="AR53" s="201">
        <v>0</v>
      </c>
      <c r="AS53" s="201">
        <v>126.458</v>
      </c>
      <c r="AT53" s="201">
        <v>93.505659999999978</v>
      </c>
      <c r="AU53" s="201">
        <v>0</v>
      </c>
      <c r="AV53" s="201">
        <v>73.973039999999997</v>
      </c>
      <c r="AW53" s="201">
        <v>3.0945100000000001</v>
      </c>
      <c r="AX53" s="201">
        <v>0</v>
      </c>
      <c r="AY53" s="201">
        <v>90.534469739999963</v>
      </c>
      <c r="AZ53" s="201">
        <v>0</v>
      </c>
      <c r="BA53" s="201">
        <v>0.77806000000000008</v>
      </c>
      <c r="BB53" s="201">
        <v>137.58337062999593</v>
      </c>
      <c r="BC53" s="201">
        <v>591.23455000007402</v>
      </c>
      <c r="BD53" s="201">
        <v>92.871440000000007</v>
      </c>
    </row>
    <row r="54" spans="2:56" x14ac:dyDescent="0.55000000000000004">
      <c r="B54" s="215" t="s">
        <v>290</v>
      </c>
      <c r="C54" s="201">
        <v>4.5090982799999999</v>
      </c>
      <c r="D54" s="201">
        <v>30.818054</v>
      </c>
      <c r="E54" s="201">
        <v>3.60310525</v>
      </c>
      <c r="F54" s="201">
        <v>5.7529288799999998</v>
      </c>
      <c r="G54" s="201">
        <v>0</v>
      </c>
      <c r="H54" s="201">
        <v>0</v>
      </c>
      <c r="I54" s="201">
        <v>0</v>
      </c>
      <c r="J54" s="201">
        <v>0</v>
      </c>
      <c r="K54" s="201">
        <v>0</v>
      </c>
      <c r="L54" s="201">
        <v>0</v>
      </c>
      <c r="M54" s="201">
        <v>23.478472250000003</v>
      </c>
      <c r="N54" s="201">
        <v>0</v>
      </c>
      <c r="O54" s="201">
        <v>0</v>
      </c>
      <c r="P54" s="201">
        <v>0</v>
      </c>
      <c r="Q54" s="201">
        <v>0</v>
      </c>
      <c r="R54" s="201">
        <v>0.20975936000000003</v>
      </c>
      <c r="S54" s="201">
        <v>0</v>
      </c>
      <c r="T54" s="201">
        <v>14.35966322</v>
      </c>
      <c r="U54" s="201">
        <v>100</v>
      </c>
      <c r="V54" s="201">
        <v>0</v>
      </c>
      <c r="W54" s="201">
        <v>2.4401331800000001</v>
      </c>
      <c r="X54" s="201">
        <v>0</v>
      </c>
      <c r="Y54" s="201">
        <v>0</v>
      </c>
      <c r="Z54" s="201">
        <v>230.2661413099996</v>
      </c>
      <c r="AA54" s="201">
        <v>0</v>
      </c>
      <c r="AB54" s="201">
        <v>0</v>
      </c>
      <c r="AC54" s="201">
        <v>501.79200918000089</v>
      </c>
      <c r="AD54" s="201">
        <v>113.64386372</v>
      </c>
      <c r="AE54" s="201">
        <v>17.952804040266823</v>
      </c>
      <c r="AF54" s="201">
        <v>0</v>
      </c>
      <c r="AG54" s="201">
        <v>67.411538769999993</v>
      </c>
      <c r="AH54" s="201">
        <v>0.79610002000000013</v>
      </c>
      <c r="AI54" s="201">
        <v>0</v>
      </c>
      <c r="AJ54" s="201">
        <v>0</v>
      </c>
      <c r="AK54" s="201">
        <v>0</v>
      </c>
      <c r="AL54" s="201">
        <v>0</v>
      </c>
      <c r="AM54" s="201">
        <v>0</v>
      </c>
      <c r="AN54" s="201">
        <v>0</v>
      </c>
      <c r="AO54" s="201">
        <v>0</v>
      </c>
      <c r="AP54" s="201">
        <v>0</v>
      </c>
      <c r="AQ54" s="201">
        <v>0</v>
      </c>
      <c r="AR54" s="201">
        <v>0</v>
      </c>
      <c r="AS54" s="201">
        <v>0</v>
      </c>
      <c r="AT54" s="201">
        <v>0</v>
      </c>
      <c r="AU54" s="201">
        <v>0</v>
      </c>
      <c r="AV54" s="201">
        <v>0</v>
      </c>
      <c r="AW54" s="201">
        <v>7.7700000000000005E-2</v>
      </c>
      <c r="AX54" s="201">
        <v>0</v>
      </c>
      <c r="AY54" s="201">
        <v>0</v>
      </c>
      <c r="AZ54" s="201">
        <v>0</v>
      </c>
      <c r="BA54" s="201">
        <v>0</v>
      </c>
      <c r="BB54" s="201">
        <v>0</v>
      </c>
      <c r="BC54" s="201">
        <v>0</v>
      </c>
      <c r="BD54" s="201">
        <v>0</v>
      </c>
    </row>
    <row r="55" spans="2:56" x14ac:dyDescent="0.55000000000000004">
      <c r="B55" s="215" t="s">
        <v>400</v>
      </c>
      <c r="C55" s="201">
        <v>0</v>
      </c>
      <c r="D55" s="201">
        <v>0</v>
      </c>
      <c r="E55" s="201">
        <v>0</v>
      </c>
      <c r="F55" s="201">
        <v>0</v>
      </c>
      <c r="G55" s="201">
        <v>0</v>
      </c>
      <c r="H55" s="201">
        <v>130.03115362</v>
      </c>
      <c r="I55" s="201">
        <v>0</v>
      </c>
      <c r="J55" s="201">
        <v>0</v>
      </c>
      <c r="K55" s="201">
        <v>0</v>
      </c>
      <c r="L55" s="201">
        <v>0</v>
      </c>
      <c r="M55" s="201">
        <v>0</v>
      </c>
      <c r="N55" s="201">
        <v>0</v>
      </c>
      <c r="O55" s="201">
        <v>0</v>
      </c>
      <c r="P55" s="201">
        <v>0</v>
      </c>
      <c r="Q55" s="201">
        <v>0</v>
      </c>
      <c r="R55" s="201">
        <v>0</v>
      </c>
      <c r="S55" s="201">
        <v>0</v>
      </c>
      <c r="T55" s="201">
        <v>0</v>
      </c>
      <c r="U55" s="201">
        <v>0</v>
      </c>
      <c r="V55" s="201">
        <v>0</v>
      </c>
      <c r="W55" s="201">
        <v>0</v>
      </c>
      <c r="X55" s="201">
        <v>0</v>
      </c>
      <c r="Y55" s="201">
        <v>0</v>
      </c>
      <c r="Z55" s="201">
        <v>0</v>
      </c>
      <c r="AA55" s="201">
        <v>0</v>
      </c>
      <c r="AB55" s="201">
        <v>0</v>
      </c>
      <c r="AC55" s="201">
        <v>0</v>
      </c>
      <c r="AD55" s="201">
        <v>0</v>
      </c>
      <c r="AE55" s="201">
        <v>0</v>
      </c>
      <c r="AF55" s="201">
        <v>0</v>
      </c>
      <c r="AG55" s="201">
        <v>0</v>
      </c>
      <c r="AH55" s="201">
        <v>0</v>
      </c>
      <c r="AI55" s="201">
        <v>0</v>
      </c>
      <c r="AJ55" s="201">
        <v>0</v>
      </c>
      <c r="AK55" s="201">
        <v>0</v>
      </c>
      <c r="AL55" s="201">
        <v>0</v>
      </c>
      <c r="AM55" s="201">
        <v>0</v>
      </c>
      <c r="AN55" s="201">
        <v>0</v>
      </c>
      <c r="AO55" s="201">
        <v>0</v>
      </c>
      <c r="AP55" s="201">
        <v>0</v>
      </c>
      <c r="AQ55" s="201">
        <v>0</v>
      </c>
      <c r="AR55" s="201">
        <v>0</v>
      </c>
      <c r="AS55" s="201">
        <v>0</v>
      </c>
      <c r="AT55" s="201">
        <v>0</v>
      </c>
      <c r="AU55" s="201">
        <v>0</v>
      </c>
      <c r="AV55" s="201">
        <v>0</v>
      </c>
      <c r="AW55" s="201">
        <v>0</v>
      </c>
      <c r="AX55" s="201">
        <v>0</v>
      </c>
      <c r="AY55" s="201">
        <v>0</v>
      </c>
      <c r="AZ55" s="201">
        <v>0</v>
      </c>
      <c r="BA55" s="201">
        <v>0</v>
      </c>
      <c r="BB55" s="201">
        <v>0</v>
      </c>
      <c r="BC55" s="201">
        <v>0</v>
      </c>
      <c r="BD55" s="201">
        <v>0</v>
      </c>
    </row>
    <row r="56" spans="2:56" x14ac:dyDescent="0.55000000000000004">
      <c r="B56" s="215" t="s">
        <v>292</v>
      </c>
      <c r="C56" s="201">
        <v>61.079329550000011</v>
      </c>
      <c r="D56" s="201">
        <v>0</v>
      </c>
      <c r="E56" s="201">
        <v>0.03</v>
      </c>
      <c r="F56" s="201">
        <v>0</v>
      </c>
      <c r="G56" s="201">
        <v>0</v>
      </c>
      <c r="H56" s="201">
        <v>9464.8551654000021</v>
      </c>
      <c r="I56" s="201">
        <v>0</v>
      </c>
      <c r="J56" s="201">
        <v>0</v>
      </c>
      <c r="K56" s="201">
        <v>427.23223309999986</v>
      </c>
      <c r="L56" s="201">
        <v>179.07516571000002</v>
      </c>
      <c r="M56" s="201">
        <v>0</v>
      </c>
      <c r="N56" s="201">
        <v>0</v>
      </c>
      <c r="O56" s="201">
        <v>279.78003551</v>
      </c>
      <c r="P56" s="201">
        <v>0</v>
      </c>
      <c r="Q56" s="201">
        <v>0</v>
      </c>
      <c r="R56" s="201">
        <v>18.53319179999994</v>
      </c>
      <c r="S56" s="201">
        <v>0.63252394000000001</v>
      </c>
      <c r="T56" s="201">
        <v>15.448897069999997</v>
      </c>
      <c r="U56" s="201">
        <v>0</v>
      </c>
      <c r="V56" s="201">
        <v>0</v>
      </c>
      <c r="W56" s="201">
        <v>97.757364269999982</v>
      </c>
      <c r="X56" s="201">
        <v>0</v>
      </c>
      <c r="Y56" s="201">
        <v>0</v>
      </c>
      <c r="Z56" s="201">
        <v>0</v>
      </c>
      <c r="AA56" s="201">
        <v>0</v>
      </c>
      <c r="AB56" s="201">
        <v>0</v>
      </c>
      <c r="AC56" s="201">
        <v>0</v>
      </c>
      <c r="AD56" s="201">
        <v>10.097893000000001</v>
      </c>
      <c r="AE56" s="201">
        <v>0</v>
      </c>
      <c r="AF56" s="201">
        <v>0</v>
      </c>
      <c r="AG56" s="201">
        <v>3.7597133200000004</v>
      </c>
      <c r="AH56" s="201">
        <v>0</v>
      </c>
      <c r="AI56" s="201">
        <v>0</v>
      </c>
      <c r="AJ56" s="201">
        <v>0</v>
      </c>
      <c r="AK56" s="201">
        <v>0</v>
      </c>
      <c r="AL56" s="201">
        <v>0</v>
      </c>
      <c r="AM56" s="201">
        <v>0</v>
      </c>
      <c r="AN56" s="201">
        <v>0</v>
      </c>
      <c r="AO56" s="201">
        <v>0</v>
      </c>
      <c r="AP56" s="201">
        <v>0</v>
      </c>
      <c r="AQ56" s="201">
        <v>0</v>
      </c>
      <c r="AR56" s="201">
        <v>0</v>
      </c>
      <c r="AS56" s="201">
        <v>0.98199999999999998</v>
      </c>
      <c r="AT56" s="201">
        <v>0</v>
      </c>
      <c r="AU56" s="201">
        <v>0</v>
      </c>
      <c r="AV56" s="201">
        <v>0</v>
      </c>
      <c r="AW56" s="201">
        <v>0</v>
      </c>
      <c r="AX56" s="201">
        <v>0</v>
      </c>
      <c r="AY56" s="201">
        <v>3.5375988600000814</v>
      </c>
      <c r="AZ56" s="201">
        <v>0</v>
      </c>
      <c r="BA56" s="201">
        <v>0</v>
      </c>
      <c r="BB56" s="201">
        <v>0</v>
      </c>
      <c r="BC56" s="201">
        <v>0</v>
      </c>
      <c r="BD56" s="201">
        <v>0</v>
      </c>
    </row>
    <row r="57" spans="2:56" x14ac:dyDescent="0.55000000000000004">
      <c r="B57" s="214" t="s">
        <v>293</v>
      </c>
      <c r="C57" s="201">
        <v>5.301024E-2</v>
      </c>
      <c r="D57" s="201">
        <v>18.591597370000006</v>
      </c>
      <c r="E57" s="201">
        <v>1208.3665269264709</v>
      </c>
      <c r="F57" s="201">
        <v>269.3043924625</v>
      </c>
      <c r="G57" s="201">
        <v>366.97843397999839</v>
      </c>
      <c r="H57" s="201">
        <v>368.0141395</v>
      </c>
      <c r="I57" s="201">
        <v>0</v>
      </c>
      <c r="J57" s="201">
        <v>138.05088895000011</v>
      </c>
      <c r="K57" s="201">
        <v>253.72469336</v>
      </c>
      <c r="L57" s="201">
        <v>335.1729039800008</v>
      </c>
      <c r="M57" s="201">
        <v>795.56670325999994</v>
      </c>
      <c r="N57" s="201">
        <v>324.58829134000041</v>
      </c>
      <c r="O57" s="201">
        <v>881.48503379999897</v>
      </c>
      <c r="P57" s="201">
        <v>0</v>
      </c>
      <c r="Q57" s="201">
        <v>667.693484689</v>
      </c>
      <c r="R57" s="201">
        <v>249.95536859200016</v>
      </c>
      <c r="S57" s="201">
        <v>263.36222318900008</v>
      </c>
      <c r="T57" s="201">
        <v>194.84944260999998</v>
      </c>
      <c r="U57" s="201">
        <v>188.86409519000014</v>
      </c>
      <c r="V57" s="201">
        <v>139.51505878</v>
      </c>
      <c r="W57" s="201">
        <v>0</v>
      </c>
      <c r="X57" s="201">
        <v>0</v>
      </c>
      <c r="Y57" s="201">
        <v>0</v>
      </c>
      <c r="Z57" s="201">
        <v>0</v>
      </c>
      <c r="AA57" s="201">
        <v>0</v>
      </c>
      <c r="AB57" s="201">
        <v>0</v>
      </c>
      <c r="AC57" s="201">
        <v>0</v>
      </c>
      <c r="AD57" s="201">
        <v>18.235455169999994</v>
      </c>
      <c r="AE57" s="201">
        <v>0</v>
      </c>
      <c r="AF57" s="201">
        <v>0</v>
      </c>
      <c r="AG57" s="201">
        <v>0</v>
      </c>
      <c r="AH57" s="201">
        <v>0</v>
      </c>
      <c r="AI57" s="201">
        <v>0</v>
      </c>
      <c r="AJ57" s="201">
        <v>0</v>
      </c>
      <c r="AK57" s="201">
        <v>0</v>
      </c>
      <c r="AL57" s="201">
        <v>0</v>
      </c>
      <c r="AM57" s="201">
        <v>0</v>
      </c>
      <c r="AN57" s="201">
        <v>0</v>
      </c>
      <c r="AO57" s="201">
        <v>0</v>
      </c>
      <c r="AP57" s="201">
        <v>0</v>
      </c>
      <c r="AQ57" s="201">
        <v>0</v>
      </c>
      <c r="AR57" s="201">
        <v>0</v>
      </c>
      <c r="AS57" s="201">
        <v>0</v>
      </c>
      <c r="AT57" s="201">
        <v>0</v>
      </c>
      <c r="AU57" s="201">
        <v>0</v>
      </c>
      <c r="AV57" s="201">
        <v>0</v>
      </c>
      <c r="AW57" s="201">
        <v>0</v>
      </c>
      <c r="AX57" s="201">
        <v>0</v>
      </c>
      <c r="AY57" s="201">
        <v>0</v>
      </c>
      <c r="AZ57" s="201">
        <v>0</v>
      </c>
      <c r="BA57" s="201">
        <v>0</v>
      </c>
      <c r="BB57" s="201">
        <v>0</v>
      </c>
      <c r="BC57" s="201">
        <v>0</v>
      </c>
      <c r="BD57" s="201">
        <v>0</v>
      </c>
    </row>
    <row r="58" spans="2:56" x14ac:dyDescent="0.55000000000000004">
      <c r="B58" s="214" t="s">
        <v>258</v>
      </c>
      <c r="C58" s="201">
        <v>3386.0970911500644</v>
      </c>
      <c r="D58" s="201">
        <v>32.485501461709397</v>
      </c>
      <c r="E58" s="201">
        <v>5978.4598129361875</v>
      </c>
      <c r="F58" s="201">
        <v>28317.694491539722</v>
      </c>
      <c r="G58" s="201">
        <v>6443.0710751403894</v>
      </c>
      <c r="H58" s="201">
        <v>0</v>
      </c>
      <c r="I58" s="201">
        <v>11610.825660569699</v>
      </c>
      <c r="J58" s="201">
        <v>2014.9487493497236</v>
      </c>
      <c r="K58" s="201">
        <v>832.44345659834062</v>
      </c>
      <c r="L58" s="201">
        <v>11024.295850499999</v>
      </c>
      <c r="M58" s="201">
        <v>78.697134959999943</v>
      </c>
      <c r="N58" s="201">
        <v>2255.0161294309169</v>
      </c>
      <c r="O58" s="201">
        <v>980.54373860999999</v>
      </c>
      <c r="P58" s="201">
        <v>0</v>
      </c>
      <c r="Q58" s="201">
        <v>16528.142324917131</v>
      </c>
      <c r="R58" s="201">
        <v>12360.184289619705</v>
      </c>
      <c r="S58" s="201">
        <v>4043.2894602913293</v>
      </c>
      <c r="T58" s="201">
        <v>7710.0737341699851</v>
      </c>
      <c r="U58" s="201">
        <v>3920.355197979995</v>
      </c>
      <c r="V58" s="201">
        <v>9331.290328420002</v>
      </c>
      <c r="W58" s="201">
        <v>949.56197743999996</v>
      </c>
      <c r="X58" s="201">
        <v>48.764000000000003</v>
      </c>
      <c r="Y58" s="201">
        <v>0</v>
      </c>
      <c r="Z58" s="201">
        <v>0</v>
      </c>
      <c r="AA58" s="201">
        <v>1.6616525199999999</v>
      </c>
      <c r="AB58" s="201">
        <v>1.5</v>
      </c>
      <c r="AC58" s="201">
        <v>2454.0988683800038</v>
      </c>
      <c r="AD58" s="201">
        <v>110.80104801999998</v>
      </c>
      <c r="AE58" s="201">
        <v>4.4116247297988336</v>
      </c>
      <c r="AF58" s="201">
        <v>0</v>
      </c>
      <c r="AG58" s="201">
        <v>38.597622744763505</v>
      </c>
      <c r="AH58" s="201">
        <v>136.73648722005069</v>
      </c>
      <c r="AI58" s="201">
        <v>35.232262999999996</v>
      </c>
      <c r="AJ58" s="201">
        <v>990.04031527999985</v>
      </c>
      <c r="AK58" s="201">
        <v>0</v>
      </c>
      <c r="AL58" s="201">
        <v>0</v>
      </c>
      <c r="AM58" s="201">
        <v>215.41131000000001</v>
      </c>
      <c r="AN58" s="201">
        <v>389.16135887000002</v>
      </c>
      <c r="AO58" s="201">
        <v>1678.92460848</v>
      </c>
      <c r="AP58" s="201">
        <v>0</v>
      </c>
      <c r="AQ58" s="201">
        <v>100.35414000000002</v>
      </c>
      <c r="AR58" s="201">
        <v>0</v>
      </c>
      <c r="AS58" s="201">
        <v>3.2000000000000001E-2</v>
      </c>
      <c r="AT58" s="201">
        <v>0.48261000000000004</v>
      </c>
      <c r="AU58" s="201">
        <v>2450.9630385199998</v>
      </c>
      <c r="AV58" s="201">
        <v>0</v>
      </c>
      <c r="AW58" s="201">
        <v>4.3571043699999992</v>
      </c>
      <c r="AX58" s="201">
        <v>0</v>
      </c>
      <c r="AY58" s="201">
        <v>0</v>
      </c>
      <c r="AZ58" s="201">
        <v>0</v>
      </c>
      <c r="BA58" s="201">
        <v>471.99170000000004</v>
      </c>
      <c r="BB58" s="201">
        <v>7.1429655899970257</v>
      </c>
      <c r="BC58" s="201">
        <v>0</v>
      </c>
      <c r="BD58" s="201">
        <v>266.39776000000001</v>
      </c>
    </row>
    <row r="59" spans="2:56" s="167" customFormat="1" x14ac:dyDescent="0.55000000000000004">
      <c r="B59" s="209" t="s">
        <v>94</v>
      </c>
      <c r="C59" s="217">
        <v>235591.54600595002</v>
      </c>
      <c r="D59" s="217">
        <v>305746.82367453957</v>
      </c>
      <c r="E59" s="217">
        <v>431609.0252964726</v>
      </c>
      <c r="F59" s="217">
        <v>354891.43800835166</v>
      </c>
      <c r="G59" s="217">
        <v>88810.009427734505</v>
      </c>
      <c r="H59" s="217">
        <v>250821.13359650772</v>
      </c>
      <c r="I59" s="217">
        <v>143994.37321057694</v>
      </c>
      <c r="J59" s="217">
        <v>229301.89423104975</v>
      </c>
      <c r="K59" s="217">
        <v>230856.78736097991</v>
      </c>
      <c r="L59" s="217">
        <v>149161.4059858504</v>
      </c>
      <c r="M59" s="217">
        <v>290283.5048107999</v>
      </c>
      <c r="N59" s="217">
        <v>286180.61323761323</v>
      </c>
      <c r="O59" s="217">
        <v>225594.08104213388</v>
      </c>
      <c r="P59" s="217">
        <v>213517.18000000008</v>
      </c>
      <c r="Q59" s="217">
        <v>444635.91964940284</v>
      </c>
      <c r="R59" s="217">
        <v>175432.10319793204</v>
      </c>
      <c r="S59" s="217">
        <v>225851.24064938535</v>
      </c>
      <c r="T59" s="217">
        <v>245231.46162320976</v>
      </c>
      <c r="U59" s="217">
        <v>239453.46923616005</v>
      </c>
      <c r="V59" s="217">
        <v>185755.83207839084</v>
      </c>
      <c r="W59" s="217">
        <v>45345.970682650324</v>
      </c>
      <c r="X59" s="217">
        <v>319.68700000000001</v>
      </c>
      <c r="Y59" s="217">
        <v>2547.4319999999998</v>
      </c>
      <c r="Z59" s="217">
        <v>45117.271402896891</v>
      </c>
      <c r="AA59" s="217">
        <v>12709.433216403091</v>
      </c>
      <c r="AB59" s="217">
        <v>5961.0516861500009</v>
      </c>
      <c r="AC59" s="217">
        <v>99500.433360977797</v>
      </c>
      <c r="AD59" s="217">
        <v>75666.503486249931</v>
      </c>
      <c r="AE59" s="217">
        <v>54310.069441020452</v>
      </c>
      <c r="AF59" s="217">
        <v>1304.9908466799995</v>
      </c>
      <c r="AG59" s="217">
        <v>51416.61039419438</v>
      </c>
      <c r="AH59" s="217">
        <v>60054.304445539456</v>
      </c>
      <c r="AI59" s="217">
        <v>49173.845099538885</v>
      </c>
      <c r="AJ59" s="217">
        <v>3358.8346954499993</v>
      </c>
      <c r="AK59" s="217">
        <v>941.18006308000008</v>
      </c>
      <c r="AL59" s="217">
        <v>5912.7936362852906</v>
      </c>
      <c r="AM59" s="217">
        <v>4878.410259402006</v>
      </c>
      <c r="AN59" s="217">
        <v>2794.9803695000005</v>
      </c>
      <c r="AO59" s="217">
        <v>2192.2530863899997</v>
      </c>
      <c r="AP59" s="217">
        <v>6463.4936162099993</v>
      </c>
      <c r="AQ59" s="217">
        <v>8974.3061700000017</v>
      </c>
      <c r="AR59" s="217">
        <v>6400.8265699999993</v>
      </c>
      <c r="AS59" s="217">
        <v>4316.2359999999999</v>
      </c>
      <c r="AT59" s="217">
        <v>5022.3074800000004</v>
      </c>
      <c r="AU59" s="217">
        <v>2572.6365691200003</v>
      </c>
      <c r="AV59" s="217">
        <v>5862.7343599999986</v>
      </c>
      <c r="AW59" s="217">
        <v>4936.4122759099992</v>
      </c>
      <c r="AX59" s="217">
        <v>1950.6678825500001</v>
      </c>
      <c r="AY59" s="217">
        <v>2113.84578551</v>
      </c>
      <c r="AZ59" s="217">
        <v>663.53000780000002</v>
      </c>
      <c r="BA59" s="217">
        <v>5509.8093699999999</v>
      </c>
      <c r="BB59" s="217">
        <v>17168.487347999995</v>
      </c>
      <c r="BC59" s="217">
        <v>18710.11755877973</v>
      </c>
      <c r="BD59" s="217">
        <v>7245.4740399999991</v>
      </c>
    </row>
    <row r="61" spans="2:56" ht="62.7" x14ac:dyDescent="0.55000000000000004">
      <c r="B61" s="163" t="s">
        <v>401</v>
      </c>
      <c r="C61" s="218"/>
      <c r="D61" s="218"/>
      <c r="E61" s="218"/>
      <c r="F61" s="218"/>
      <c r="G61" s="218"/>
      <c r="H61" s="218"/>
      <c r="I61" s="218"/>
    </row>
    <row r="62" spans="2:56" ht="62.7" x14ac:dyDescent="0.55000000000000004">
      <c r="B62" s="163" t="s">
        <v>402</v>
      </c>
    </row>
    <row r="63" spans="2:56" ht="31.35" x14ac:dyDescent="0.55000000000000004">
      <c r="B63" s="163" t="s">
        <v>296</v>
      </c>
    </row>
  </sheetData>
  <dataValidations count="1">
    <dataValidation type="custom" allowBlank="1" showInputMessage="1" showErrorMessage="1" errorTitle="Bashu" error="This is Format. Do not Overwrite." sqref="B36 B29:B34" xr:uid="{8D2C58FA-5315-43AC-821F-6F215FAB2B6F}">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180B-13F0-4012-AD54-B454C71E38BB}">
  <sheetPr codeName="Sheet51"/>
  <dimension ref="A2:K92"/>
  <sheetViews>
    <sheetView workbookViewId="0">
      <pane xSplit="3" ySplit="6" topLeftCell="D19"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195"/>
    <col min="2" max="2" width="3.29296875" style="195" bestFit="1" customWidth="1"/>
    <col min="3" max="3" width="45" style="195" bestFit="1" customWidth="1"/>
    <col min="4" max="8" width="14.5859375" style="34" bestFit="1" customWidth="1"/>
    <col min="9" max="9" width="10.703125" style="34" bestFit="1" customWidth="1"/>
    <col min="10" max="10" width="10.41015625" style="34" bestFit="1" customWidth="1"/>
    <col min="11" max="11" width="8.29296875" style="34" bestFit="1" customWidth="1"/>
    <col min="12" max="16384" width="9.1171875" style="34"/>
  </cols>
  <sheetData>
    <row r="2" spans="2:11" x14ac:dyDescent="0.55000000000000004">
      <c r="B2" s="219" t="s">
        <v>403</v>
      </c>
      <c r="C2" s="219"/>
      <c r="D2" s="219"/>
      <c r="E2" s="219"/>
      <c r="F2" s="219"/>
      <c r="G2" s="219"/>
      <c r="H2" s="219"/>
      <c r="I2" s="219"/>
      <c r="J2" s="219"/>
      <c r="K2" s="219"/>
    </row>
    <row r="3" spans="2:11" x14ac:dyDescent="0.55000000000000004">
      <c r="B3" s="220"/>
      <c r="C3" s="220"/>
      <c r="J3" s="134" t="s">
        <v>118</v>
      </c>
      <c r="K3" s="135"/>
    </row>
    <row r="4" spans="2:11" x14ac:dyDescent="0.55000000000000004">
      <c r="B4" s="151" t="s">
        <v>119</v>
      </c>
      <c r="C4" s="151"/>
      <c r="D4" s="134" t="s">
        <v>69</v>
      </c>
      <c r="E4" s="221"/>
      <c r="F4" s="135"/>
      <c r="G4" s="222" t="s">
        <v>69</v>
      </c>
      <c r="H4" s="222" t="s">
        <v>71</v>
      </c>
      <c r="I4" s="223" t="s">
        <v>404</v>
      </c>
      <c r="J4" s="224"/>
      <c r="K4" s="225"/>
    </row>
    <row r="5" spans="2:11" x14ac:dyDescent="0.55000000000000004">
      <c r="B5" s="151"/>
      <c r="C5" s="151"/>
      <c r="D5" s="113">
        <v>2022</v>
      </c>
      <c r="E5" s="113">
        <v>2023</v>
      </c>
      <c r="F5" s="113">
        <v>2024</v>
      </c>
      <c r="G5" s="113">
        <v>2025</v>
      </c>
      <c r="H5" s="113">
        <v>2025</v>
      </c>
      <c r="I5" s="226"/>
      <c r="J5" s="227"/>
      <c r="K5" s="228"/>
    </row>
    <row r="6" spans="2:11" x14ac:dyDescent="0.55000000000000004">
      <c r="B6" s="151"/>
      <c r="C6" s="151"/>
      <c r="D6" s="229">
        <v>1</v>
      </c>
      <c r="E6" s="229">
        <v>2</v>
      </c>
      <c r="F6" s="229">
        <v>3</v>
      </c>
      <c r="G6" s="229">
        <v>4</v>
      </c>
      <c r="H6" s="229">
        <v>5</v>
      </c>
      <c r="I6" s="230" t="s">
        <v>980</v>
      </c>
      <c r="J6" s="230" t="s">
        <v>981</v>
      </c>
      <c r="K6" s="230" t="s">
        <v>1037</v>
      </c>
    </row>
    <row r="7" spans="2:11" x14ac:dyDescent="0.55000000000000004">
      <c r="B7" s="231">
        <v>1</v>
      </c>
      <c r="C7" s="232" t="s">
        <v>299</v>
      </c>
      <c r="D7" s="230">
        <v>50333.986514111632</v>
      </c>
      <c r="E7" s="230">
        <v>59479.931931247695</v>
      </c>
      <c r="F7" s="230">
        <v>63015.375429855478</v>
      </c>
      <c r="G7" s="230">
        <v>69039.710549568292</v>
      </c>
      <c r="H7" s="230">
        <v>76405.796215739276</v>
      </c>
      <c r="I7" s="233">
        <f t="shared" ref="I7:J23" si="0">IFERROR((E7-D7)/D7*100,0)</f>
        <v>18.170516683735961</v>
      </c>
      <c r="J7" s="233">
        <f t="shared" si="0"/>
        <v>5.9439266048494632</v>
      </c>
      <c r="K7" s="233">
        <v>9.5601035122272684</v>
      </c>
    </row>
    <row r="8" spans="2:11" x14ac:dyDescent="0.55000000000000004">
      <c r="B8" s="234" t="s">
        <v>121</v>
      </c>
      <c r="C8" s="235" t="s">
        <v>122</v>
      </c>
      <c r="D8" s="230">
        <v>30093.147978739999</v>
      </c>
      <c r="E8" s="230">
        <v>34388.034220369998</v>
      </c>
      <c r="F8" s="230">
        <v>35835.094864890001</v>
      </c>
      <c r="G8" s="230">
        <v>38429.231797269989</v>
      </c>
      <c r="H8" s="230">
        <v>38432.812298699995</v>
      </c>
      <c r="I8" s="233">
        <f t="shared" si="0"/>
        <v>14.271973954550123</v>
      </c>
      <c r="J8" s="233">
        <f t="shared" si="0"/>
        <v>4.2080353743012919</v>
      </c>
      <c r="K8" s="233">
        <v>7.2390960374480118</v>
      </c>
    </row>
    <row r="9" spans="2:11" x14ac:dyDescent="0.55000000000000004">
      <c r="B9" s="236" t="s">
        <v>121</v>
      </c>
      <c r="C9" s="235" t="s">
        <v>123</v>
      </c>
      <c r="D9" s="230">
        <v>9012.4319075721232</v>
      </c>
      <c r="E9" s="230">
        <v>11189.69778838735</v>
      </c>
      <c r="F9" s="230">
        <v>12274.432980125572</v>
      </c>
      <c r="G9" s="230">
        <v>13619.91520115787</v>
      </c>
      <c r="H9" s="230">
        <v>14230.411778832386</v>
      </c>
      <c r="I9" s="233">
        <f t="shared" si="0"/>
        <v>24.158472464972714</v>
      </c>
      <c r="J9" s="233">
        <f t="shared" si="0"/>
        <v>9.6940526210096447</v>
      </c>
      <c r="K9" s="233">
        <v>10.961664976385199</v>
      </c>
    </row>
    <row r="10" spans="2:11" x14ac:dyDescent="0.55000000000000004">
      <c r="B10" s="236"/>
      <c r="C10" s="235" t="s">
        <v>124</v>
      </c>
      <c r="D10" s="230">
        <v>5519.8790375856588</v>
      </c>
      <c r="E10" s="230">
        <v>6644.6150493303567</v>
      </c>
      <c r="F10" s="230">
        <v>4075.8136779464448</v>
      </c>
      <c r="G10" s="230">
        <v>2639.335258871869</v>
      </c>
      <c r="H10" s="230">
        <v>9258.4593792535179</v>
      </c>
      <c r="I10" s="233">
        <f t="shared" si="0"/>
        <v>20.376098897932486</v>
      </c>
      <c r="J10" s="233">
        <f t="shared" si="0"/>
        <v>-38.6598975608496</v>
      </c>
      <c r="K10" s="233">
        <v>-35.243966789922801</v>
      </c>
    </row>
    <row r="11" spans="2:11" x14ac:dyDescent="0.55000000000000004">
      <c r="B11" s="237"/>
      <c r="C11" s="235" t="s">
        <v>125</v>
      </c>
      <c r="D11" s="230">
        <v>5708.5275902138546</v>
      </c>
      <c r="E11" s="230">
        <v>7257.5848731599999</v>
      </c>
      <c r="F11" s="230">
        <v>10830.033906893454</v>
      </c>
      <c r="G11" s="230">
        <v>14351.228292268555</v>
      </c>
      <c r="H11" s="230">
        <v>14484.112758953384</v>
      </c>
      <c r="I11" s="233">
        <f t="shared" si="0"/>
        <v>27.135846476448648</v>
      </c>
      <c r="J11" s="233">
        <f t="shared" si="0"/>
        <v>49.223661812693152</v>
      </c>
      <c r="K11" s="233">
        <v>32.513235098311341</v>
      </c>
    </row>
    <row r="12" spans="2:11" x14ac:dyDescent="0.55000000000000004">
      <c r="B12" s="238">
        <v>2</v>
      </c>
      <c r="C12" s="232" t="s">
        <v>126</v>
      </c>
      <c r="D12" s="230">
        <v>233581.53607442993</v>
      </c>
      <c r="E12" s="230">
        <v>214238.06391140001</v>
      </c>
      <c r="F12" s="230">
        <v>230745.92703990001</v>
      </c>
      <c r="G12" s="230">
        <v>239468.38781458832</v>
      </c>
      <c r="H12" s="230">
        <v>219154.36410708004</v>
      </c>
      <c r="I12" s="233">
        <f t="shared" si="0"/>
        <v>-8.281250516678762</v>
      </c>
      <c r="J12" s="233">
        <f t="shared" si="0"/>
        <v>7.7053828937358997</v>
      </c>
      <c r="K12" s="233">
        <v>3.7801147290370318</v>
      </c>
    </row>
    <row r="13" spans="2:11" x14ac:dyDescent="0.55000000000000004">
      <c r="B13" s="234" t="s">
        <v>121</v>
      </c>
      <c r="C13" s="235" t="s">
        <v>127</v>
      </c>
      <c r="D13" s="230">
        <v>22655.038604410001</v>
      </c>
      <c r="E13" s="230">
        <v>7943.8719073800003</v>
      </c>
      <c r="F13" s="230">
        <v>6220.7789813500012</v>
      </c>
      <c r="G13" s="230">
        <v>543.92904994000003</v>
      </c>
      <c r="H13" s="230">
        <v>6696.6365313600008</v>
      </c>
      <c r="I13" s="233">
        <f t="shared" si="0"/>
        <v>-64.935518115455096</v>
      </c>
      <c r="J13" s="233">
        <f t="shared" si="0"/>
        <v>-21.690844793572449</v>
      </c>
      <c r="K13" s="233">
        <v>-91.256255019335867</v>
      </c>
    </row>
    <row r="14" spans="2:11" x14ac:dyDescent="0.55000000000000004">
      <c r="B14" s="237"/>
      <c r="C14" s="235" t="s">
        <v>405</v>
      </c>
      <c r="D14" s="230">
        <v>210926.49747001991</v>
      </c>
      <c r="E14" s="230">
        <v>206294.19200402001</v>
      </c>
      <c r="F14" s="230">
        <v>224525.14805855002</v>
      </c>
      <c r="G14" s="230">
        <v>238924.4587646483</v>
      </c>
      <c r="H14" s="230">
        <v>212457.72757572</v>
      </c>
      <c r="I14" s="233">
        <f t="shared" si="0"/>
        <v>-2.1961704771864032</v>
      </c>
      <c r="J14" s="233">
        <f t="shared" si="0"/>
        <v>8.8373578904125214</v>
      </c>
      <c r="K14" s="233">
        <v>6.413228464877041</v>
      </c>
    </row>
    <row r="15" spans="2:11" x14ac:dyDescent="0.55000000000000004">
      <c r="B15" s="239">
        <v>3</v>
      </c>
      <c r="C15" s="232" t="s">
        <v>132</v>
      </c>
      <c r="D15" s="230">
        <v>159022.77745923001</v>
      </c>
      <c r="E15" s="230">
        <v>167092.70765041074</v>
      </c>
      <c r="F15" s="230">
        <v>176660.82006807133</v>
      </c>
      <c r="G15" s="230">
        <v>199756.07724877817</v>
      </c>
      <c r="H15" s="230">
        <v>199637.82166407202</v>
      </c>
      <c r="I15" s="233">
        <f t="shared" si="0"/>
        <v>5.0747008196669698</v>
      </c>
      <c r="J15" s="233">
        <f t="shared" si="0"/>
        <v>5.7262297991357469</v>
      </c>
      <c r="K15" s="233">
        <v>13.073219727955365</v>
      </c>
    </row>
    <row r="16" spans="2:11" x14ac:dyDescent="0.55000000000000004">
      <c r="B16" s="238">
        <v>4</v>
      </c>
      <c r="C16" s="232" t="s">
        <v>406</v>
      </c>
      <c r="D16" s="230">
        <v>37.580378059100006</v>
      </c>
      <c r="E16" s="230">
        <v>27.2048722535</v>
      </c>
      <c r="F16" s="230">
        <v>41.475571649999999</v>
      </c>
      <c r="G16" s="230">
        <v>18.680929859999999</v>
      </c>
      <c r="H16" s="230">
        <v>22.950136510500002</v>
      </c>
      <c r="I16" s="233">
        <f t="shared" si="0"/>
        <v>-27.608838285988451</v>
      </c>
      <c r="J16" s="233">
        <f t="shared" si="0"/>
        <v>52.456410247116771</v>
      </c>
      <c r="K16" s="233">
        <v>-54.959198591298986</v>
      </c>
    </row>
    <row r="17" spans="2:11" x14ac:dyDescent="0.55000000000000004">
      <c r="B17" s="231">
        <v>5</v>
      </c>
      <c r="C17" s="232" t="s">
        <v>407</v>
      </c>
      <c r="D17" s="230">
        <v>42123.340044404024</v>
      </c>
      <c r="E17" s="230">
        <v>46184.922904955893</v>
      </c>
      <c r="F17" s="230">
        <v>56740.194947375036</v>
      </c>
      <c r="G17" s="230">
        <v>61891.99734530635</v>
      </c>
      <c r="H17" s="230">
        <v>68282.366387802045</v>
      </c>
      <c r="I17" s="233">
        <f t="shared" si="0"/>
        <v>9.6421196806102749</v>
      </c>
      <c r="J17" s="233">
        <f t="shared" si="0"/>
        <v>22.85436756956566</v>
      </c>
      <c r="K17" s="233">
        <v>9.079634644733714</v>
      </c>
    </row>
    <row r="18" spans="2:11" x14ac:dyDescent="0.55000000000000004">
      <c r="B18" s="231"/>
      <c r="C18" s="240" t="s">
        <v>408</v>
      </c>
      <c r="D18" s="230">
        <v>11707.879956755312</v>
      </c>
      <c r="E18" s="230">
        <v>18382.941661103156</v>
      </c>
      <c r="F18" s="230">
        <v>21865.185051738459</v>
      </c>
      <c r="G18" s="230">
        <v>24267.393561987275</v>
      </c>
      <c r="H18" s="230">
        <v>28916.292805654233</v>
      </c>
      <c r="I18" s="233">
        <f t="shared" si="0"/>
        <v>57.013410873728766</v>
      </c>
      <c r="J18" s="233">
        <f t="shared" si="0"/>
        <v>18.942797376131885</v>
      </c>
      <c r="K18" s="233">
        <v>10.986454057281447</v>
      </c>
    </row>
    <row r="19" spans="2:11" x14ac:dyDescent="0.55000000000000004">
      <c r="B19" s="238"/>
      <c r="C19" s="240" t="s">
        <v>409</v>
      </c>
      <c r="D19" s="230">
        <v>4726.9839512065701</v>
      </c>
      <c r="E19" s="230">
        <v>6921.2558043132294</v>
      </c>
      <c r="F19" s="230">
        <v>11557.412235955097</v>
      </c>
      <c r="G19" s="230">
        <v>13600.509437759998</v>
      </c>
      <c r="H19" s="230">
        <v>14422.735813993069</v>
      </c>
      <c r="I19" s="233">
        <f t="shared" si="0"/>
        <v>46.420124877863572</v>
      </c>
      <c r="J19" s="233">
        <f t="shared" si="0"/>
        <v>66.984324271798755</v>
      </c>
      <c r="K19" s="233">
        <v>17.677808492880676</v>
      </c>
    </row>
    <row r="20" spans="2:11" x14ac:dyDescent="0.55000000000000004">
      <c r="B20" s="239"/>
      <c r="C20" s="240" t="s">
        <v>410</v>
      </c>
      <c r="D20" s="230">
        <v>25688.476136442114</v>
      </c>
      <c r="E20" s="230">
        <v>20880.725439539492</v>
      </c>
      <c r="F20" s="230">
        <v>23317.59765968148</v>
      </c>
      <c r="G20" s="230">
        <v>24024.094345559079</v>
      </c>
      <c r="H20" s="230">
        <v>24943.337768154746</v>
      </c>
      <c r="I20" s="233">
        <f t="shared" si="0"/>
        <v>-18.715593215287161</v>
      </c>
      <c r="J20" s="233">
        <f t="shared" si="0"/>
        <v>11.670438496966948</v>
      </c>
      <c r="K20" s="233">
        <v>3.0298862523869818</v>
      </c>
    </row>
    <row r="21" spans="2:11" x14ac:dyDescent="0.55000000000000004">
      <c r="B21" s="239">
        <v>6</v>
      </c>
      <c r="C21" s="232" t="s">
        <v>411</v>
      </c>
      <c r="D21" s="230">
        <v>22174.091932785865</v>
      </c>
      <c r="E21" s="230">
        <v>15567.759717259998</v>
      </c>
      <c r="F21" s="230">
        <v>19690.558190714681</v>
      </c>
      <c r="G21" s="230">
        <v>19387.310215629997</v>
      </c>
      <c r="H21" s="230">
        <v>20017.70339698</v>
      </c>
      <c r="I21" s="233">
        <f t="shared" si="0"/>
        <v>-29.793022575855595</v>
      </c>
      <c r="J21" s="233">
        <f t="shared" si="0"/>
        <v>26.482927205535745</v>
      </c>
      <c r="K21" s="233">
        <v>-1.5400679460051192</v>
      </c>
    </row>
    <row r="22" spans="2:11" x14ac:dyDescent="0.55000000000000004">
      <c r="B22" s="241">
        <v>7</v>
      </c>
      <c r="C22" s="232" t="s">
        <v>412</v>
      </c>
      <c r="D22" s="230">
        <v>12377.799630263951</v>
      </c>
      <c r="E22" s="230">
        <v>5191.0866082332604</v>
      </c>
      <c r="F22" s="230">
        <v>6836.5915859254219</v>
      </c>
      <c r="G22" s="230">
        <v>8876.1509414739448</v>
      </c>
      <c r="H22" s="230">
        <v>584.04431437010567</v>
      </c>
      <c r="I22" s="233">
        <f t="shared" si="0"/>
        <v>-58.061313292380689</v>
      </c>
      <c r="J22" s="233">
        <f t="shared" si="0"/>
        <v>31.698661607423929</v>
      </c>
      <c r="K22" s="233">
        <v>29.832985193197594</v>
      </c>
    </row>
    <row r="23" spans="2:11" x14ac:dyDescent="0.55000000000000004">
      <c r="B23" s="242" t="s">
        <v>413</v>
      </c>
      <c r="C23" s="242"/>
      <c r="D23" s="243">
        <v>519651.11203328439</v>
      </c>
      <c r="E23" s="243">
        <v>507781.67759576114</v>
      </c>
      <c r="F23" s="243">
        <v>553730.94283349207</v>
      </c>
      <c r="G23" s="243">
        <v>598438.31504520506</v>
      </c>
      <c r="H23" s="243">
        <v>584105.04622255394</v>
      </c>
      <c r="I23" s="244">
        <f t="shared" si="0"/>
        <v>-2.2841160468377852</v>
      </c>
      <c r="J23" s="244">
        <f t="shared" si="0"/>
        <v>9.0490199361447985</v>
      </c>
      <c r="K23" s="244">
        <v>8.0738439471959467</v>
      </c>
    </row>
    <row r="24" spans="2:11" x14ac:dyDescent="0.55000000000000004">
      <c r="B24" s="245"/>
      <c r="C24" s="246" t="s">
        <v>146</v>
      </c>
      <c r="D24" s="247"/>
      <c r="E24" s="247"/>
      <c r="F24" s="247"/>
      <c r="G24" s="247"/>
      <c r="H24" s="247"/>
      <c r="I24" s="247"/>
      <c r="J24" s="247"/>
      <c r="K24" s="248"/>
    </row>
    <row r="25" spans="2:11" x14ac:dyDescent="0.55000000000000004">
      <c r="B25" s="249">
        <v>1</v>
      </c>
      <c r="C25" s="250" t="s">
        <v>147</v>
      </c>
      <c r="D25" s="230">
        <v>20319.620954951995</v>
      </c>
      <c r="E25" s="230">
        <v>26963.323201224001</v>
      </c>
      <c r="F25" s="230">
        <v>34591.552209273999</v>
      </c>
      <c r="G25" s="230">
        <v>42568.032452293999</v>
      </c>
      <c r="H25" s="230">
        <v>27648.009929674005</v>
      </c>
      <c r="I25" s="233">
        <f t="shared" ref="I25:J40" si="1">IFERROR((E25-D25)/D25*100,0)</f>
        <v>32.695994974516992</v>
      </c>
      <c r="J25" s="233">
        <f t="shared" si="1"/>
        <v>28.291130700475804</v>
      </c>
      <c r="K25" s="233">
        <v>23.059041105653264</v>
      </c>
    </row>
    <row r="26" spans="2:11" x14ac:dyDescent="0.55000000000000004">
      <c r="B26" s="251"/>
      <c r="C26" s="235" t="s">
        <v>148</v>
      </c>
      <c r="D26" s="230">
        <v>371.40727201999982</v>
      </c>
      <c r="E26" s="230">
        <v>494.18287026000007</v>
      </c>
      <c r="F26" s="230">
        <v>424.05680051000002</v>
      </c>
      <c r="G26" s="230">
        <v>325.18782995999993</v>
      </c>
      <c r="H26" s="230">
        <v>298.5467939900002</v>
      </c>
      <c r="I26" s="233">
        <f t="shared" si="1"/>
        <v>33.056864388317344</v>
      </c>
      <c r="J26" s="233">
        <f t="shared" si="1"/>
        <v>-14.190307671551878</v>
      </c>
      <c r="K26" s="233">
        <v>-23.315030069342935</v>
      </c>
    </row>
    <row r="27" spans="2:11" x14ac:dyDescent="0.55000000000000004">
      <c r="B27" s="252"/>
      <c r="C27" s="235" t="s">
        <v>151</v>
      </c>
      <c r="D27" s="230">
        <v>10770.062183620004</v>
      </c>
      <c r="E27" s="230">
        <v>17249.129543209998</v>
      </c>
      <c r="F27" s="230">
        <v>22747.873933989988</v>
      </c>
      <c r="G27" s="230">
        <v>30375.490690319995</v>
      </c>
      <c r="H27" s="230">
        <v>17957.056408750002</v>
      </c>
      <c r="I27" s="233">
        <f t="shared" si="1"/>
        <v>60.158123965559753</v>
      </c>
      <c r="J27" s="233">
        <f t="shared" si="1"/>
        <v>31.878387700697242</v>
      </c>
      <c r="K27" s="233">
        <v>33.531119340927873</v>
      </c>
    </row>
    <row r="28" spans="2:11" x14ac:dyDescent="0.55000000000000004">
      <c r="B28" s="253"/>
      <c r="C28" s="235" t="s">
        <v>156</v>
      </c>
      <c r="D28" s="230">
        <v>9178.1514993119981</v>
      </c>
      <c r="E28" s="230">
        <v>9220.0107877539995</v>
      </c>
      <c r="F28" s="230">
        <v>11419.621474774001</v>
      </c>
      <c r="G28" s="230">
        <v>11867.353932014003</v>
      </c>
      <c r="H28" s="230">
        <v>9392.4067269340012</v>
      </c>
      <c r="I28" s="233">
        <f t="shared" si="1"/>
        <v>0.45607537035250673</v>
      </c>
      <c r="J28" s="233">
        <f t="shared" si="1"/>
        <v>23.856920969566765</v>
      </c>
      <c r="K28" s="233">
        <v>3.9207294062158171</v>
      </c>
    </row>
    <row r="29" spans="2:11" x14ac:dyDescent="0.55000000000000004">
      <c r="B29" s="254">
        <v>2</v>
      </c>
      <c r="C29" s="235" t="s">
        <v>414</v>
      </c>
      <c r="D29" s="230">
        <v>761.6</v>
      </c>
      <c r="E29" s="230">
        <v>1060.3799899999999</v>
      </c>
      <c r="F29" s="230">
        <v>970.04479000000003</v>
      </c>
      <c r="G29" s="230">
        <v>1079.9541017500001</v>
      </c>
      <c r="H29" s="230">
        <v>1129.9540999999999</v>
      </c>
      <c r="I29" s="233">
        <f t="shared" si="1"/>
        <v>39.230565913865526</v>
      </c>
      <c r="J29" s="233">
        <f t="shared" si="1"/>
        <v>-8.519134730182893</v>
      </c>
      <c r="K29" s="233">
        <v>11.330333700364491</v>
      </c>
    </row>
    <row r="30" spans="2:11" x14ac:dyDescent="0.55000000000000004">
      <c r="B30" s="255">
        <v>3</v>
      </c>
      <c r="C30" s="232" t="s">
        <v>160</v>
      </c>
      <c r="D30" s="230">
        <v>5333.8996978600007</v>
      </c>
      <c r="E30" s="230">
        <v>8282.036871190001</v>
      </c>
      <c r="F30" s="230">
        <v>9220.9703106929992</v>
      </c>
      <c r="G30" s="230">
        <v>9419.6924122841574</v>
      </c>
      <c r="H30" s="230">
        <v>9516.047618273733</v>
      </c>
      <c r="I30" s="233">
        <f t="shared" si="1"/>
        <v>55.271702512756548</v>
      </c>
      <c r="J30" s="233">
        <f t="shared" si="1"/>
        <v>11.336986952680494</v>
      </c>
      <c r="K30" s="233">
        <v>2.1551105241138568</v>
      </c>
    </row>
    <row r="31" spans="2:11" x14ac:dyDescent="0.55000000000000004">
      <c r="B31" s="256">
        <v>4</v>
      </c>
      <c r="C31" s="232" t="s">
        <v>415</v>
      </c>
      <c r="D31" s="230">
        <v>449685.75733884494</v>
      </c>
      <c r="E31" s="230">
        <v>432237.44516706147</v>
      </c>
      <c r="F31" s="230">
        <v>455852.59096091927</v>
      </c>
      <c r="G31" s="230">
        <v>489672.82524183585</v>
      </c>
      <c r="H31" s="230">
        <v>490240.19231661793</v>
      </c>
      <c r="I31" s="233">
        <f t="shared" si="1"/>
        <v>-3.8801122532853332</v>
      </c>
      <c r="J31" s="233">
        <f t="shared" si="1"/>
        <v>5.4634659856298349</v>
      </c>
      <c r="K31" s="233">
        <v>7.4191163879588462</v>
      </c>
    </row>
    <row r="32" spans="2:11" x14ac:dyDescent="0.55000000000000004">
      <c r="B32" s="251"/>
      <c r="C32" s="235" t="s">
        <v>416</v>
      </c>
      <c r="D32" s="230">
        <v>90238.857239690013</v>
      </c>
      <c r="E32" s="230">
        <v>72927.510993889999</v>
      </c>
      <c r="F32" s="230">
        <v>59059.544066440001</v>
      </c>
      <c r="G32" s="230">
        <v>48803.870787289983</v>
      </c>
      <c r="H32" s="230">
        <v>46300.360954639997</v>
      </c>
      <c r="I32" s="233">
        <f t="shared" si="1"/>
        <v>-19.183915638268871</v>
      </c>
      <c r="J32" s="233">
        <f t="shared" si="1"/>
        <v>-19.016097955971485</v>
      </c>
      <c r="K32" s="233">
        <v>-17.36497198084146</v>
      </c>
    </row>
    <row r="33" spans="2:11" x14ac:dyDescent="0.55000000000000004">
      <c r="B33" s="253"/>
      <c r="C33" s="235" t="s">
        <v>417</v>
      </c>
      <c r="D33" s="230">
        <v>359446.90009915491</v>
      </c>
      <c r="E33" s="230">
        <v>359309.93417317135</v>
      </c>
      <c r="F33" s="230">
        <v>396793.04689447925</v>
      </c>
      <c r="G33" s="230">
        <v>440868.9544545458</v>
      </c>
      <c r="H33" s="230">
        <v>443939.83136197797</v>
      </c>
      <c r="I33" s="233">
        <f t="shared" si="1"/>
        <v>-3.8104634076904856E-2</v>
      </c>
      <c r="J33" s="233">
        <f t="shared" si="1"/>
        <v>10.431972276959844</v>
      </c>
      <c r="K33" s="233">
        <v>11.108034252371324</v>
      </c>
    </row>
    <row r="34" spans="2:11" x14ac:dyDescent="0.55000000000000004">
      <c r="B34" s="254">
        <v>5</v>
      </c>
      <c r="C34" s="232" t="s">
        <v>168</v>
      </c>
      <c r="D34" s="230">
        <v>3073.0957500523609</v>
      </c>
      <c r="E34" s="230">
        <v>3257.8940043321995</v>
      </c>
      <c r="F34" s="230">
        <v>4149.7813017942017</v>
      </c>
      <c r="G34" s="230">
        <v>4535.0198047151653</v>
      </c>
      <c r="H34" s="230">
        <v>4475.79002798482</v>
      </c>
      <c r="I34" s="233">
        <f t="shared" si="1"/>
        <v>6.0134232484194454</v>
      </c>
      <c r="J34" s="233">
        <f t="shared" si="1"/>
        <v>27.376191376269794</v>
      </c>
      <c r="K34" s="233">
        <v>9.2833447091392962</v>
      </c>
    </row>
    <row r="35" spans="2:11" x14ac:dyDescent="0.55000000000000004">
      <c r="B35" s="255">
        <v>6</v>
      </c>
      <c r="C35" s="232" t="s">
        <v>169</v>
      </c>
      <c r="D35" s="230">
        <v>18136.786196785364</v>
      </c>
      <c r="E35" s="230">
        <v>20077.653100273641</v>
      </c>
      <c r="F35" s="230">
        <v>28487.836570303425</v>
      </c>
      <c r="G35" s="230">
        <v>30296.756689094975</v>
      </c>
      <c r="H35" s="230">
        <v>30704.209550991</v>
      </c>
      <c r="I35" s="233">
        <f t="shared" si="1"/>
        <v>10.701272443914478</v>
      </c>
      <c r="J35" s="233">
        <f t="shared" si="1"/>
        <v>41.888279611301584</v>
      </c>
      <c r="K35" s="233">
        <v>6.3497981474564646</v>
      </c>
    </row>
    <row r="36" spans="2:11" x14ac:dyDescent="0.55000000000000004">
      <c r="B36" s="255">
        <v>7</v>
      </c>
      <c r="C36" s="232" t="s">
        <v>418</v>
      </c>
      <c r="D36" s="230">
        <v>3.3029326500000002</v>
      </c>
      <c r="E36" s="230">
        <v>38.597194720000005</v>
      </c>
      <c r="F36" s="230">
        <v>0.48617063000000005</v>
      </c>
      <c r="G36" s="230">
        <v>1.37836563</v>
      </c>
      <c r="H36" s="230">
        <v>1.3783656300000002</v>
      </c>
      <c r="I36" s="233">
        <f t="shared" si="1"/>
        <v>1068.5734712150427</v>
      </c>
      <c r="J36" s="233">
        <f t="shared" si="1"/>
        <v>-98.740399053540344</v>
      </c>
      <c r="K36" s="233">
        <v>183.51478780196985</v>
      </c>
    </row>
    <row r="37" spans="2:11" x14ac:dyDescent="0.55000000000000004">
      <c r="B37" s="255">
        <v>8</v>
      </c>
      <c r="C37" s="232" t="s">
        <v>419</v>
      </c>
      <c r="D37" s="230">
        <v>1.3357586899999998</v>
      </c>
      <c r="E37" s="230">
        <v>1.3357586899999998</v>
      </c>
      <c r="F37" s="230">
        <v>5.0822246899999994</v>
      </c>
      <c r="G37" s="230">
        <v>6.8822246899999993</v>
      </c>
      <c r="H37" s="230">
        <v>6.93907469</v>
      </c>
      <c r="I37" s="233">
        <f t="shared" si="1"/>
        <v>0</v>
      </c>
      <c r="J37" s="233">
        <f t="shared" si="1"/>
        <v>280.47476150052228</v>
      </c>
      <c r="K37" s="233">
        <v>35.41756041486628</v>
      </c>
    </row>
    <row r="38" spans="2:11" x14ac:dyDescent="0.55000000000000004">
      <c r="B38" s="255">
        <v>9</v>
      </c>
      <c r="C38" s="232" t="s">
        <v>411</v>
      </c>
      <c r="D38" s="230">
        <v>22175.752291289999</v>
      </c>
      <c r="E38" s="230">
        <v>14809.399343779998</v>
      </c>
      <c r="F38" s="230">
        <v>19991.300013459997</v>
      </c>
      <c r="G38" s="230">
        <v>20276.937817999999</v>
      </c>
      <c r="H38" s="230">
        <v>20084.481398309999</v>
      </c>
      <c r="I38" s="233">
        <f t="shared" si="1"/>
        <v>-33.218052090180016</v>
      </c>
      <c r="J38" s="233">
        <f t="shared" si="1"/>
        <v>34.990620141906135</v>
      </c>
      <c r="K38" s="233">
        <v>1.4288105543295515</v>
      </c>
    </row>
    <row r="39" spans="2:11" x14ac:dyDescent="0.55000000000000004">
      <c r="B39" s="255">
        <v>10</v>
      </c>
      <c r="C39" s="232" t="s">
        <v>412</v>
      </c>
      <c r="D39" s="230">
        <v>159.96111695999991</v>
      </c>
      <c r="E39" s="230">
        <v>1053.6129732266099</v>
      </c>
      <c r="F39" s="230">
        <v>461.29827657009969</v>
      </c>
      <c r="G39" s="230">
        <v>580.83591595363725</v>
      </c>
      <c r="H39" s="230">
        <v>298.04385874135107</v>
      </c>
      <c r="I39" s="233">
        <f t="shared" si="1"/>
        <v>558.66817714837396</v>
      </c>
      <c r="J39" s="233">
        <f t="shared" si="1"/>
        <v>-56.217483241744013</v>
      </c>
      <c r="K39" s="233">
        <v>25.913307171303181</v>
      </c>
    </row>
    <row r="40" spans="2:11" x14ac:dyDescent="0.55000000000000004">
      <c r="B40" s="257" t="s">
        <v>413</v>
      </c>
      <c r="C40" s="257"/>
      <c r="D40" s="243">
        <v>519651.11203808466</v>
      </c>
      <c r="E40" s="243">
        <v>507781.67760449782</v>
      </c>
      <c r="F40" s="243">
        <v>553730.94282833382</v>
      </c>
      <c r="G40" s="243">
        <v>598438.31502624776</v>
      </c>
      <c r="H40" s="243">
        <v>584105.04624091287</v>
      </c>
      <c r="I40" s="244">
        <f t="shared" si="1"/>
        <v>-2.2841160460591761</v>
      </c>
      <c r="J40" s="244">
        <f t="shared" si="1"/>
        <v>9.0490199332527066</v>
      </c>
      <c r="K40" s="244">
        <v>8.0738439447791457</v>
      </c>
    </row>
    <row r="41" spans="2:11" x14ac:dyDescent="0.55000000000000004">
      <c r="B41" s="258"/>
      <c r="C41" s="258"/>
      <c r="D41" s="259"/>
      <c r="E41" s="259"/>
      <c r="F41" s="259"/>
      <c r="G41" s="259"/>
      <c r="H41" s="259"/>
      <c r="I41" s="260"/>
      <c r="J41" s="260"/>
      <c r="K41" s="260"/>
    </row>
    <row r="42" spans="2:11" x14ac:dyDescent="0.55000000000000004">
      <c r="C42" s="261" t="s">
        <v>144</v>
      </c>
      <c r="D42" s="262"/>
      <c r="E42" s="262"/>
      <c r="F42" s="262"/>
      <c r="G42" s="262"/>
      <c r="H42" s="262"/>
      <c r="J42" s="262"/>
      <c r="K42" s="262"/>
    </row>
    <row r="43" spans="2:11" x14ac:dyDescent="0.55000000000000004">
      <c r="C43" s="263" t="s">
        <v>345</v>
      </c>
      <c r="D43" s="262"/>
      <c r="E43" s="262"/>
      <c r="F43" s="262"/>
      <c r="G43" s="262"/>
      <c r="H43" s="262"/>
      <c r="J43" s="262"/>
      <c r="K43" s="262"/>
    </row>
    <row r="44" spans="2:11" x14ac:dyDescent="0.55000000000000004">
      <c r="C44" s="264" t="s">
        <v>420</v>
      </c>
      <c r="D44" s="230">
        <v>30522.152256529997</v>
      </c>
      <c r="E44" s="230">
        <v>36965.941766470001</v>
      </c>
      <c r="F44" s="230">
        <v>34341.630302105819</v>
      </c>
      <c r="G44" s="230">
        <v>31513.158365654202</v>
      </c>
      <c r="H44" s="230">
        <v>2613.2906152425362</v>
      </c>
      <c r="I44" s="230">
        <v>21.111848280674856</v>
      </c>
      <c r="J44" s="230">
        <v>-7.0992648908698239</v>
      </c>
      <c r="K44" s="230">
        <v>-91.707305773207125</v>
      </c>
    </row>
    <row r="45" spans="2:11" x14ac:dyDescent="0.55000000000000004">
      <c r="C45" s="265" t="s">
        <v>181</v>
      </c>
      <c r="D45" s="230">
        <v>10282.376176619999</v>
      </c>
      <c r="E45" s="230">
        <v>12474.195028860004</v>
      </c>
      <c r="F45" s="230">
        <v>13547.608529640007</v>
      </c>
      <c r="G45" s="230">
        <v>15337.35860467</v>
      </c>
      <c r="H45" s="230">
        <v>1397.0539486900002</v>
      </c>
      <c r="I45" s="230">
        <v>21.316267899473946</v>
      </c>
      <c r="J45" s="230">
        <v>8.6050722976238472</v>
      </c>
      <c r="K45" s="230">
        <v>-90.891196398858753</v>
      </c>
    </row>
    <row r="46" spans="2:11" x14ac:dyDescent="0.55000000000000004">
      <c r="C46" s="265" t="s">
        <v>421</v>
      </c>
      <c r="D46" s="230">
        <v>20239.77607991</v>
      </c>
      <c r="E46" s="230">
        <v>24491.746737609988</v>
      </c>
      <c r="F46" s="230">
        <v>20794.021772465796</v>
      </c>
      <c r="G46" s="230">
        <v>16175.799760984199</v>
      </c>
      <c r="H46" s="230">
        <v>1216.2366665525374</v>
      </c>
      <c r="I46" s="230">
        <v>21.007992583082451</v>
      </c>
      <c r="J46" s="230">
        <v>-15.097840937028376</v>
      </c>
      <c r="K46" s="230">
        <v>-92.481113762534164</v>
      </c>
    </row>
    <row r="47" spans="2:11" x14ac:dyDescent="0.55000000000000004">
      <c r="C47" s="264" t="s">
        <v>422</v>
      </c>
      <c r="D47" s="230">
        <v>19.981650199999997</v>
      </c>
      <c r="E47" s="230">
        <v>44.78257516</v>
      </c>
      <c r="F47" s="230">
        <v>14.980845720000001</v>
      </c>
      <c r="G47" s="230">
        <v>25.028027280000003</v>
      </c>
      <c r="H47" s="230">
        <v>0.23665024999999998</v>
      </c>
      <c r="I47" s="230">
        <v>124.11850228466119</v>
      </c>
      <c r="J47" s="230">
        <v>-66.547601011160779</v>
      </c>
      <c r="K47" s="230">
        <v>-99.041150619256911</v>
      </c>
    </row>
    <row r="48" spans="2:11" x14ac:dyDescent="0.55000000000000004">
      <c r="C48" s="264" t="s">
        <v>423</v>
      </c>
      <c r="D48" s="230">
        <v>11857.162195293684</v>
      </c>
      <c r="E48" s="230">
        <v>12689.112719500294</v>
      </c>
      <c r="F48" s="230">
        <v>12584.127025390046</v>
      </c>
      <c r="G48" s="230">
        <v>14087.891148604816</v>
      </c>
      <c r="H48" s="230">
        <v>1161.5423340264745</v>
      </c>
      <c r="I48" s="230">
        <v>7.0164387608430081</v>
      </c>
      <c r="J48" s="230">
        <v>-0.82736828359093029</v>
      </c>
      <c r="K48" s="230">
        <v>-91.755046355415885</v>
      </c>
    </row>
    <row r="49" spans="3:11" x14ac:dyDescent="0.55000000000000004">
      <c r="C49" s="264" t="s">
        <v>424</v>
      </c>
      <c r="D49" s="230">
        <v>4357.8270836267402</v>
      </c>
      <c r="E49" s="230">
        <v>4650.552970660251</v>
      </c>
      <c r="F49" s="230">
        <v>4244.976391582175</v>
      </c>
      <c r="G49" s="230">
        <v>4682.8176681885434</v>
      </c>
      <c r="H49" s="230">
        <v>332.7072740700342</v>
      </c>
      <c r="I49" s="230">
        <v>6.717244200288321</v>
      </c>
      <c r="J49" s="230">
        <v>-8.7210398771244471</v>
      </c>
      <c r="K49" s="230">
        <v>-92.895093127645296</v>
      </c>
    </row>
    <row r="50" spans="3:11" x14ac:dyDescent="0.55000000000000004">
      <c r="C50" s="264" t="s">
        <v>425</v>
      </c>
      <c r="D50" s="230">
        <v>19.585328789999998</v>
      </c>
      <c r="E50" s="230">
        <v>14.22381704</v>
      </c>
      <c r="F50" s="230">
        <v>64.320863189999884</v>
      </c>
      <c r="G50" s="230">
        <v>48.221833541079739</v>
      </c>
      <c r="H50" s="230">
        <v>8.9098999999999998E-2</v>
      </c>
      <c r="I50" s="230">
        <v>-27.375142932180509</v>
      </c>
      <c r="J50" s="230">
        <v>352.20536097390556</v>
      </c>
      <c r="K50" s="230">
        <v>-99.813355454168402</v>
      </c>
    </row>
    <row r="51" spans="3:11" x14ac:dyDescent="0.55000000000000004">
      <c r="C51" s="266" t="s">
        <v>426</v>
      </c>
      <c r="D51" s="230">
        <v>5527.1587971726276</v>
      </c>
      <c r="E51" s="230">
        <v>25658.450102625156</v>
      </c>
      <c r="F51" s="230">
        <v>26976.069633933403</v>
      </c>
      <c r="G51" s="230">
        <v>26314.864627398667</v>
      </c>
      <c r="H51" s="230">
        <v>2278.6222507151497</v>
      </c>
      <c r="I51" s="230">
        <v>364.22494891499269</v>
      </c>
      <c r="J51" s="230">
        <v>5.1352265083752604</v>
      </c>
      <c r="K51" s="230">
        <v>-91.340938161935881</v>
      </c>
    </row>
    <row r="52" spans="3:11" x14ac:dyDescent="0.55000000000000004">
      <c r="C52" s="267" t="s">
        <v>427</v>
      </c>
      <c r="D52" s="230">
        <v>5506.3830931326274</v>
      </c>
      <c r="E52" s="230">
        <v>25554.30955334516</v>
      </c>
      <c r="F52" s="230">
        <v>26943.403054853407</v>
      </c>
      <c r="G52" s="230">
        <v>26270.686218989664</v>
      </c>
      <c r="H52" s="230">
        <v>2276.0246171151498</v>
      </c>
      <c r="I52" s="230">
        <v>364.08521022112723</v>
      </c>
      <c r="J52" s="230">
        <v>5.4358483002973923</v>
      </c>
      <c r="K52" s="230">
        <v>-91.336276283569262</v>
      </c>
    </row>
    <row r="53" spans="3:11" x14ac:dyDescent="0.55000000000000004">
      <c r="C53" s="268" t="s">
        <v>428</v>
      </c>
      <c r="D53" s="230">
        <v>1984.9815402498662</v>
      </c>
      <c r="E53" s="230">
        <v>12789.879714207947</v>
      </c>
      <c r="F53" s="230">
        <v>6293.3966589922602</v>
      </c>
      <c r="G53" s="230">
        <v>3204.7445970475596</v>
      </c>
      <c r="H53" s="230">
        <v>381.70478294452482</v>
      </c>
      <c r="I53" s="230">
        <v>544.33242601329073</v>
      </c>
      <c r="J53" s="230">
        <v>-50.793933957009088</v>
      </c>
      <c r="K53" s="230">
        <v>-88.089517402347781</v>
      </c>
    </row>
    <row r="54" spans="3:11" x14ac:dyDescent="0.55000000000000004">
      <c r="C54" s="268" t="s">
        <v>429</v>
      </c>
      <c r="D54" s="230">
        <v>2839.6785266602501</v>
      </c>
      <c r="E54" s="230">
        <v>11890.567328178749</v>
      </c>
      <c r="F54" s="230">
        <v>17772.907079917739</v>
      </c>
      <c r="G54" s="230">
        <v>20698.79619481734</v>
      </c>
      <c r="H54" s="230">
        <v>1690.2921025106245</v>
      </c>
      <c r="I54" s="230">
        <v>318.7293461757892</v>
      </c>
      <c r="J54" s="230">
        <v>49.470639956756159</v>
      </c>
      <c r="K54" s="230">
        <v>-91.833874427503034</v>
      </c>
    </row>
    <row r="55" spans="3:11" x14ac:dyDescent="0.55000000000000004">
      <c r="C55" s="268" t="s">
        <v>430</v>
      </c>
      <c r="D55" s="230">
        <v>681.72302622251186</v>
      </c>
      <c r="E55" s="230">
        <v>1079.2071099184725</v>
      </c>
      <c r="F55" s="230">
        <v>2877.0993159434015</v>
      </c>
      <c r="G55" s="230">
        <v>2367.145427124764</v>
      </c>
      <c r="H55" s="230">
        <v>204.02773166000043</v>
      </c>
      <c r="I55" s="230">
        <v>58.305802856396895</v>
      </c>
      <c r="J55" s="230">
        <v>166.59380664761824</v>
      </c>
      <c r="K55" s="230">
        <v>-91.380774348900573</v>
      </c>
    </row>
    <row r="56" spans="3:11" x14ac:dyDescent="0.55000000000000004">
      <c r="C56" s="267" t="s">
        <v>431</v>
      </c>
      <c r="D56" s="230">
        <v>0</v>
      </c>
      <c r="E56" s="230">
        <v>0</v>
      </c>
      <c r="F56" s="230">
        <v>0</v>
      </c>
      <c r="G56" s="230">
        <v>0</v>
      </c>
      <c r="H56" s="230">
        <v>0</v>
      </c>
      <c r="I56" s="230">
        <v>0</v>
      </c>
      <c r="J56" s="230">
        <v>0</v>
      </c>
      <c r="K56" s="230">
        <v>0</v>
      </c>
    </row>
    <row r="57" spans="3:11" x14ac:dyDescent="0.55000000000000004">
      <c r="C57" s="267" t="s">
        <v>432</v>
      </c>
      <c r="D57" s="230">
        <v>1.1770309999999999</v>
      </c>
      <c r="E57" s="230">
        <v>0</v>
      </c>
      <c r="F57" s="230">
        <v>0</v>
      </c>
      <c r="G57" s="230">
        <v>0</v>
      </c>
      <c r="H57" s="230">
        <v>0</v>
      </c>
      <c r="I57" s="230">
        <v>-100</v>
      </c>
      <c r="J57" s="230">
        <v>0</v>
      </c>
      <c r="K57" s="230">
        <v>0</v>
      </c>
    </row>
    <row r="58" spans="3:11" x14ac:dyDescent="0.55000000000000004">
      <c r="C58" s="267" t="s">
        <v>433</v>
      </c>
      <c r="D58" s="230">
        <v>19.598673040000001</v>
      </c>
      <c r="E58" s="230">
        <v>104.14054928</v>
      </c>
      <c r="F58" s="230">
        <v>32.666579080000005</v>
      </c>
      <c r="G58" s="230">
        <v>44.178408408999999</v>
      </c>
      <c r="H58" s="230">
        <v>2.5976336</v>
      </c>
      <c r="I58" s="230">
        <v>431.36530757696636</v>
      </c>
      <c r="J58" s="230">
        <v>-68.632219336417918</v>
      </c>
      <c r="K58" s="230">
        <v>-94.114984155726574</v>
      </c>
    </row>
    <row r="59" spans="3:11" x14ac:dyDescent="0.55000000000000004">
      <c r="C59" s="264" t="s">
        <v>434</v>
      </c>
      <c r="D59" s="230">
        <v>34.905572659999997</v>
      </c>
      <c r="E59" s="230">
        <v>123.17281842000001</v>
      </c>
      <c r="F59" s="230">
        <v>154.69701822000002</v>
      </c>
      <c r="G59" s="230">
        <v>41.365426529999993</v>
      </c>
      <c r="H59" s="230">
        <v>0</v>
      </c>
      <c r="I59" s="230">
        <v>252.87436656539879</v>
      </c>
      <c r="J59" s="230">
        <v>25.593471193057727</v>
      </c>
      <c r="K59" s="230">
        <v>-100</v>
      </c>
    </row>
    <row r="60" spans="3:11" x14ac:dyDescent="0.55000000000000004">
      <c r="C60" s="264" t="s">
        <v>435</v>
      </c>
      <c r="D60" s="230">
        <v>18.08405226</v>
      </c>
      <c r="E60" s="230">
        <v>0.11508700000000001</v>
      </c>
      <c r="F60" s="230">
        <v>1.0011288600000001</v>
      </c>
      <c r="G60" s="230">
        <v>0.42050868000000002</v>
      </c>
      <c r="H60" s="230">
        <v>0</v>
      </c>
      <c r="I60" s="230">
        <v>-99.363599494486309</v>
      </c>
      <c r="J60" s="230">
        <v>769.88874503636384</v>
      </c>
      <c r="K60" s="230">
        <v>-100</v>
      </c>
    </row>
    <row r="61" spans="3:11" x14ac:dyDescent="0.55000000000000004">
      <c r="C61" s="264" t="s">
        <v>436</v>
      </c>
      <c r="D61" s="230">
        <v>1955.1274707561836</v>
      </c>
      <c r="E61" s="230">
        <v>779.4031194024966</v>
      </c>
      <c r="F61" s="230">
        <v>1003.7533700452013</v>
      </c>
      <c r="G61" s="230">
        <v>1354.2805764226678</v>
      </c>
      <c r="H61" s="230">
        <v>85.306648840698244</v>
      </c>
      <c r="I61" s="230">
        <v>-60.135432033950842</v>
      </c>
      <c r="J61" s="230">
        <v>28.784879744219573</v>
      </c>
      <c r="K61" s="230">
        <v>-93.700711817349443</v>
      </c>
    </row>
    <row r="62" spans="3:11" x14ac:dyDescent="0.55000000000000004">
      <c r="C62" s="264" t="s">
        <v>437</v>
      </c>
      <c r="D62" s="230">
        <v>5462.4250288657495</v>
      </c>
      <c r="E62" s="230">
        <v>2486.0876784097118</v>
      </c>
      <c r="F62" s="230">
        <v>2992.4734852861902</v>
      </c>
      <c r="G62" s="230">
        <v>4522.8986033369447</v>
      </c>
      <c r="H62" s="230">
        <v>240.89256998874717</v>
      </c>
      <c r="I62" s="230">
        <v>-54.487472774963877</v>
      </c>
      <c r="J62" s="230">
        <v>20.368783099411878</v>
      </c>
      <c r="K62" s="230">
        <v>-94.673992350040891</v>
      </c>
    </row>
    <row r="63" spans="3:11" x14ac:dyDescent="0.55000000000000004">
      <c r="C63" s="264" t="s">
        <v>438</v>
      </c>
      <c r="D63" s="230">
        <v>12376.255483476953</v>
      </c>
      <c r="E63" s="230">
        <v>4783.0942958189507</v>
      </c>
      <c r="F63" s="230">
        <v>6717.4217340446221</v>
      </c>
      <c r="G63" s="230">
        <v>8931.2837313003074</v>
      </c>
      <c r="H63" s="230">
        <v>584.04431280010567</v>
      </c>
      <c r="I63" s="230">
        <v>-61.352653860413028</v>
      </c>
      <c r="J63" s="230">
        <v>40.440922101755895</v>
      </c>
      <c r="K63" s="230">
        <v>-93.46073575120252</v>
      </c>
    </row>
    <row r="64" spans="3:11" x14ac:dyDescent="0.55000000000000004">
      <c r="C64" s="264" t="s">
        <v>213</v>
      </c>
      <c r="D64" s="243">
        <v>72150.664919631934</v>
      </c>
      <c r="E64" s="243">
        <v>87444.398333286881</v>
      </c>
      <c r="F64" s="243">
        <v>89095.451798377413</v>
      </c>
      <c r="G64" s="243">
        <v>91522.230516937198</v>
      </c>
      <c r="H64" s="243">
        <v>7296.7317549337458</v>
      </c>
      <c r="I64" s="243">
        <v>21.1969403617978</v>
      </c>
      <c r="J64" s="243">
        <v>1.8881180459355238</v>
      </c>
      <c r="K64" s="243">
        <v>-92.027368651310184</v>
      </c>
    </row>
    <row r="65" spans="3:11" x14ac:dyDescent="0.55000000000000004">
      <c r="C65" s="269" t="s">
        <v>214</v>
      </c>
      <c r="D65" s="230"/>
      <c r="E65" s="230"/>
      <c r="F65" s="230"/>
      <c r="G65" s="230"/>
      <c r="H65" s="230"/>
      <c r="I65" s="230"/>
      <c r="J65" s="230"/>
      <c r="K65" s="230"/>
    </row>
    <row r="66" spans="3:11" x14ac:dyDescent="0.55000000000000004">
      <c r="C66" s="264" t="s">
        <v>439</v>
      </c>
      <c r="D66" s="230">
        <v>59984.887754385236</v>
      </c>
      <c r="E66" s="230">
        <v>61707.431912098975</v>
      </c>
      <c r="F66" s="230">
        <v>58835.768946298107</v>
      </c>
      <c r="G66" s="230">
        <v>62790.562440910515</v>
      </c>
      <c r="H66" s="230">
        <v>5134.1829532313186</v>
      </c>
      <c r="I66" s="230">
        <v>2.8716302092068369</v>
      </c>
      <c r="J66" s="230">
        <v>-4.6536744064985491</v>
      </c>
      <c r="K66" s="230">
        <v>-91.823325034846007</v>
      </c>
    </row>
    <row r="67" spans="3:11" x14ac:dyDescent="0.55000000000000004">
      <c r="C67" s="265" t="s">
        <v>373</v>
      </c>
      <c r="D67" s="230">
        <v>58457.09762344999</v>
      </c>
      <c r="E67" s="230">
        <v>59841.555411411704</v>
      </c>
      <c r="F67" s="230">
        <v>56912.458839458093</v>
      </c>
      <c r="G67" s="230">
        <v>61577.652927510942</v>
      </c>
      <c r="H67" s="230">
        <v>5069.4695027328935</v>
      </c>
      <c r="I67" s="230">
        <v>2.3683313818959428</v>
      </c>
      <c r="J67" s="230">
        <v>-4.8947534064180358</v>
      </c>
      <c r="K67" s="230">
        <v>-91.767353901943324</v>
      </c>
    </row>
    <row r="68" spans="3:11" x14ac:dyDescent="0.55000000000000004">
      <c r="C68" s="265" t="s">
        <v>374</v>
      </c>
      <c r="D68" s="230">
        <v>34.939623259999998</v>
      </c>
      <c r="E68" s="230">
        <v>72.421221899999992</v>
      </c>
      <c r="F68" s="230">
        <v>59.069037039999998</v>
      </c>
      <c r="G68" s="230">
        <v>39.724030049999996</v>
      </c>
      <c r="H68" s="230">
        <v>3.44422775</v>
      </c>
      <c r="I68" s="230">
        <v>107.27533711821711</v>
      </c>
      <c r="J68" s="230">
        <v>-18.436840072150172</v>
      </c>
      <c r="K68" s="230">
        <v>-91.339375629405851</v>
      </c>
    </row>
    <row r="69" spans="3:11" x14ac:dyDescent="0.55000000000000004">
      <c r="C69" s="265" t="s">
        <v>224</v>
      </c>
      <c r="D69" s="230">
        <v>1492.8505076752356</v>
      </c>
      <c r="E69" s="230">
        <v>1793.4552787872883</v>
      </c>
      <c r="F69" s="230">
        <v>1864.2410698000003</v>
      </c>
      <c r="G69" s="230">
        <v>1173.1854833495745</v>
      </c>
      <c r="H69" s="230">
        <v>61.269222748425051</v>
      </c>
      <c r="I69" s="230">
        <v>20.1362942616521</v>
      </c>
      <c r="J69" s="230">
        <v>3.94689468145403</v>
      </c>
      <c r="K69" s="230">
        <v>-94.777487022562411</v>
      </c>
    </row>
    <row r="70" spans="3:11" x14ac:dyDescent="0.55000000000000004">
      <c r="C70" s="264" t="s">
        <v>440</v>
      </c>
      <c r="D70" s="230">
        <v>1442.4499250299968</v>
      </c>
      <c r="E70" s="230">
        <v>617.96062916999995</v>
      </c>
      <c r="F70" s="230">
        <v>762.10415845000057</v>
      </c>
      <c r="G70" s="230">
        <v>1282.1884401</v>
      </c>
      <c r="H70" s="230">
        <v>126.77738777999997</v>
      </c>
      <c r="I70" s="230">
        <v>-57.158954467195876</v>
      </c>
      <c r="J70" s="230">
        <v>23.325681681955011</v>
      </c>
      <c r="K70" s="230">
        <v>-90.112229856729513</v>
      </c>
    </row>
    <row r="71" spans="3:11" x14ac:dyDescent="0.55000000000000004">
      <c r="C71" s="265" t="s">
        <v>226</v>
      </c>
      <c r="D71" s="230">
        <v>3.4371170000000006E-2</v>
      </c>
      <c r="E71" s="230">
        <v>3.9873735999999997</v>
      </c>
      <c r="F71" s="230">
        <v>0.11834517</v>
      </c>
      <c r="G71" s="230">
        <v>16.61469</v>
      </c>
      <c r="H71" s="230">
        <v>0</v>
      </c>
      <c r="I71" s="230">
        <v>11500.924844862711</v>
      </c>
      <c r="J71" s="230">
        <v>-97.032001967410338</v>
      </c>
      <c r="K71" s="230">
        <v>-100</v>
      </c>
    </row>
    <row r="72" spans="3:11" x14ac:dyDescent="0.55000000000000004">
      <c r="C72" s="265" t="s">
        <v>227</v>
      </c>
      <c r="D72" s="230">
        <v>746.95942490999994</v>
      </c>
      <c r="E72" s="230">
        <v>477.76000838000016</v>
      </c>
      <c r="F72" s="230">
        <v>525.45522377000009</v>
      </c>
      <c r="G72" s="230">
        <v>793.26309890000005</v>
      </c>
      <c r="H72" s="230">
        <v>102.79651223000002</v>
      </c>
      <c r="I72" s="230">
        <v>-36.039362722069576</v>
      </c>
      <c r="J72" s="230">
        <v>9.9830907889770817</v>
      </c>
      <c r="K72" s="230">
        <v>-87.040818899225982</v>
      </c>
    </row>
    <row r="73" spans="3:11" x14ac:dyDescent="0.55000000000000004">
      <c r="C73" s="265" t="s">
        <v>228</v>
      </c>
      <c r="D73" s="230">
        <v>695.45612894999681</v>
      </c>
      <c r="E73" s="230">
        <v>136.21324719</v>
      </c>
      <c r="F73" s="230">
        <v>236.53058951</v>
      </c>
      <c r="G73" s="230">
        <v>472.31065119999994</v>
      </c>
      <c r="H73" s="230">
        <v>23.980875549999997</v>
      </c>
      <c r="I73" s="230">
        <v>-80.413826045985758</v>
      </c>
      <c r="J73" s="230">
        <v>73.647273220107706</v>
      </c>
      <c r="K73" s="230">
        <v>-94.922826109970146</v>
      </c>
    </row>
    <row r="74" spans="3:11" x14ac:dyDescent="0.55000000000000004">
      <c r="C74" s="264" t="s">
        <v>441</v>
      </c>
      <c r="D74" s="230">
        <v>5494.6508484650003</v>
      </c>
      <c r="E74" s="230">
        <v>3971.0780406499998</v>
      </c>
      <c r="F74" s="230">
        <v>4275.0319050200005</v>
      </c>
      <c r="G74" s="230">
        <v>4294.0805552832653</v>
      </c>
      <c r="H74" s="230">
        <v>193.91655864926656</v>
      </c>
      <c r="I74" s="230">
        <v>-27.728291566344559</v>
      </c>
      <c r="J74" s="230">
        <v>7.6541901533682397</v>
      </c>
      <c r="K74" s="230">
        <v>-95.484015202325068</v>
      </c>
    </row>
    <row r="75" spans="3:11" x14ac:dyDescent="0.55000000000000004">
      <c r="C75" s="264" t="s">
        <v>442</v>
      </c>
      <c r="D75" s="230">
        <v>446.26673801489625</v>
      </c>
      <c r="E75" s="230">
        <v>157.53254789049998</v>
      </c>
      <c r="F75" s="230">
        <v>145.78774540059999</v>
      </c>
      <c r="G75" s="230">
        <v>129.68476568466085</v>
      </c>
      <c r="H75" s="230">
        <v>8.5926396102000009</v>
      </c>
      <c r="I75" s="230">
        <v>-64.699912749212871</v>
      </c>
      <c r="J75" s="230">
        <v>-7.4554767552313983</v>
      </c>
      <c r="K75" s="230">
        <v>-93.376002467612579</v>
      </c>
    </row>
    <row r="76" spans="3:11" x14ac:dyDescent="0.55000000000000004">
      <c r="C76" s="264" t="s">
        <v>443</v>
      </c>
      <c r="D76" s="230">
        <v>4554.5541323196512</v>
      </c>
      <c r="E76" s="230">
        <v>21199.710870368195</v>
      </c>
      <c r="F76" s="230">
        <v>24598.97340669945</v>
      </c>
      <c r="G76" s="230">
        <v>22381.456038323046</v>
      </c>
      <c r="H76" s="230">
        <v>1534.134824086588</v>
      </c>
      <c r="I76" s="230">
        <v>365.46182687636872</v>
      </c>
      <c r="J76" s="230">
        <v>16.034475928077676</v>
      </c>
      <c r="K76" s="230">
        <v>-93.145532060911123</v>
      </c>
    </row>
    <row r="77" spans="3:11" x14ac:dyDescent="0.55000000000000004">
      <c r="C77" s="264" t="s">
        <v>444</v>
      </c>
      <c r="D77" s="230">
        <v>6.1607132299999998</v>
      </c>
      <c r="E77" s="230">
        <v>4.3160718500000002</v>
      </c>
      <c r="F77" s="230">
        <v>17.270325920000005</v>
      </c>
      <c r="G77" s="230">
        <v>17.00551767</v>
      </c>
      <c r="H77" s="230">
        <v>1.08352841</v>
      </c>
      <c r="I77" s="230">
        <v>-29.942010139627932</v>
      </c>
      <c r="J77" s="230">
        <v>300.13990777285147</v>
      </c>
      <c r="K77" s="230">
        <v>-93.650793650793659</v>
      </c>
    </row>
    <row r="78" spans="3:11" x14ac:dyDescent="0.55000000000000004">
      <c r="C78" s="264" t="s">
        <v>445</v>
      </c>
      <c r="D78" s="230">
        <v>63.277833429999994</v>
      </c>
      <c r="E78" s="230">
        <v>112.51453857000007</v>
      </c>
      <c r="F78" s="230">
        <v>118.38687806</v>
      </c>
      <c r="G78" s="230">
        <v>78.716431299999996</v>
      </c>
      <c r="H78" s="230">
        <v>0</v>
      </c>
      <c r="I78" s="230">
        <v>77.8103523320964</v>
      </c>
      <c r="J78" s="230">
        <v>5.2191828403993314</v>
      </c>
      <c r="K78" s="230">
        <v>-100</v>
      </c>
    </row>
    <row r="79" spans="3:11" x14ac:dyDescent="0.55000000000000004">
      <c r="C79" s="264" t="s">
        <v>446</v>
      </c>
      <c r="D79" s="230">
        <v>158.41696812999999</v>
      </c>
      <c r="E79" s="230">
        <v>645.6206563167998</v>
      </c>
      <c r="F79" s="230">
        <v>342.12842343930015</v>
      </c>
      <c r="G79" s="230">
        <v>548.53632402000062</v>
      </c>
      <c r="H79" s="230">
        <v>298.56583874135106</v>
      </c>
      <c r="I79" s="230">
        <v>307.54514111581227</v>
      </c>
      <c r="J79" s="230">
        <v>-47.007825711291822</v>
      </c>
      <c r="K79" s="230">
        <v>-45.570058701279756</v>
      </c>
    </row>
    <row r="80" spans="3:11" x14ac:dyDescent="0.55000000000000004">
      <c r="C80" s="264" t="s">
        <v>238</v>
      </c>
      <c r="D80" s="243">
        <v>72150.664913004788</v>
      </c>
      <c r="E80" s="243">
        <v>88416.165266914497</v>
      </c>
      <c r="F80" s="243">
        <v>89095.451789287443</v>
      </c>
      <c r="G80" s="243">
        <v>91522.230513291492</v>
      </c>
      <c r="H80" s="243">
        <v>7297.2537305087217</v>
      </c>
      <c r="I80" s="243">
        <v>22.543798277565056</v>
      </c>
      <c r="J80" s="243">
        <v>0.76828317573182092</v>
      </c>
      <c r="K80" s="243">
        <v>-92.026800483336132</v>
      </c>
    </row>
    <row r="81" spans="3:11" x14ac:dyDescent="0.55000000000000004">
      <c r="C81" s="269" t="s">
        <v>447</v>
      </c>
      <c r="D81" s="230"/>
      <c r="E81" s="230"/>
      <c r="F81" s="230"/>
      <c r="G81" s="230"/>
      <c r="H81" s="230"/>
      <c r="I81" s="230"/>
      <c r="J81" s="230"/>
      <c r="K81" s="230"/>
    </row>
    <row r="82" spans="3:11" x14ac:dyDescent="0.55000000000000004">
      <c r="C82" s="264" t="s">
        <v>448</v>
      </c>
      <c r="D82" s="270">
        <v>23303</v>
      </c>
      <c r="E82" s="270">
        <v>22493</v>
      </c>
      <c r="F82" s="270">
        <v>21727</v>
      </c>
      <c r="G82" s="270">
        <v>21717</v>
      </c>
      <c r="H82" s="270">
        <v>21817</v>
      </c>
      <c r="I82" s="230">
        <v>-3.4759473029223704</v>
      </c>
      <c r="J82" s="230">
        <v>-3.4055039345574176</v>
      </c>
      <c r="K82" s="230">
        <v>0.46046875719482433</v>
      </c>
    </row>
    <row r="83" spans="3:11" x14ac:dyDescent="0.55000000000000004">
      <c r="C83" s="264" t="s">
        <v>449</v>
      </c>
      <c r="D83" s="270">
        <v>5135</v>
      </c>
      <c r="E83" s="270">
        <v>5128</v>
      </c>
      <c r="F83" s="270">
        <v>5051</v>
      </c>
      <c r="G83" s="270">
        <v>5004</v>
      </c>
      <c r="H83" s="270">
        <v>5002</v>
      </c>
      <c r="I83" s="230">
        <v>-0.13631937682570594</v>
      </c>
      <c r="J83" s="230">
        <v>-1.5015600624024961</v>
      </c>
      <c r="K83" s="230">
        <v>-3.9968025579536368E-2</v>
      </c>
    </row>
    <row r="84" spans="3:11" x14ac:dyDescent="0.55000000000000004">
      <c r="C84" s="264" t="s">
        <v>450</v>
      </c>
      <c r="D84" s="230">
        <v>428783.2</v>
      </c>
      <c r="E84" s="230">
        <v>445666.2</v>
      </c>
      <c r="F84" s="230">
        <v>459319</v>
      </c>
      <c r="G84" s="230">
        <v>473465</v>
      </c>
      <c r="H84" s="230">
        <v>468650</v>
      </c>
      <c r="I84" s="230">
        <v>3.9374210556756886</v>
      </c>
      <c r="J84" s="230">
        <v>3.063458705192359</v>
      </c>
      <c r="K84" s="230">
        <v>-1.0169706314088687</v>
      </c>
    </row>
    <row r="85" spans="3:11" x14ac:dyDescent="0.55000000000000004">
      <c r="C85" s="264" t="s">
        <v>451</v>
      </c>
      <c r="D85" s="230">
        <v>1351729</v>
      </c>
      <c r="E85" s="230">
        <v>1390718.2000000002</v>
      </c>
      <c r="F85" s="230">
        <v>1415757.4</v>
      </c>
      <c r="G85" s="230">
        <v>1478427</v>
      </c>
      <c r="H85" s="230">
        <v>1479872</v>
      </c>
      <c r="I85" s="230">
        <v>2.8843947270495924</v>
      </c>
      <c r="J85" s="230">
        <v>1.8004510187613647</v>
      </c>
      <c r="K85" s="230">
        <v>9.7739015859423559E-2</v>
      </c>
    </row>
    <row r="86" spans="3:11" x14ac:dyDescent="0.55000000000000004">
      <c r="C86" s="264" t="s">
        <v>452</v>
      </c>
      <c r="D86" s="230">
        <v>16159</v>
      </c>
      <c r="E86" s="230">
        <v>19042.8</v>
      </c>
      <c r="F86" s="230">
        <v>19857</v>
      </c>
      <c r="G86" s="230">
        <v>38277</v>
      </c>
      <c r="H86" s="230">
        <v>38252</v>
      </c>
      <c r="I86" s="230">
        <v>17.84640138622439</v>
      </c>
      <c r="J86" s="230">
        <v>4.2756317348289157</v>
      </c>
      <c r="K86" s="230">
        <v>-6.5313373566371444E-2</v>
      </c>
    </row>
    <row r="87" spans="3:11" x14ac:dyDescent="0.55000000000000004">
      <c r="C87" s="264" t="s">
        <v>453</v>
      </c>
      <c r="D87" s="230">
        <v>5859530</v>
      </c>
      <c r="E87" s="230">
        <v>6016100.9289611196</v>
      </c>
      <c r="F87" s="230">
        <v>5995358</v>
      </c>
      <c r="G87" s="230">
        <v>6221295</v>
      </c>
      <c r="H87" s="230">
        <v>6240157</v>
      </c>
      <c r="I87" s="230">
        <v>2.6720731690275437</v>
      </c>
      <c r="J87" s="230">
        <v>-0.34479024215276211</v>
      </c>
      <c r="K87" s="230">
        <v>0.30318446561367046</v>
      </c>
    </row>
    <row r="88" spans="3:11" x14ac:dyDescent="0.55000000000000004">
      <c r="C88" s="264" t="s">
        <v>454</v>
      </c>
      <c r="D88" s="230">
        <v>438040.31299999997</v>
      </c>
      <c r="E88" s="230">
        <v>528081.81299999997</v>
      </c>
      <c r="F88" s="230">
        <v>534348</v>
      </c>
      <c r="G88" s="230">
        <v>802163</v>
      </c>
      <c r="H88" s="230">
        <v>798967</v>
      </c>
      <c r="I88" s="230">
        <v>20.555528184913889</v>
      </c>
      <c r="J88" s="230">
        <v>1.186593979520373</v>
      </c>
      <c r="K88" s="230">
        <v>-0.39842276445061664</v>
      </c>
    </row>
    <row r="89" spans="3:11" x14ac:dyDescent="0.55000000000000004">
      <c r="C89" s="264" t="s">
        <v>455</v>
      </c>
      <c r="D89" s="230">
        <v>3303100</v>
      </c>
      <c r="E89" s="230">
        <v>2984420</v>
      </c>
      <c r="F89" s="230">
        <v>2663510</v>
      </c>
      <c r="G89" s="230">
        <v>2706681</v>
      </c>
      <c r="H89" s="230">
        <v>2683411</v>
      </c>
      <c r="I89" s="230">
        <v>-9.6479065120644254</v>
      </c>
      <c r="J89" s="230">
        <v>-10.7528430984915</v>
      </c>
      <c r="K89" s="230">
        <v>-0.8597245113110854</v>
      </c>
    </row>
    <row r="90" spans="3:11" x14ac:dyDescent="0.55000000000000004">
      <c r="C90" s="264" t="s">
        <v>456</v>
      </c>
      <c r="D90" s="230">
        <v>382353</v>
      </c>
      <c r="E90" s="230">
        <v>587163.22571865399</v>
      </c>
      <c r="F90" s="230">
        <v>689852</v>
      </c>
      <c r="G90" s="230">
        <v>624835</v>
      </c>
      <c r="H90" s="230">
        <v>709833.33600000001</v>
      </c>
      <c r="I90" s="230">
        <v>53.565743100918262</v>
      </c>
      <c r="J90" s="230">
        <v>17.488965552238199</v>
      </c>
      <c r="K90" s="230">
        <v>13.603325677978981</v>
      </c>
    </row>
    <row r="91" spans="3:11" x14ac:dyDescent="0.55000000000000004">
      <c r="C91" s="264" t="s">
        <v>457</v>
      </c>
      <c r="D91" s="230">
        <v>5888077</v>
      </c>
      <c r="E91" s="230">
        <v>6039507</v>
      </c>
      <c r="F91" s="230">
        <v>6015939</v>
      </c>
      <c r="G91" s="230">
        <v>6184054</v>
      </c>
      <c r="H91" s="230">
        <v>6240689</v>
      </c>
      <c r="I91" s="230">
        <v>2.5718073999371951</v>
      </c>
      <c r="J91" s="230">
        <v>-0.39023052709434725</v>
      </c>
      <c r="K91" s="230">
        <v>0.91582318006925556</v>
      </c>
    </row>
    <row r="92" spans="3:11" x14ac:dyDescent="0.55000000000000004">
      <c r="C92" s="264" t="s">
        <v>458</v>
      </c>
      <c r="D92" s="230">
        <v>159022.77751564092</v>
      </c>
      <c r="E92" s="230">
        <v>167026.53720689178</v>
      </c>
      <c r="F92" s="230">
        <v>177049.09182861331</v>
      </c>
      <c r="G92" s="230">
        <v>199756.07754142911</v>
      </c>
      <c r="H92" s="230">
        <v>199631.51987290304</v>
      </c>
      <c r="I92" s="230">
        <v>5.0330901121781988</v>
      </c>
      <c r="J92" s="230">
        <v>6.0005761894631338</v>
      </c>
      <c r="K92" s="230">
        <v>-6.2356049437893295E-2</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F99D-D131-43BC-92CB-5E733613133C}">
  <sheetPr codeName="Sheet88"/>
  <dimension ref="B2:D95"/>
  <sheetViews>
    <sheetView workbookViewId="0">
      <pane xSplit="3" ySplit="3" topLeftCell="D76"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87890625" style="34" bestFit="1" customWidth="1"/>
    <col min="3" max="3" width="37.1171875" style="34" bestFit="1" customWidth="1"/>
    <col min="4" max="4" width="12.703125" style="34" bestFit="1" customWidth="1"/>
    <col min="5" max="16384" width="9.1171875" style="34"/>
  </cols>
  <sheetData>
    <row r="2" spans="2:4" x14ac:dyDescent="0.55000000000000004">
      <c r="C2" s="113" t="s">
        <v>118</v>
      </c>
      <c r="D2" s="165"/>
    </row>
    <row r="3" spans="2:4" s="167" customFormat="1" ht="35.35" x14ac:dyDescent="0.55000000000000004">
      <c r="B3" s="119" t="s">
        <v>297</v>
      </c>
      <c r="C3" s="119" t="s">
        <v>459</v>
      </c>
      <c r="D3" s="166" t="s">
        <v>1038</v>
      </c>
    </row>
    <row r="4" spans="2:4" ht="16" thickBot="1" x14ac:dyDescent="0.6">
      <c r="B4" s="168"/>
      <c r="C4" s="169" t="s">
        <v>119</v>
      </c>
      <c r="D4" s="170"/>
    </row>
    <row r="5" spans="2:4" ht="16" thickTop="1" x14ac:dyDescent="0.55000000000000004">
      <c r="B5" s="171">
        <v>1</v>
      </c>
      <c r="C5" s="172" t="s">
        <v>299</v>
      </c>
      <c r="D5" s="173">
        <v>25757.986615615693</v>
      </c>
    </row>
    <row r="6" spans="2:4" x14ac:dyDescent="0.55000000000000004">
      <c r="B6" s="174" t="s">
        <v>121</v>
      </c>
      <c r="C6" s="140" t="s">
        <v>122</v>
      </c>
      <c r="D6" s="173">
        <v>21600</v>
      </c>
    </row>
    <row r="7" spans="2:4" x14ac:dyDescent="0.55000000000000004">
      <c r="B7" s="174"/>
      <c r="C7" s="140" t="s">
        <v>300</v>
      </c>
      <c r="D7" s="173">
        <v>0</v>
      </c>
    </row>
    <row r="8" spans="2:4" x14ac:dyDescent="0.55000000000000004">
      <c r="B8" s="174"/>
      <c r="C8" s="140" t="s">
        <v>301</v>
      </c>
      <c r="D8" s="173">
        <v>0</v>
      </c>
    </row>
    <row r="9" spans="2:4" x14ac:dyDescent="0.55000000000000004">
      <c r="B9" s="174" t="s">
        <v>121</v>
      </c>
      <c r="C9" s="140" t="s">
        <v>302</v>
      </c>
      <c r="D9" s="173">
        <v>1551.39411655</v>
      </c>
    </row>
    <row r="10" spans="2:4" x14ac:dyDescent="0.55000000000000004">
      <c r="B10" s="174"/>
      <c r="C10" s="140" t="s">
        <v>303</v>
      </c>
      <c r="D10" s="173">
        <v>0</v>
      </c>
    </row>
    <row r="11" spans="2:4" x14ac:dyDescent="0.55000000000000004">
      <c r="B11" s="174"/>
      <c r="C11" s="140" t="s">
        <v>304</v>
      </c>
      <c r="D11" s="173">
        <v>2026.2685793000001</v>
      </c>
    </row>
    <row r="12" spans="2:4" x14ac:dyDescent="0.55000000000000004">
      <c r="B12" s="174"/>
      <c r="C12" s="140" t="s">
        <v>305</v>
      </c>
      <c r="D12" s="173">
        <v>580.32391976569602</v>
      </c>
    </row>
    <row r="13" spans="2:4" x14ac:dyDescent="0.55000000000000004">
      <c r="B13" s="175">
        <v>2</v>
      </c>
      <c r="C13" s="176" t="s">
        <v>126</v>
      </c>
      <c r="D13" s="173">
        <v>7339.8130000000001</v>
      </c>
    </row>
    <row r="14" spans="2:4" x14ac:dyDescent="0.55000000000000004">
      <c r="B14" s="174" t="s">
        <v>121</v>
      </c>
      <c r="C14" s="140" t="s">
        <v>127</v>
      </c>
      <c r="D14" s="173">
        <v>0</v>
      </c>
    </row>
    <row r="15" spans="2:4" x14ac:dyDescent="0.55000000000000004">
      <c r="B15" s="174"/>
      <c r="C15" s="140" t="s">
        <v>306</v>
      </c>
      <c r="D15" s="173">
        <v>50</v>
      </c>
    </row>
    <row r="16" spans="2:4" x14ac:dyDescent="0.55000000000000004">
      <c r="B16" s="177"/>
      <c r="C16" s="140" t="s">
        <v>129</v>
      </c>
      <c r="D16" s="173">
        <v>0</v>
      </c>
    </row>
    <row r="17" spans="2:4" x14ac:dyDescent="0.55000000000000004">
      <c r="B17" s="177"/>
      <c r="C17" s="140" t="s">
        <v>460</v>
      </c>
      <c r="D17" s="173">
        <v>0</v>
      </c>
    </row>
    <row r="18" spans="2:4" x14ac:dyDescent="0.55000000000000004">
      <c r="B18" s="177"/>
      <c r="C18" s="140" t="s">
        <v>131</v>
      </c>
      <c r="D18" s="173">
        <v>7289.8130000000001</v>
      </c>
    </row>
    <row r="19" spans="2:4" x14ac:dyDescent="0.55000000000000004">
      <c r="B19" s="175">
        <v>3</v>
      </c>
      <c r="C19" s="176" t="s">
        <v>132</v>
      </c>
      <c r="D19" s="173">
        <v>7737.9975642999998</v>
      </c>
    </row>
    <row r="20" spans="2:4" x14ac:dyDescent="0.55000000000000004">
      <c r="B20" s="174"/>
      <c r="C20" s="140" t="s">
        <v>133</v>
      </c>
      <c r="D20" s="173">
        <v>306.77556428999998</v>
      </c>
    </row>
    <row r="21" spans="2:4" x14ac:dyDescent="0.55000000000000004">
      <c r="B21" s="174"/>
      <c r="C21" s="140" t="s">
        <v>307</v>
      </c>
      <c r="D21" s="173">
        <v>306.77556428999998</v>
      </c>
    </row>
    <row r="22" spans="2:4" x14ac:dyDescent="0.55000000000000004">
      <c r="B22" s="174"/>
      <c r="C22" s="140" t="s">
        <v>308</v>
      </c>
      <c r="D22" s="173">
        <v>0</v>
      </c>
    </row>
    <row r="23" spans="2:4" x14ac:dyDescent="0.55000000000000004">
      <c r="B23" s="174"/>
      <c r="C23" s="140" t="s">
        <v>134</v>
      </c>
      <c r="D23" s="173">
        <v>1E-8</v>
      </c>
    </row>
    <row r="24" spans="2:4" x14ac:dyDescent="0.55000000000000004">
      <c r="B24" s="174"/>
      <c r="C24" s="140" t="s">
        <v>307</v>
      </c>
      <c r="D24" s="173">
        <v>1E-8</v>
      </c>
    </row>
    <row r="25" spans="2:4" x14ac:dyDescent="0.55000000000000004">
      <c r="B25" s="174"/>
      <c r="C25" s="140" t="s">
        <v>308</v>
      </c>
      <c r="D25" s="173">
        <v>0</v>
      </c>
    </row>
    <row r="26" spans="2:4" x14ac:dyDescent="0.55000000000000004">
      <c r="B26" s="174"/>
      <c r="C26" s="140" t="s">
        <v>135</v>
      </c>
      <c r="D26" s="173">
        <v>7430</v>
      </c>
    </row>
    <row r="27" spans="2:4" x14ac:dyDescent="0.55000000000000004">
      <c r="B27" s="174"/>
      <c r="C27" s="140" t="s">
        <v>307</v>
      </c>
      <c r="D27" s="173">
        <v>7430</v>
      </c>
    </row>
    <row r="28" spans="2:4" x14ac:dyDescent="0.55000000000000004">
      <c r="B28" s="174"/>
      <c r="C28" s="140" t="s">
        <v>308</v>
      </c>
      <c r="D28" s="173">
        <v>0</v>
      </c>
    </row>
    <row r="29" spans="2:4" x14ac:dyDescent="0.55000000000000004">
      <c r="B29" s="174"/>
      <c r="C29" s="140" t="s">
        <v>136</v>
      </c>
      <c r="D29" s="173">
        <v>0</v>
      </c>
    </row>
    <row r="30" spans="2:4" x14ac:dyDescent="0.55000000000000004">
      <c r="B30" s="174"/>
      <c r="C30" s="140" t="s">
        <v>307</v>
      </c>
      <c r="D30" s="173">
        <v>0</v>
      </c>
    </row>
    <row r="31" spans="2:4" x14ac:dyDescent="0.55000000000000004">
      <c r="B31" s="174"/>
      <c r="C31" s="140" t="s">
        <v>308</v>
      </c>
      <c r="D31" s="173">
        <v>0</v>
      </c>
    </row>
    <row r="32" spans="2:4" x14ac:dyDescent="0.55000000000000004">
      <c r="B32" s="174"/>
      <c r="C32" s="140" t="s">
        <v>137</v>
      </c>
      <c r="D32" s="173">
        <v>1.222</v>
      </c>
    </row>
    <row r="33" spans="2:4" x14ac:dyDescent="0.55000000000000004">
      <c r="B33" s="174"/>
      <c r="C33" s="140" t="s">
        <v>307</v>
      </c>
      <c r="D33" s="173">
        <v>1.222</v>
      </c>
    </row>
    <row r="34" spans="2:4" x14ac:dyDescent="0.55000000000000004">
      <c r="B34" s="174"/>
      <c r="C34" s="140" t="s">
        <v>308</v>
      </c>
      <c r="D34" s="173">
        <v>0</v>
      </c>
    </row>
    <row r="35" spans="2:4" x14ac:dyDescent="0.55000000000000004">
      <c r="B35" s="178">
        <v>4</v>
      </c>
      <c r="C35" s="138" t="s">
        <v>138</v>
      </c>
      <c r="D35" s="173">
        <v>0</v>
      </c>
    </row>
    <row r="36" spans="2:4" x14ac:dyDescent="0.55000000000000004">
      <c r="B36" s="178">
        <v>5</v>
      </c>
      <c r="C36" s="138" t="s">
        <v>139</v>
      </c>
      <c r="D36" s="173">
        <v>1962.7279367705</v>
      </c>
    </row>
    <row r="37" spans="2:4" x14ac:dyDescent="0.55000000000000004">
      <c r="B37" s="178"/>
      <c r="C37" s="140" t="s">
        <v>309</v>
      </c>
      <c r="D37" s="173">
        <v>0</v>
      </c>
    </row>
    <row r="38" spans="2:4" x14ac:dyDescent="0.55000000000000004">
      <c r="B38" s="178"/>
      <c r="C38" s="140" t="s">
        <v>310</v>
      </c>
      <c r="D38" s="173">
        <v>664.21584758999995</v>
      </c>
    </row>
    <row r="39" spans="2:4" x14ac:dyDescent="0.55000000000000004">
      <c r="B39" s="178"/>
      <c r="C39" s="140" t="s">
        <v>311</v>
      </c>
      <c r="D39" s="173">
        <v>0</v>
      </c>
    </row>
    <row r="40" spans="2:4" x14ac:dyDescent="0.55000000000000004">
      <c r="B40" s="178"/>
      <c r="C40" s="140" t="s">
        <v>312</v>
      </c>
      <c r="D40" s="173">
        <v>1298.5120891805002</v>
      </c>
    </row>
    <row r="41" spans="2:4" x14ac:dyDescent="0.55000000000000004">
      <c r="B41" s="178">
        <v>6</v>
      </c>
      <c r="C41" s="138" t="s">
        <v>143</v>
      </c>
      <c r="D41" s="173">
        <v>0</v>
      </c>
    </row>
    <row r="42" spans="2:4" x14ac:dyDescent="0.55000000000000004">
      <c r="B42" s="179">
        <v>7</v>
      </c>
      <c r="C42" s="180" t="s">
        <v>144</v>
      </c>
      <c r="D42" s="173">
        <v>85.754590519499999</v>
      </c>
    </row>
    <row r="43" spans="2:4" s="167" customFormat="1" x14ac:dyDescent="0.55000000000000004">
      <c r="B43" s="181" t="s">
        <v>313</v>
      </c>
      <c r="C43" s="181"/>
      <c r="D43" s="182">
        <v>42884.279707205693</v>
      </c>
    </row>
    <row r="44" spans="2:4" ht="16" thickBot="1" x14ac:dyDescent="0.6">
      <c r="B44" s="168"/>
      <c r="C44" s="169" t="s">
        <v>146</v>
      </c>
      <c r="D44" s="183"/>
    </row>
    <row r="45" spans="2:4" ht="16" thickTop="1" x14ac:dyDescent="0.55000000000000004">
      <c r="B45" s="171">
        <v>1</v>
      </c>
      <c r="C45" s="172" t="s">
        <v>147</v>
      </c>
      <c r="D45" s="173">
        <v>134.88192079999999</v>
      </c>
    </row>
    <row r="46" spans="2:4" x14ac:dyDescent="0.55000000000000004">
      <c r="B46" s="177"/>
      <c r="C46" s="140" t="s">
        <v>148</v>
      </c>
      <c r="D46" s="173">
        <v>0.03</v>
      </c>
    </row>
    <row r="47" spans="2:4" x14ac:dyDescent="0.55000000000000004">
      <c r="B47" s="177"/>
      <c r="C47" s="140" t="s">
        <v>149</v>
      </c>
      <c r="D47" s="173">
        <v>0.03</v>
      </c>
    </row>
    <row r="48" spans="2:4" x14ac:dyDescent="0.55000000000000004">
      <c r="B48" s="177"/>
      <c r="C48" s="140" t="s">
        <v>150</v>
      </c>
      <c r="D48" s="173">
        <v>0</v>
      </c>
    </row>
    <row r="49" spans="2:4" x14ac:dyDescent="0.55000000000000004">
      <c r="B49" s="177"/>
      <c r="C49" s="140" t="s">
        <v>151</v>
      </c>
      <c r="D49" s="173">
        <v>134.85192079999999</v>
      </c>
    </row>
    <row r="50" spans="2:4" x14ac:dyDescent="0.55000000000000004">
      <c r="B50" s="177"/>
      <c r="C50" s="140" t="s">
        <v>152</v>
      </c>
      <c r="D50" s="173">
        <v>126.54361738999999</v>
      </c>
    </row>
    <row r="51" spans="2:4" x14ac:dyDescent="0.55000000000000004">
      <c r="B51" s="177"/>
      <c r="C51" s="140" t="s">
        <v>314</v>
      </c>
      <c r="D51" s="173">
        <v>126.54361738999999</v>
      </c>
    </row>
    <row r="52" spans="2:4" x14ac:dyDescent="0.55000000000000004">
      <c r="B52" s="177"/>
      <c r="C52" s="140" t="s">
        <v>315</v>
      </c>
      <c r="D52" s="173">
        <v>0</v>
      </c>
    </row>
    <row r="53" spans="2:4" x14ac:dyDescent="0.55000000000000004">
      <c r="B53" s="177"/>
      <c r="C53" s="140" t="s">
        <v>153</v>
      </c>
      <c r="D53" s="173">
        <v>8.3083034100000006</v>
      </c>
    </row>
    <row r="54" spans="2:4" x14ac:dyDescent="0.55000000000000004">
      <c r="B54" s="177"/>
      <c r="C54" s="140" t="s">
        <v>314</v>
      </c>
      <c r="D54" s="173">
        <v>8.3083034100000006</v>
      </c>
    </row>
    <row r="55" spans="2:4" x14ac:dyDescent="0.55000000000000004">
      <c r="B55" s="177"/>
      <c r="C55" s="140" t="s">
        <v>315</v>
      </c>
      <c r="D55" s="173">
        <v>0</v>
      </c>
    </row>
    <row r="56" spans="2:4" x14ac:dyDescent="0.55000000000000004">
      <c r="B56" s="177"/>
      <c r="C56" s="140" t="s">
        <v>154</v>
      </c>
      <c r="D56" s="173">
        <v>0</v>
      </c>
    </row>
    <row r="57" spans="2:4" x14ac:dyDescent="0.55000000000000004">
      <c r="B57" s="177"/>
      <c r="C57" s="140" t="s">
        <v>316</v>
      </c>
      <c r="D57" s="173">
        <v>0</v>
      </c>
    </row>
    <row r="58" spans="2:4" x14ac:dyDescent="0.55000000000000004">
      <c r="B58" s="177"/>
      <c r="C58" s="140" t="s">
        <v>156</v>
      </c>
      <c r="D58" s="173">
        <v>0</v>
      </c>
    </row>
    <row r="59" spans="2:4" x14ac:dyDescent="0.55000000000000004">
      <c r="B59" s="177"/>
      <c r="C59" s="140" t="s">
        <v>314</v>
      </c>
      <c r="D59" s="173">
        <v>0</v>
      </c>
    </row>
    <row r="60" spans="2:4" x14ac:dyDescent="0.55000000000000004">
      <c r="B60" s="177"/>
      <c r="C60" s="140" t="s">
        <v>315</v>
      </c>
      <c r="D60" s="173">
        <v>0</v>
      </c>
    </row>
    <row r="61" spans="2:4" x14ac:dyDescent="0.55000000000000004">
      <c r="B61" s="175">
        <v>2</v>
      </c>
      <c r="C61" s="176" t="s">
        <v>317</v>
      </c>
      <c r="D61" s="173">
        <v>10990.75869368</v>
      </c>
    </row>
    <row r="62" spans="2:4" x14ac:dyDescent="0.55000000000000004">
      <c r="B62" s="177"/>
      <c r="C62" s="140" t="s">
        <v>158</v>
      </c>
      <c r="D62" s="173">
        <v>10990.75869368</v>
      </c>
    </row>
    <row r="63" spans="2:4" x14ac:dyDescent="0.55000000000000004">
      <c r="B63" s="177"/>
      <c r="C63" s="140" t="s">
        <v>461</v>
      </c>
      <c r="D63" s="173">
        <v>0</v>
      </c>
    </row>
    <row r="64" spans="2:4" x14ac:dyDescent="0.55000000000000004">
      <c r="B64" s="177"/>
      <c r="C64" s="140" t="s">
        <v>319</v>
      </c>
      <c r="D64" s="173">
        <v>0</v>
      </c>
    </row>
    <row r="65" spans="2:4" x14ac:dyDescent="0.55000000000000004">
      <c r="B65" s="177"/>
      <c r="C65" s="140" t="s">
        <v>320</v>
      </c>
      <c r="D65" s="173">
        <v>0</v>
      </c>
    </row>
    <row r="66" spans="2:4" x14ac:dyDescent="0.55000000000000004">
      <c r="B66" s="177"/>
      <c r="C66" s="140" t="s">
        <v>321</v>
      </c>
      <c r="D66" s="173">
        <v>0</v>
      </c>
    </row>
    <row r="67" spans="2:4" x14ac:dyDescent="0.55000000000000004">
      <c r="B67" s="178">
        <v>3</v>
      </c>
      <c r="C67" s="138" t="s">
        <v>160</v>
      </c>
      <c r="D67" s="173">
        <v>5171.1949999999997</v>
      </c>
    </row>
    <row r="68" spans="2:4" x14ac:dyDescent="0.55000000000000004">
      <c r="B68" s="178"/>
      <c r="C68" s="140" t="s">
        <v>322</v>
      </c>
      <c r="D68" s="173">
        <v>0</v>
      </c>
    </row>
    <row r="69" spans="2:4" x14ac:dyDescent="0.55000000000000004">
      <c r="B69" s="177"/>
      <c r="C69" s="140" t="s">
        <v>323</v>
      </c>
      <c r="D69" s="173">
        <v>0</v>
      </c>
    </row>
    <row r="70" spans="2:4" x14ac:dyDescent="0.55000000000000004">
      <c r="B70" s="177"/>
      <c r="C70" s="185" t="s">
        <v>324</v>
      </c>
      <c r="D70" s="173">
        <v>5171.1949999999997</v>
      </c>
    </row>
    <row r="71" spans="2:4" ht="31.35" x14ac:dyDescent="0.55000000000000004">
      <c r="B71" s="178">
        <v>4</v>
      </c>
      <c r="C71" s="186" t="s">
        <v>325</v>
      </c>
      <c r="D71" s="173">
        <v>25149.238167760002</v>
      </c>
    </row>
    <row r="72" spans="2:4" x14ac:dyDescent="0.55000000000000004">
      <c r="B72" s="175"/>
      <c r="C72" s="176" t="s">
        <v>162</v>
      </c>
      <c r="D72" s="173">
        <v>25149.238167760002</v>
      </c>
    </row>
    <row r="73" spans="2:4" x14ac:dyDescent="0.55000000000000004">
      <c r="B73" s="177"/>
      <c r="C73" s="140" t="s">
        <v>462</v>
      </c>
      <c r="D73" s="173">
        <v>25149.238167760002</v>
      </c>
    </row>
    <row r="74" spans="2:4" x14ac:dyDescent="0.55000000000000004">
      <c r="B74" s="187"/>
      <c r="C74" s="138" t="s">
        <v>329</v>
      </c>
      <c r="D74" s="173">
        <v>0</v>
      </c>
    </row>
    <row r="75" spans="2:4" x14ac:dyDescent="0.55000000000000004">
      <c r="B75" s="177"/>
      <c r="C75" s="140" t="s">
        <v>330</v>
      </c>
      <c r="D75" s="173">
        <v>0</v>
      </c>
    </row>
    <row r="76" spans="2:4" x14ac:dyDescent="0.55000000000000004">
      <c r="B76" s="177"/>
      <c r="C76" s="140" t="s">
        <v>331</v>
      </c>
      <c r="D76" s="173">
        <v>0</v>
      </c>
    </row>
    <row r="77" spans="2:4" x14ac:dyDescent="0.55000000000000004">
      <c r="B77" s="177"/>
      <c r="C77" s="140" t="s">
        <v>332</v>
      </c>
      <c r="D77" s="173">
        <v>0</v>
      </c>
    </row>
    <row r="78" spans="2:4" x14ac:dyDescent="0.55000000000000004">
      <c r="B78" s="178">
        <v>5</v>
      </c>
      <c r="C78" s="138" t="s">
        <v>333</v>
      </c>
      <c r="D78" s="173">
        <v>0</v>
      </c>
    </row>
    <row r="79" spans="2:4" x14ac:dyDescent="0.55000000000000004">
      <c r="B79" s="177"/>
      <c r="C79" s="140" t="s">
        <v>334</v>
      </c>
      <c r="D79" s="173">
        <v>0</v>
      </c>
    </row>
    <row r="80" spans="2:4" x14ac:dyDescent="0.55000000000000004">
      <c r="B80" s="177"/>
      <c r="C80" s="140" t="s">
        <v>335</v>
      </c>
      <c r="D80" s="173">
        <v>0</v>
      </c>
    </row>
    <row r="81" spans="2:4" x14ac:dyDescent="0.55000000000000004">
      <c r="B81" s="178">
        <v>6</v>
      </c>
      <c r="C81" s="138" t="s">
        <v>168</v>
      </c>
      <c r="D81" s="173">
        <v>178.08021629999999</v>
      </c>
    </row>
    <row r="82" spans="2:4" x14ac:dyDescent="0.55000000000000004">
      <c r="B82" s="178">
        <v>7</v>
      </c>
      <c r="C82" s="138" t="s">
        <v>169</v>
      </c>
      <c r="D82" s="173">
        <v>1260.1257086699998</v>
      </c>
    </row>
    <row r="83" spans="2:4" x14ac:dyDescent="0.55000000000000004">
      <c r="B83" s="188"/>
      <c r="C83" s="189" t="s">
        <v>336</v>
      </c>
      <c r="D83" s="173">
        <v>602.90225556999985</v>
      </c>
    </row>
    <row r="84" spans="2:4" x14ac:dyDescent="0.55000000000000004">
      <c r="B84" s="188"/>
      <c r="C84" s="140" t="s">
        <v>337</v>
      </c>
      <c r="D84" s="173">
        <v>0</v>
      </c>
    </row>
    <row r="85" spans="2:4" x14ac:dyDescent="0.55000000000000004">
      <c r="B85" s="177"/>
      <c r="C85" s="140" t="s">
        <v>338</v>
      </c>
      <c r="D85" s="173">
        <v>81.736424290000002</v>
      </c>
    </row>
    <row r="86" spans="2:4" x14ac:dyDescent="0.55000000000000004">
      <c r="B86" s="177"/>
      <c r="C86" s="185" t="s">
        <v>339</v>
      </c>
      <c r="D86" s="173">
        <v>521.16583127999991</v>
      </c>
    </row>
    <row r="87" spans="2:4" x14ac:dyDescent="0.55000000000000004">
      <c r="B87" s="177"/>
      <c r="C87" s="185" t="s">
        <v>340</v>
      </c>
      <c r="D87" s="173">
        <v>124.78287115000001</v>
      </c>
    </row>
    <row r="88" spans="2:4" x14ac:dyDescent="0.55000000000000004">
      <c r="B88" s="177"/>
      <c r="C88" s="140" t="s">
        <v>341</v>
      </c>
      <c r="D88" s="173">
        <v>0</v>
      </c>
    </row>
    <row r="89" spans="2:4" x14ac:dyDescent="0.55000000000000004">
      <c r="B89" s="177"/>
      <c r="C89" s="185" t="s">
        <v>342</v>
      </c>
      <c r="D89" s="173">
        <v>0</v>
      </c>
    </row>
    <row r="90" spans="2:4" x14ac:dyDescent="0.55000000000000004">
      <c r="B90" s="177"/>
      <c r="C90" s="185" t="s">
        <v>343</v>
      </c>
      <c r="D90" s="173">
        <v>532.44058195000002</v>
      </c>
    </row>
    <row r="91" spans="2:4" x14ac:dyDescent="0.55000000000000004">
      <c r="B91" s="178">
        <v>8</v>
      </c>
      <c r="C91" s="138" t="s">
        <v>172</v>
      </c>
      <c r="D91" s="173">
        <v>0</v>
      </c>
    </row>
    <row r="92" spans="2:4" x14ac:dyDescent="0.55000000000000004">
      <c r="B92" s="178">
        <v>9</v>
      </c>
      <c r="C92" s="190" t="s">
        <v>173</v>
      </c>
      <c r="D92" s="173">
        <v>0</v>
      </c>
    </row>
    <row r="93" spans="2:4" x14ac:dyDescent="0.55000000000000004">
      <c r="B93" s="178">
        <v>10</v>
      </c>
      <c r="C93" s="190" t="s">
        <v>174</v>
      </c>
      <c r="D93" s="173">
        <v>0</v>
      </c>
    </row>
    <row r="94" spans="2:4" x14ac:dyDescent="0.55000000000000004">
      <c r="B94" s="179">
        <v>11</v>
      </c>
      <c r="C94" s="180" t="s">
        <v>144</v>
      </c>
      <c r="D94" s="173">
        <v>0</v>
      </c>
    </row>
    <row r="95" spans="2:4" x14ac:dyDescent="0.55000000000000004">
      <c r="B95" s="181" t="s">
        <v>344</v>
      </c>
      <c r="C95" s="181"/>
      <c r="D95" s="182">
        <v>42884.27970721</v>
      </c>
    </row>
  </sheetData>
  <mergeCells count="2">
    <mergeCell ref="B43:C43"/>
    <mergeCell ref="B95:C95"/>
  </mergeCells>
  <conditionalFormatting sqref="D4">
    <cfRule type="cellIs" dxfId="11" priority="3" operator="notBetween">
      <formula>-0.9</formula>
      <formula>0.9</formula>
    </cfRule>
    <cfRule type="cellIs" dxfId="10" priority="4" operator="between">
      <formula>-0.9</formula>
      <formula>0.9</formula>
    </cfRule>
  </conditionalFormatting>
  <conditionalFormatting sqref="D5:D43 D45:D95">
    <cfRule type="cellIs" dxfId="9" priority="1" operator="lessThan">
      <formula>0</formula>
    </cfRule>
    <cfRule type="cellIs" dxfId="8" priority="2"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7D5D-1708-4838-80E7-EAFD1C78099D}">
  <sheetPr codeName="Sheet89"/>
  <dimension ref="B2:C56"/>
  <sheetViews>
    <sheetView workbookViewId="0">
      <pane xSplit="2" ySplit="3" topLeftCell="C33"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4"/>
    <col min="2" max="2" width="43.29296875" style="34" bestFit="1" customWidth="1"/>
    <col min="3" max="3" width="12.87890625" style="34" customWidth="1"/>
    <col min="4" max="16384" width="9.1171875" style="34"/>
  </cols>
  <sheetData>
    <row r="2" spans="2:3" x14ac:dyDescent="0.55000000000000004">
      <c r="B2" s="113" t="s">
        <v>118</v>
      </c>
      <c r="C2" s="165"/>
    </row>
    <row r="3" spans="2:3" s="167" customFormat="1" ht="35.35" x14ac:dyDescent="0.55000000000000004">
      <c r="B3" s="119" t="s">
        <v>459</v>
      </c>
      <c r="C3" s="166" t="s">
        <v>1038</v>
      </c>
    </row>
    <row r="4" spans="2:3" ht="18" x14ac:dyDescent="0.6">
      <c r="B4" s="271" t="s">
        <v>345</v>
      </c>
    </row>
    <row r="5" spans="2:3" x14ac:dyDescent="0.55000000000000004">
      <c r="B5" s="272" t="s">
        <v>346</v>
      </c>
      <c r="C5" s="273">
        <v>82.438751289999999</v>
      </c>
    </row>
    <row r="6" spans="2:3" x14ac:dyDescent="0.55000000000000004">
      <c r="B6" s="274" t="s">
        <v>347</v>
      </c>
      <c r="C6" s="275">
        <v>43.07089036</v>
      </c>
    </row>
    <row r="7" spans="2:3" x14ac:dyDescent="0.55000000000000004">
      <c r="B7" s="274" t="s">
        <v>356</v>
      </c>
      <c r="C7" s="275">
        <v>39.367860929999999</v>
      </c>
    </row>
    <row r="8" spans="2:3" x14ac:dyDescent="0.55000000000000004">
      <c r="B8" s="272" t="s">
        <v>357</v>
      </c>
      <c r="C8" s="273">
        <v>7.3802499999999997E-3</v>
      </c>
    </row>
    <row r="9" spans="2:3" x14ac:dyDescent="0.55000000000000004">
      <c r="B9" s="272" t="s">
        <v>358</v>
      </c>
      <c r="C9" s="273">
        <v>4.8873493899999998</v>
      </c>
    </row>
    <row r="10" spans="2:3" x14ac:dyDescent="0.55000000000000004">
      <c r="B10" s="272" t="s">
        <v>359</v>
      </c>
      <c r="C10" s="273">
        <v>4.1759861200000001</v>
      </c>
    </row>
    <row r="11" spans="2:3" x14ac:dyDescent="0.55000000000000004">
      <c r="B11" s="272" t="s">
        <v>360</v>
      </c>
      <c r="C11" s="273">
        <v>0</v>
      </c>
    </row>
    <row r="12" spans="2:3" x14ac:dyDescent="0.55000000000000004">
      <c r="B12" s="274" t="s">
        <v>361</v>
      </c>
      <c r="C12" s="275">
        <v>0</v>
      </c>
    </row>
    <row r="13" spans="2:3" x14ac:dyDescent="0.55000000000000004">
      <c r="B13" s="274" t="s">
        <v>362</v>
      </c>
      <c r="C13" s="275">
        <v>0</v>
      </c>
    </row>
    <row r="14" spans="2:3" x14ac:dyDescent="0.55000000000000004">
      <c r="B14" s="272" t="s">
        <v>363</v>
      </c>
      <c r="C14" s="273">
        <v>0</v>
      </c>
    </row>
    <row r="15" spans="2:3" x14ac:dyDescent="0.55000000000000004">
      <c r="B15" s="272" t="s">
        <v>364</v>
      </c>
      <c r="C15" s="273">
        <v>1.8499990500000001</v>
      </c>
    </row>
    <row r="16" spans="2:3" x14ac:dyDescent="0.55000000000000004">
      <c r="B16" s="274" t="s">
        <v>199</v>
      </c>
      <c r="C16" s="275">
        <v>1.8499990500000001</v>
      </c>
    </row>
    <row r="17" spans="2:3" x14ac:dyDescent="0.55000000000000004">
      <c r="B17" s="276" t="s">
        <v>200</v>
      </c>
      <c r="C17" s="275">
        <v>1.8499990500000001</v>
      </c>
    </row>
    <row r="18" spans="2:3" x14ac:dyDescent="0.55000000000000004">
      <c r="B18" s="274" t="s">
        <v>201</v>
      </c>
      <c r="C18" s="275">
        <v>1.8499990500000001</v>
      </c>
    </row>
    <row r="19" spans="2:3" x14ac:dyDescent="0.55000000000000004">
      <c r="B19" s="274" t="s">
        <v>202</v>
      </c>
      <c r="C19" s="275">
        <v>0</v>
      </c>
    </row>
    <row r="20" spans="2:3" x14ac:dyDescent="0.55000000000000004">
      <c r="B20" s="276" t="s">
        <v>203</v>
      </c>
      <c r="C20" s="275">
        <v>0</v>
      </c>
    </row>
    <row r="21" spans="2:3" x14ac:dyDescent="0.55000000000000004">
      <c r="B21" s="276" t="s">
        <v>204</v>
      </c>
      <c r="C21" s="275">
        <v>0</v>
      </c>
    </row>
    <row r="22" spans="2:3" x14ac:dyDescent="0.55000000000000004">
      <c r="B22" s="274" t="s">
        <v>205</v>
      </c>
      <c r="C22" s="275">
        <v>0</v>
      </c>
    </row>
    <row r="23" spans="2:3" x14ac:dyDescent="0.55000000000000004">
      <c r="B23" s="274" t="s">
        <v>206</v>
      </c>
      <c r="C23" s="275">
        <v>0</v>
      </c>
    </row>
    <row r="24" spans="2:3" x14ac:dyDescent="0.55000000000000004">
      <c r="B24" s="274" t="s">
        <v>365</v>
      </c>
      <c r="C24" s="275">
        <v>0</v>
      </c>
    </row>
    <row r="25" spans="2:3" x14ac:dyDescent="0.55000000000000004">
      <c r="B25" s="272" t="s">
        <v>366</v>
      </c>
      <c r="C25" s="273">
        <v>0</v>
      </c>
    </row>
    <row r="26" spans="2:3" x14ac:dyDescent="0.55000000000000004">
      <c r="B26" s="272" t="s">
        <v>367</v>
      </c>
      <c r="C26" s="273">
        <v>13.611839764999999</v>
      </c>
    </row>
    <row r="27" spans="2:3" x14ac:dyDescent="0.55000000000000004">
      <c r="B27" s="272" t="s">
        <v>368</v>
      </c>
      <c r="C27" s="273">
        <v>36.751967365499993</v>
      </c>
    </row>
    <row r="28" spans="2:3" x14ac:dyDescent="0.55000000000000004">
      <c r="B28" s="272" t="s">
        <v>369</v>
      </c>
      <c r="C28" s="273">
        <v>0</v>
      </c>
    </row>
    <row r="29" spans="2:3" x14ac:dyDescent="0.55000000000000004">
      <c r="B29" s="277" t="s">
        <v>370</v>
      </c>
      <c r="C29" s="278">
        <v>85.754590519499999</v>
      </c>
    </row>
    <row r="30" spans="2:3" x14ac:dyDescent="0.55000000000000004">
      <c r="B30" s="279" t="s">
        <v>371</v>
      </c>
      <c r="C30" s="280">
        <v>229.47786375000001</v>
      </c>
    </row>
    <row r="31" spans="2:3" x14ac:dyDescent="0.55000000000000004">
      <c r="B31" s="281"/>
    </row>
    <row r="32" spans="2:3" ht="18" x14ac:dyDescent="0.6">
      <c r="B32" s="271" t="s">
        <v>214</v>
      </c>
      <c r="C32" s="282"/>
    </row>
    <row r="33" spans="2:3" x14ac:dyDescent="0.55000000000000004">
      <c r="B33" s="272" t="s">
        <v>372</v>
      </c>
      <c r="C33" s="283">
        <v>221.61092839000003</v>
      </c>
    </row>
    <row r="34" spans="2:3" x14ac:dyDescent="0.55000000000000004">
      <c r="B34" s="274" t="s">
        <v>373</v>
      </c>
      <c r="C34" s="284">
        <v>178.30035293000003</v>
      </c>
    </row>
    <row r="35" spans="2:3" x14ac:dyDescent="0.55000000000000004">
      <c r="B35" s="274" t="s">
        <v>374</v>
      </c>
      <c r="C35" s="284">
        <v>28.968685009999998</v>
      </c>
    </row>
    <row r="36" spans="2:3" x14ac:dyDescent="0.55000000000000004">
      <c r="B36" s="274" t="s">
        <v>218</v>
      </c>
      <c r="C36" s="284">
        <v>28.968685009999998</v>
      </c>
    </row>
    <row r="37" spans="2:3" x14ac:dyDescent="0.55000000000000004">
      <c r="B37" s="274" t="s">
        <v>219</v>
      </c>
      <c r="C37" s="284">
        <v>0</v>
      </c>
    </row>
    <row r="38" spans="2:3" x14ac:dyDescent="0.55000000000000004">
      <c r="B38" s="274" t="s">
        <v>220</v>
      </c>
      <c r="C38" s="284">
        <v>0</v>
      </c>
    </row>
    <row r="39" spans="2:3" x14ac:dyDescent="0.55000000000000004">
      <c r="B39" s="274" t="s">
        <v>375</v>
      </c>
      <c r="C39" s="284">
        <v>0</v>
      </c>
    </row>
    <row r="40" spans="2:3" x14ac:dyDescent="0.55000000000000004">
      <c r="B40" s="274" t="s">
        <v>376</v>
      </c>
      <c r="C40" s="284">
        <v>0</v>
      </c>
    </row>
    <row r="41" spans="2:3" x14ac:dyDescent="0.55000000000000004">
      <c r="B41" s="274" t="s">
        <v>223</v>
      </c>
      <c r="C41" s="284">
        <v>0</v>
      </c>
    </row>
    <row r="42" spans="2:3" x14ac:dyDescent="0.55000000000000004">
      <c r="B42" s="274" t="s">
        <v>377</v>
      </c>
      <c r="C42" s="284">
        <v>14.341890449999999</v>
      </c>
    </row>
    <row r="43" spans="2:3" x14ac:dyDescent="0.55000000000000004">
      <c r="B43" s="272" t="s">
        <v>378</v>
      </c>
      <c r="C43" s="280">
        <v>6.0483914800000003</v>
      </c>
    </row>
    <row r="44" spans="2:3" x14ac:dyDescent="0.55000000000000004">
      <c r="B44" s="274" t="s">
        <v>379</v>
      </c>
      <c r="C44" s="284">
        <v>0</v>
      </c>
    </row>
    <row r="45" spans="2:3" x14ac:dyDescent="0.55000000000000004">
      <c r="B45" s="274" t="s">
        <v>380</v>
      </c>
      <c r="C45" s="284">
        <v>6.0483914800000003</v>
      </c>
    </row>
    <row r="46" spans="2:3" x14ac:dyDescent="0.55000000000000004">
      <c r="B46" s="274" t="s">
        <v>228</v>
      </c>
      <c r="C46" s="284">
        <v>0</v>
      </c>
    </row>
    <row r="47" spans="2:3" x14ac:dyDescent="0.55000000000000004">
      <c r="B47" s="272" t="s">
        <v>381</v>
      </c>
      <c r="C47" s="280">
        <v>0</v>
      </c>
    </row>
    <row r="48" spans="2:3" x14ac:dyDescent="0.55000000000000004">
      <c r="B48" s="274" t="s">
        <v>230</v>
      </c>
      <c r="C48" s="284">
        <v>0</v>
      </c>
    </row>
    <row r="49" spans="2:3" x14ac:dyDescent="0.55000000000000004">
      <c r="B49" s="274" t="s">
        <v>382</v>
      </c>
      <c r="C49" s="284">
        <v>0</v>
      </c>
    </row>
    <row r="50" spans="2:3" x14ac:dyDescent="0.55000000000000004">
      <c r="B50" s="272" t="s">
        <v>383</v>
      </c>
      <c r="C50" s="280">
        <v>0</v>
      </c>
    </row>
    <row r="51" spans="2:3" x14ac:dyDescent="0.55000000000000004">
      <c r="B51" s="272" t="s">
        <v>384</v>
      </c>
      <c r="C51" s="280">
        <v>0</v>
      </c>
    </row>
    <row r="52" spans="2:3" x14ac:dyDescent="0.55000000000000004">
      <c r="B52" s="272" t="s">
        <v>385</v>
      </c>
      <c r="C52" s="280">
        <v>1.8185438799999998</v>
      </c>
    </row>
    <row r="53" spans="2:3" x14ac:dyDescent="0.55000000000000004">
      <c r="B53" s="272" t="s">
        <v>386</v>
      </c>
      <c r="C53" s="280">
        <v>0</v>
      </c>
    </row>
    <row r="54" spans="2:3" x14ac:dyDescent="0.55000000000000004">
      <c r="B54" s="272" t="s">
        <v>387</v>
      </c>
      <c r="C54" s="280">
        <v>0</v>
      </c>
    </row>
    <row r="55" spans="2:3" x14ac:dyDescent="0.55000000000000004">
      <c r="B55" s="277" t="s">
        <v>388</v>
      </c>
      <c r="C55" s="285">
        <v>0</v>
      </c>
    </row>
    <row r="56" spans="2:3" x14ac:dyDescent="0.55000000000000004">
      <c r="B56" s="279" t="s">
        <v>389</v>
      </c>
      <c r="C56" s="280">
        <v>229.47786375000004</v>
      </c>
    </row>
  </sheetData>
  <conditionalFormatting sqref="C32">
    <cfRule type="cellIs" dxfId="7" priority="1" operator="notEqual">
      <formula>0</formula>
    </cfRule>
    <cfRule type="cellIs" dxfId="6" priority="2"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6276-0DD2-4E4C-B24A-4C8EDA62942D}">
  <sheetPr codeName="Sheet50"/>
  <dimension ref="B2:J110"/>
  <sheetViews>
    <sheetView workbookViewId="0">
      <selection activeCell="M36" sqref="M36"/>
    </sheetView>
  </sheetViews>
  <sheetFormatPr defaultColWidth="9.1171875" defaultRowHeight="15.7" x14ac:dyDescent="0.55000000000000004"/>
  <cols>
    <col min="1" max="1" width="9.1171875" style="34"/>
    <col min="2" max="2" width="9.29296875" style="34" bestFit="1" customWidth="1"/>
    <col min="3" max="3" width="14.87890625" style="34" customWidth="1"/>
    <col min="4" max="4" width="17.41015625" style="34" customWidth="1"/>
    <col min="5" max="8" width="9.29296875" style="34" bestFit="1" customWidth="1"/>
    <col min="9" max="9" width="12.703125" style="34" bestFit="1" customWidth="1"/>
    <col min="10" max="10" width="12.703125" style="34" customWidth="1"/>
    <col min="11" max="16384" width="9.1171875" style="34"/>
  </cols>
  <sheetData>
    <row r="2" spans="2:10" x14ac:dyDescent="0.55000000000000004">
      <c r="B2" s="286" t="s">
        <v>1039</v>
      </c>
      <c r="C2" s="286"/>
      <c r="D2" s="286"/>
      <c r="E2" s="286"/>
      <c r="F2" s="286"/>
      <c r="G2" s="286"/>
      <c r="H2" s="286"/>
      <c r="I2" s="286"/>
      <c r="J2" s="286"/>
    </row>
    <row r="3" spans="2:10" ht="31.35" x14ac:dyDescent="0.55000000000000004">
      <c r="B3" s="49" t="s">
        <v>463</v>
      </c>
      <c r="C3" s="50" t="s">
        <v>464</v>
      </c>
      <c r="D3" s="287" t="s">
        <v>465</v>
      </c>
      <c r="E3" s="50" t="s">
        <v>466</v>
      </c>
      <c r="F3" s="50" t="s">
        <v>467</v>
      </c>
      <c r="G3" s="50" t="s">
        <v>468</v>
      </c>
      <c r="H3" s="50" t="s">
        <v>94</v>
      </c>
      <c r="I3" s="49" t="s">
        <v>469</v>
      </c>
      <c r="J3" s="288" t="s">
        <v>470</v>
      </c>
    </row>
    <row r="4" spans="2:10" x14ac:dyDescent="0.55000000000000004">
      <c r="B4" s="289">
        <v>1</v>
      </c>
      <c r="C4" s="290" t="s">
        <v>1040</v>
      </c>
      <c r="D4" s="291" t="s">
        <v>471</v>
      </c>
      <c r="E4" s="292">
        <v>24</v>
      </c>
      <c r="F4" s="292">
        <v>0</v>
      </c>
      <c r="G4" s="292">
        <v>0</v>
      </c>
      <c r="H4" s="292">
        <v>24</v>
      </c>
      <c r="I4" s="292">
        <v>120590</v>
      </c>
      <c r="J4" s="292">
        <v>5024.583333333333</v>
      </c>
    </row>
    <row r="5" spans="2:10" x14ac:dyDescent="0.55000000000000004">
      <c r="B5" s="289">
        <v>2</v>
      </c>
      <c r="C5" s="290" t="s">
        <v>1040</v>
      </c>
      <c r="D5" s="291" t="s">
        <v>472</v>
      </c>
      <c r="E5" s="292">
        <v>28</v>
      </c>
      <c r="F5" s="292">
        <v>3</v>
      </c>
      <c r="G5" s="292">
        <v>2</v>
      </c>
      <c r="H5" s="292">
        <v>33</v>
      </c>
      <c r="I5" s="292">
        <v>172400</v>
      </c>
      <c r="J5" s="292">
        <v>5224.242424242424</v>
      </c>
    </row>
    <row r="6" spans="2:10" x14ac:dyDescent="0.55000000000000004">
      <c r="B6" s="289">
        <v>3</v>
      </c>
      <c r="C6" s="290" t="s">
        <v>1040</v>
      </c>
      <c r="D6" s="291" t="s">
        <v>473</v>
      </c>
      <c r="E6" s="292">
        <v>38</v>
      </c>
      <c r="F6" s="292">
        <v>9</v>
      </c>
      <c r="G6" s="292">
        <v>1</v>
      </c>
      <c r="H6" s="292">
        <v>48</v>
      </c>
      <c r="I6" s="292">
        <v>279534</v>
      </c>
      <c r="J6" s="292">
        <v>5823.625</v>
      </c>
    </row>
    <row r="7" spans="2:10" x14ac:dyDescent="0.55000000000000004">
      <c r="B7" s="289">
        <v>4</v>
      </c>
      <c r="C7" s="290" t="s">
        <v>1040</v>
      </c>
      <c r="D7" s="291" t="s">
        <v>474</v>
      </c>
      <c r="E7" s="292">
        <v>139</v>
      </c>
      <c r="F7" s="292">
        <v>54</v>
      </c>
      <c r="G7" s="292">
        <v>12</v>
      </c>
      <c r="H7" s="292">
        <v>205</v>
      </c>
      <c r="I7" s="292">
        <v>998054</v>
      </c>
      <c r="J7" s="292">
        <v>4868.556097560976</v>
      </c>
    </row>
    <row r="8" spans="2:10" x14ac:dyDescent="0.55000000000000004">
      <c r="B8" s="289">
        <v>5</v>
      </c>
      <c r="C8" s="290" t="s">
        <v>1040</v>
      </c>
      <c r="D8" s="291" t="s">
        <v>475</v>
      </c>
      <c r="E8" s="292">
        <v>32</v>
      </c>
      <c r="F8" s="292">
        <v>1</v>
      </c>
      <c r="G8" s="292">
        <v>0</v>
      </c>
      <c r="H8" s="292">
        <v>33</v>
      </c>
      <c r="I8" s="292">
        <v>158041</v>
      </c>
      <c r="J8" s="292">
        <v>4789.121212121212</v>
      </c>
    </row>
    <row r="9" spans="2:10" x14ac:dyDescent="0.55000000000000004">
      <c r="B9" s="289">
        <v>6</v>
      </c>
      <c r="C9" s="290" t="s">
        <v>1040</v>
      </c>
      <c r="D9" s="291" t="s">
        <v>476</v>
      </c>
      <c r="E9" s="292">
        <v>24</v>
      </c>
      <c r="F9" s="292">
        <v>0</v>
      </c>
      <c r="G9" s="292">
        <v>1</v>
      </c>
      <c r="H9" s="292">
        <v>25</v>
      </c>
      <c r="I9" s="292">
        <v>157923</v>
      </c>
      <c r="J9" s="292">
        <v>6316.92</v>
      </c>
    </row>
    <row r="10" spans="2:10" x14ac:dyDescent="0.55000000000000004">
      <c r="B10" s="289">
        <v>7</v>
      </c>
      <c r="C10" s="290" t="s">
        <v>1040</v>
      </c>
      <c r="D10" s="291" t="s">
        <v>477</v>
      </c>
      <c r="E10" s="292">
        <v>21</v>
      </c>
      <c r="F10" s="292">
        <v>3</v>
      </c>
      <c r="G10" s="292">
        <v>0</v>
      </c>
      <c r="H10" s="292">
        <v>24</v>
      </c>
      <c r="I10" s="292">
        <v>88731</v>
      </c>
      <c r="J10" s="292">
        <v>3697.125</v>
      </c>
    </row>
    <row r="11" spans="2:10" x14ac:dyDescent="0.55000000000000004">
      <c r="B11" s="289">
        <v>8</v>
      </c>
      <c r="C11" s="290" t="s">
        <v>1040</v>
      </c>
      <c r="D11" s="291" t="s">
        <v>478</v>
      </c>
      <c r="E11" s="292">
        <v>28</v>
      </c>
      <c r="F11" s="292">
        <v>9</v>
      </c>
      <c r="G11" s="292">
        <v>1</v>
      </c>
      <c r="H11" s="292">
        <v>38</v>
      </c>
      <c r="I11" s="292">
        <v>150599</v>
      </c>
      <c r="J11" s="292">
        <v>3963.1315789473683</v>
      </c>
    </row>
    <row r="12" spans="2:10" x14ac:dyDescent="0.55000000000000004">
      <c r="B12" s="289">
        <v>9</v>
      </c>
      <c r="C12" s="290" t="s">
        <v>1040</v>
      </c>
      <c r="D12" s="291" t="s">
        <v>479</v>
      </c>
      <c r="E12" s="292">
        <v>182</v>
      </c>
      <c r="F12" s="292">
        <v>61</v>
      </c>
      <c r="G12" s="292">
        <v>5</v>
      </c>
      <c r="H12" s="292">
        <v>248</v>
      </c>
      <c r="I12" s="292">
        <v>1148156</v>
      </c>
      <c r="J12" s="292">
        <v>4629.6612903225805</v>
      </c>
    </row>
    <row r="13" spans="2:10" x14ac:dyDescent="0.55000000000000004">
      <c r="B13" s="289">
        <v>10</v>
      </c>
      <c r="C13" s="290" t="s">
        <v>1040</v>
      </c>
      <c r="D13" s="291" t="s">
        <v>480</v>
      </c>
      <c r="E13" s="292">
        <v>134</v>
      </c>
      <c r="F13" s="292">
        <v>39</v>
      </c>
      <c r="G13" s="292">
        <v>13</v>
      </c>
      <c r="H13" s="292">
        <v>186</v>
      </c>
      <c r="I13" s="292">
        <v>926962</v>
      </c>
      <c r="J13" s="292">
        <v>4983.666666666667</v>
      </c>
    </row>
    <row r="14" spans="2:10" x14ac:dyDescent="0.55000000000000004">
      <c r="B14" s="289">
        <v>11</v>
      </c>
      <c r="C14" s="290" t="s">
        <v>1040</v>
      </c>
      <c r="D14" s="291" t="s">
        <v>481</v>
      </c>
      <c r="E14" s="292">
        <v>28</v>
      </c>
      <c r="F14" s="292">
        <v>0</v>
      </c>
      <c r="G14" s="292">
        <v>0</v>
      </c>
      <c r="H14" s="292">
        <v>28</v>
      </c>
      <c r="I14" s="292">
        <v>104851</v>
      </c>
      <c r="J14" s="292">
        <v>3744.6785714285716</v>
      </c>
    </row>
    <row r="15" spans="2:10" x14ac:dyDescent="0.55000000000000004">
      <c r="B15" s="289">
        <v>12</v>
      </c>
      <c r="C15" s="290" t="s">
        <v>1040</v>
      </c>
      <c r="D15" s="291" t="s">
        <v>482</v>
      </c>
      <c r="E15" s="292">
        <v>20</v>
      </c>
      <c r="F15" s="292">
        <v>6</v>
      </c>
      <c r="G15" s="292">
        <v>0</v>
      </c>
      <c r="H15" s="292">
        <v>26</v>
      </c>
      <c r="I15" s="292">
        <v>175298</v>
      </c>
      <c r="J15" s="292">
        <v>6742.2307692307695</v>
      </c>
    </row>
    <row r="16" spans="2:10" x14ac:dyDescent="0.55000000000000004">
      <c r="B16" s="289">
        <v>13</v>
      </c>
      <c r="C16" s="290" t="s">
        <v>1040</v>
      </c>
      <c r="D16" s="291" t="s">
        <v>483</v>
      </c>
      <c r="E16" s="292">
        <v>23</v>
      </c>
      <c r="F16" s="292">
        <v>4</v>
      </c>
      <c r="G16" s="292">
        <v>0</v>
      </c>
      <c r="H16" s="292">
        <v>27</v>
      </c>
      <c r="I16" s="292">
        <v>139552</v>
      </c>
      <c r="J16" s="292">
        <v>5168.5925925925922</v>
      </c>
    </row>
    <row r="17" spans="2:10" x14ac:dyDescent="0.55000000000000004">
      <c r="B17" s="289">
        <v>14</v>
      </c>
      <c r="C17" s="290" t="s">
        <v>1040</v>
      </c>
      <c r="D17" s="291" t="s">
        <v>484</v>
      </c>
      <c r="E17" s="292">
        <v>43</v>
      </c>
      <c r="F17" s="292">
        <v>7</v>
      </c>
      <c r="G17" s="292">
        <v>1</v>
      </c>
      <c r="H17" s="292">
        <v>51</v>
      </c>
      <c r="I17" s="292">
        <v>340721</v>
      </c>
      <c r="J17" s="292">
        <v>6680.8039215686276</v>
      </c>
    </row>
    <row r="18" spans="2:10" x14ac:dyDescent="0.55000000000000004">
      <c r="B18" s="293"/>
      <c r="C18" s="294" t="s">
        <v>94</v>
      </c>
      <c r="D18" s="295"/>
      <c r="E18" s="296">
        <v>764</v>
      </c>
      <c r="F18" s="296">
        <v>196</v>
      </c>
      <c r="G18" s="296">
        <v>36</v>
      </c>
      <c r="H18" s="296">
        <v>996</v>
      </c>
      <c r="I18" s="296">
        <v>4961412</v>
      </c>
      <c r="J18" s="296">
        <v>4981.3373493975905</v>
      </c>
    </row>
    <row r="19" spans="2:10" x14ac:dyDescent="0.55000000000000004">
      <c r="B19" s="289">
        <v>15</v>
      </c>
      <c r="C19" s="290" t="s">
        <v>1041</v>
      </c>
      <c r="D19" s="291" t="s">
        <v>485</v>
      </c>
      <c r="E19" s="292">
        <v>56</v>
      </c>
      <c r="F19" s="292">
        <v>7</v>
      </c>
      <c r="G19" s="292">
        <v>2</v>
      </c>
      <c r="H19" s="292">
        <v>65</v>
      </c>
      <c r="I19" s="292">
        <v>706255</v>
      </c>
      <c r="J19" s="292">
        <v>10865.461538461539</v>
      </c>
    </row>
    <row r="20" spans="2:10" x14ac:dyDescent="0.55000000000000004">
      <c r="B20" s="289">
        <v>16</v>
      </c>
      <c r="C20" s="290" t="s">
        <v>1041</v>
      </c>
      <c r="D20" s="291" t="s">
        <v>486</v>
      </c>
      <c r="E20" s="292">
        <v>84</v>
      </c>
      <c r="F20" s="292">
        <v>12</v>
      </c>
      <c r="G20" s="292">
        <v>3</v>
      </c>
      <c r="H20" s="292">
        <v>99</v>
      </c>
      <c r="I20" s="292">
        <v>739953</v>
      </c>
      <c r="J20" s="292">
        <v>7474.272727272727</v>
      </c>
    </row>
    <row r="21" spans="2:10" x14ac:dyDescent="0.55000000000000004">
      <c r="B21" s="289">
        <v>17</v>
      </c>
      <c r="C21" s="290" t="s">
        <v>1041</v>
      </c>
      <c r="D21" s="291" t="s">
        <v>487</v>
      </c>
      <c r="E21" s="292">
        <v>89</v>
      </c>
      <c r="F21" s="292">
        <v>8</v>
      </c>
      <c r="G21" s="292">
        <v>13</v>
      </c>
      <c r="H21" s="292">
        <v>110</v>
      </c>
      <c r="I21" s="292">
        <v>867747</v>
      </c>
      <c r="J21" s="292">
        <v>7888.6090909090908</v>
      </c>
    </row>
    <row r="22" spans="2:10" x14ac:dyDescent="0.55000000000000004">
      <c r="B22" s="289">
        <v>18</v>
      </c>
      <c r="C22" s="290" t="s">
        <v>1041</v>
      </c>
      <c r="D22" s="291" t="s">
        <v>488</v>
      </c>
      <c r="E22" s="292">
        <v>65</v>
      </c>
      <c r="F22" s="292">
        <v>8</v>
      </c>
      <c r="G22" s="292">
        <v>10</v>
      </c>
      <c r="H22" s="292">
        <v>83</v>
      </c>
      <c r="I22" s="292">
        <v>706994</v>
      </c>
      <c r="J22" s="292">
        <v>8518</v>
      </c>
    </row>
    <row r="23" spans="2:10" x14ac:dyDescent="0.55000000000000004">
      <c r="B23" s="289">
        <v>19</v>
      </c>
      <c r="C23" s="290" t="s">
        <v>1041</v>
      </c>
      <c r="D23" s="291" t="s">
        <v>489</v>
      </c>
      <c r="E23" s="292">
        <v>83</v>
      </c>
      <c r="F23" s="292">
        <v>15</v>
      </c>
      <c r="G23" s="292">
        <v>9</v>
      </c>
      <c r="H23" s="292">
        <v>107</v>
      </c>
      <c r="I23" s="292">
        <v>862470</v>
      </c>
      <c r="J23" s="292">
        <v>8060.467289719626</v>
      </c>
    </row>
    <row r="24" spans="2:10" x14ac:dyDescent="0.55000000000000004">
      <c r="B24" s="289">
        <v>20</v>
      </c>
      <c r="C24" s="290" t="s">
        <v>1041</v>
      </c>
      <c r="D24" s="291" t="s">
        <v>490</v>
      </c>
      <c r="E24" s="292">
        <v>58</v>
      </c>
      <c r="F24" s="292">
        <v>9</v>
      </c>
      <c r="G24" s="292">
        <v>3</v>
      </c>
      <c r="H24" s="292">
        <v>70</v>
      </c>
      <c r="I24" s="292">
        <v>813573</v>
      </c>
      <c r="J24" s="292">
        <v>11622.471428571429</v>
      </c>
    </row>
    <row r="25" spans="2:10" x14ac:dyDescent="0.55000000000000004">
      <c r="B25" s="289">
        <v>21</v>
      </c>
      <c r="C25" s="290" t="s">
        <v>1041</v>
      </c>
      <c r="D25" s="291" t="s">
        <v>491</v>
      </c>
      <c r="E25" s="292">
        <v>81</v>
      </c>
      <c r="F25" s="292">
        <v>13</v>
      </c>
      <c r="G25" s="292">
        <v>6</v>
      </c>
      <c r="H25" s="292">
        <v>100</v>
      </c>
      <c r="I25" s="292">
        <v>763137</v>
      </c>
      <c r="J25" s="292">
        <v>7631.37</v>
      </c>
    </row>
    <row r="26" spans="2:10" x14ac:dyDescent="0.55000000000000004">
      <c r="B26" s="289">
        <v>22</v>
      </c>
      <c r="C26" s="290" t="s">
        <v>1041</v>
      </c>
      <c r="D26" s="291" t="s">
        <v>492</v>
      </c>
      <c r="E26" s="292">
        <v>70</v>
      </c>
      <c r="F26" s="292">
        <v>14</v>
      </c>
      <c r="G26" s="292">
        <v>7</v>
      </c>
      <c r="H26" s="292">
        <v>91</v>
      </c>
      <c r="I26" s="292">
        <v>654471</v>
      </c>
      <c r="J26" s="292">
        <v>7191.9890109890111</v>
      </c>
    </row>
    <row r="27" spans="2:10" x14ac:dyDescent="0.55000000000000004">
      <c r="B27" s="293"/>
      <c r="C27" s="294" t="s">
        <v>94</v>
      </c>
      <c r="D27" s="295"/>
      <c r="E27" s="296">
        <v>586</v>
      </c>
      <c r="F27" s="296">
        <v>86</v>
      </c>
      <c r="G27" s="296">
        <v>53</v>
      </c>
      <c r="H27" s="296">
        <v>725</v>
      </c>
      <c r="I27" s="296">
        <v>6114600</v>
      </c>
      <c r="J27" s="296">
        <v>8433.9310344827591</v>
      </c>
    </row>
    <row r="28" spans="2:10" x14ac:dyDescent="0.55000000000000004">
      <c r="B28" s="289">
        <v>23</v>
      </c>
      <c r="C28" s="290" t="s">
        <v>1042</v>
      </c>
      <c r="D28" s="291" t="s">
        <v>493</v>
      </c>
      <c r="E28" s="292">
        <v>31</v>
      </c>
      <c r="F28" s="292">
        <v>3</v>
      </c>
      <c r="G28" s="292">
        <v>0</v>
      </c>
      <c r="H28" s="292">
        <v>34</v>
      </c>
      <c r="I28" s="292">
        <v>172767</v>
      </c>
      <c r="J28" s="292">
        <v>5081.3823529411766</v>
      </c>
    </row>
    <row r="29" spans="2:10" x14ac:dyDescent="0.55000000000000004">
      <c r="B29" s="289">
        <v>24</v>
      </c>
      <c r="C29" s="290" t="s">
        <v>1042</v>
      </c>
      <c r="D29" s="291" t="s">
        <v>494</v>
      </c>
      <c r="E29" s="292">
        <v>22</v>
      </c>
      <c r="F29" s="292">
        <v>2</v>
      </c>
      <c r="G29" s="292">
        <v>0</v>
      </c>
      <c r="H29" s="292">
        <v>24</v>
      </c>
      <c r="I29" s="292">
        <v>170302</v>
      </c>
      <c r="J29" s="292">
        <v>7095.916666666667</v>
      </c>
    </row>
    <row r="30" spans="2:10" x14ac:dyDescent="0.55000000000000004">
      <c r="B30" s="289">
        <v>25</v>
      </c>
      <c r="C30" s="290" t="s">
        <v>1042</v>
      </c>
      <c r="D30" s="291" t="s">
        <v>495</v>
      </c>
      <c r="E30" s="292">
        <v>35</v>
      </c>
      <c r="F30" s="292">
        <v>2</v>
      </c>
      <c r="G30" s="292">
        <v>2</v>
      </c>
      <c r="H30" s="292">
        <v>39</v>
      </c>
      <c r="I30" s="292">
        <v>300026</v>
      </c>
      <c r="J30" s="292">
        <v>7692.9743589743593</v>
      </c>
    </row>
    <row r="31" spans="2:10" x14ac:dyDescent="0.55000000000000004">
      <c r="B31" s="289">
        <v>26</v>
      </c>
      <c r="C31" s="290" t="s">
        <v>1042</v>
      </c>
      <c r="D31" s="291" t="s">
        <v>496</v>
      </c>
      <c r="E31" s="292">
        <v>28</v>
      </c>
      <c r="F31" s="292">
        <v>1</v>
      </c>
      <c r="G31" s="292">
        <v>1</v>
      </c>
      <c r="H31" s="292">
        <v>30</v>
      </c>
      <c r="I31" s="292">
        <v>46689</v>
      </c>
      <c r="J31" s="292">
        <v>1556.3</v>
      </c>
    </row>
    <row r="32" spans="2:10" x14ac:dyDescent="0.55000000000000004">
      <c r="B32" s="289">
        <v>27</v>
      </c>
      <c r="C32" s="290" t="s">
        <v>1042</v>
      </c>
      <c r="D32" s="291" t="s">
        <v>497</v>
      </c>
      <c r="E32" s="292">
        <v>62</v>
      </c>
      <c r="F32" s="292">
        <v>16</v>
      </c>
      <c r="G32" s="292">
        <v>1</v>
      </c>
      <c r="H32" s="292">
        <v>79</v>
      </c>
      <c r="I32" s="292">
        <v>325710</v>
      </c>
      <c r="J32" s="292">
        <v>4122.9113924050635</v>
      </c>
    </row>
    <row r="33" spans="2:10" x14ac:dyDescent="0.55000000000000004">
      <c r="B33" s="289">
        <v>28</v>
      </c>
      <c r="C33" s="290" t="s">
        <v>1042</v>
      </c>
      <c r="D33" s="291" t="s">
        <v>498</v>
      </c>
      <c r="E33" s="292">
        <v>40</v>
      </c>
      <c r="F33" s="292">
        <v>15</v>
      </c>
      <c r="G33" s="292">
        <v>1</v>
      </c>
      <c r="H33" s="292">
        <v>56</v>
      </c>
      <c r="I33" s="292">
        <v>263391</v>
      </c>
      <c r="J33" s="292">
        <v>4703.4107142857147</v>
      </c>
    </row>
    <row r="34" spans="2:10" x14ac:dyDescent="0.55000000000000004">
      <c r="B34" s="289">
        <v>29</v>
      </c>
      <c r="C34" s="290" t="s">
        <v>1042</v>
      </c>
      <c r="D34" s="291" t="s">
        <v>499</v>
      </c>
      <c r="E34" s="292">
        <v>36</v>
      </c>
      <c r="F34" s="292">
        <v>11</v>
      </c>
      <c r="G34" s="292">
        <v>0</v>
      </c>
      <c r="H34" s="292">
        <v>47</v>
      </c>
      <c r="I34" s="292">
        <v>262624</v>
      </c>
      <c r="J34" s="292">
        <v>5587.744680851064</v>
      </c>
    </row>
    <row r="35" spans="2:10" x14ac:dyDescent="0.55000000000000004">
      <c r="B35" s="289">
        <v>30</v>
      </c>
      <c r="C35" s="290" t="s">
        <v>1042</v>
      </c>
      <c r="D35" s="28" t="s">
        <v>500</v>
      </c>
      <c r="E35" s="292">
        <v>70</v>
      </c>
      <c r="F35" s="292">
        <v>14</v>
      </c>
      <c r="G35" s="292">
        <v>8</v>
      </c>
      <c r="H35" s="292">
        <v>92</v>
      </c>
      <c r="I35" s="292">
        <v>364039</v>
      </c>
      <c r="J35" s="292">
        <v>3956.945652173913</v>
      </c>
    </row>
    <row r="36" spans="2:10" x14ac:dyDescent="0.55000000000000004">
      <c r="B36" s="289">
        <v>31</v>
      </c>
      <c r="C36" s="290" t="s">
        <v>1042</v>
      </c>
      <c r="D36" s="291" t="s">
        <v>501</v>
      </c>
      <c r="E36" s="292">
        <v>938</v>
      </c>
      <c r="F36" s="292">
        <v>149</v>
      </c>
      <c r="G36" s="292">
        <v>49</v>
      </c>
      <c r="H36" s="292">
        <v>1136</v>
      </c>
      <c r="I36" s="292">
        <v>2041587</v>
      </c>
      <c r="J36" s="292">
        <v>1797.1716549295775</v>
      </c>
    </row>
    <row r="37" spans="2:10" x14ac:dyDescent="0.55000000000000004">
      <c r="B37" s="289">
        <v>32</v>
      </c>
      <c r="C37" s="290" t="s">
        <v>1042</v>
      </c>
      <c r="D37" s="291" t="s">
        <v>502</v>
      </c>
      <c r="E37" s="292">
        <v>235</v>
      </c>
      <c r="F37" s="292">
        <v>33</v>
      </c>
      <c r="G37" s="292">
        <v>17</v>
      </c>
      <c r="H37" s="292">
        <v>285</v>
      </c>
      <c r="I37" s="292">
        <v>551667</v>
      </c>
      <c r="J37" s="292">
        <v>1935.6736842105263</v>
      </c>
    </row>
    <row r="38" spans="2:10" x14ac:dyDescent="0.55000000000000004">
      <c r="B38" s="289">
        <v>33</v>
      </c>
      <c r="C38" s="290" t="s">
        <v>1042</v>
      </c>
      <c r="D38" s="291" t="s">
        <v>503</v>
      </c>
      <c r="E38" s="292">
        <v>125</v>
      </c>
      <c r="F38" s="292">
        <v>19</v>
      </c>
      <c r="G38" s="292">
        <v>5</v>
      </c>
      <c r="H38" s="292">
        <v>149</v>
      </c>
      <c r="I38" s="292">
        <v>432132</v>
      </c>
      <c r="J38" s="292">
        <v>2900.2147651006712</v>
      </c>
    </row>
    <row r="39" spans="2:10" x14ac:dyDescent="0.55000000000000004">
      <c r="B39" s="289">
        <v>34</v>
      </c>
      <c r="C39" s="290" t="s">
        <v>1042</v>
      </c>
      <c r="D39" s="291" t="s">
        <v>504</v>
      </c>
      <c r="E39" s="292">
        <v>56</v>
      </c>
      <c r="F39" s="292">
        <v>14</v>
      </c>
      <c r="G39" s="292">
        <v>8</v>
      </c>
      <c r="H39" s="292">
        <v>78</v>
      </c>
      <c r="I39" s="292">
        <v>466073</v>
      </c>
      <c r="J39" s="292">
        <v>5975.2948717948721</v>
      </c>
    </row>
    <row r="40" spans="2:10" x14ac:dyDescent="0.55000000000000004">
      <c r="B40" s="289">
        <v>35</v>
      </c>
      <c r="C40" s="290" t="s">
        <v>1042</v>
      </c>
      <c r="D40" s="291" t="s">
        <v>505</v>
      </c>
      <c r="E40" s="292">
        <v>165</v>
      </c>
      <c r="F40" s="292">
        <v>53</v>
      </c>
      <c r="G40" s="292">
        <v>18</v>
      </c>
      <c r="H40" s="292">
        <v>236</v>
      </c>
      <c r="I40" s="292">
        <v>719859</v>
      </c>
      <c r="J40" s="292">
        <v>3050.25</v>
      </c>
    </row>
    <row r="41" spans="2:10" x14ac:dyDescent="0.55000000000000004">
      <c r="B41" s="293"/>
      <c r="C41" s="294" t="s">
        <v>94</v>
      </c>
      <c r="D41" s="295"/>
      <c r="E41" s="296">
        <v>1843</v>
      </c>
      <c r="F41" s="296">
        <v>332</v>
      </c>
      <c r="G41" s="296">
        <v>110</v>
      </c>
      <c r="H41" s="296">
        <v>2285</v>
      </c>
      <c r="I41" s="296">
        <v>6116866</v>
      </c>
      <c r="J41" s="296">
        <v>2676.9654266958423</v>
      </c>
    </row>
    <row r="42" spans="2:10" x14ac:dyDescent="0.55000000000000004">
      <c r="B42" s="289">
        <v>36</v>
      </c>
      <c r="C42" s="290" t="s">
        <v>1043</v>
      </c>
      <c r="D42" s="291" t="s">
        <v>506</v>
      </c>
      <c r="E42" s="292">
        <v>45</v>
      </c>
      <c r="F42" s="292">
        <v>6</v>
      </c>
      <c r="G42" s="292">
        <v>3</v>
      </c>
      <c r="H42" s="292">
        <v>54</v>
      </c>
      <c r="I42" s="292">
        <v>251027</v>
      </c>
      <c r="J42" s="292">
        <v>4648.6481481481478</v>
      </c>
    </row>
    <row r="43" spans="2:10" x14ac:dyDescent="0.55000000000000004">
      <c r="B43" s="289">
        <v>37</v>
      </c>
      <c r="C43" s="290" t="s">
        <v>1043</v>
      </c>
      <c r="D43" s="291" t="s">
        <v>507</v>
      </c>
      <c r="E43" s="292">
        <v>11</v>
      </c>
      <c r="F43" s="292">
        <v>0</v>
      </c>
      <c r="G43" s="292">
        <v>0</v>
      </c>
      <c r="H43" s="292">
        <v>11</v>
      </c>
      <c r="I43" s="292">
        <v>5658</v>
      </c>
      <c r="J43" s="292">
        <v>514.36363636363637</v>
      </c>
    </row>
    <row r="44" spans="2:10" x14ac:dyDescent="0.55000000000000004">
      <c r="B44" s="289">
        <v>38</v>
      </c>
      <c r="C44" s="290" t="s">
        <v>1043</v>
      </c>
      <c r="D44" s="291" t="s">
        <v>508</v>
      </c>
      <c r="E44" s="292">
        <v>44</v>
      </c>
      <c r="F44" s="292">
        <v>6</v>
      </c>
      <c r="G44" s="292">
        <v>2</v>
      </c>
      <c r="H44" s="292">
        <v>52</v>
      </c>
      <c r="I44" s="292">
        <v>155852</v>
      </c>
      <c r="J44" s="292">
        <v>2997.1538461538462</v>
      </c>
    </row>
    <row r="45" spans="2:10" x14ac:dyDescent="0.55000000000000004">
      <c r="B45" s="289">
        <v>39</v>
      </c>
      <c r="C45" s="290" t="s">
        <v>1043</v>
      </c>
      <c r="D45" s="291" t="s">
        <v>509</v>
      </c>
      <c r="E45" s="292">
        <v>204</v>
      </c>
      <c r="F45" s="292">
        <v>77</v>
      </c>
      <c r="G45" s="292">
        <v>19</v>
      </c>
      <c r="H45" s="292">
        <v>300</v>
      </c>
      <c r="I45" s="292">
        <v>600051</v>
      </c>
      <c r="J45" s="292">
        <v>2000.17</v>
      </c>
    </row>
    <row r="46" spans="2:10" x14ac:dyDescent="0.55000000000000004">
      <c r="B46" s="289">
        <v>40</v>
      </c>
      <c r="C46" s="290" t="s">
        <v>1043</v>
      </c>
      <c r="D46" s="291" t="s">
        <v>510</v>
      </c>
      <c r="E46" s="292">
        <v>78</v>
      </c>
      <c r="F46" s="292">
        <v>23</v>
      </c>
      <c r="G46" s="292">
        <v>1</v>
      </c>
      <c r="H46" s="292">
        <v>102</v>
      </c>
      <c r="I46" s="292">
        <v>321153</v>
      </c>
      <c r="J46" s="292">
        <v>3148.5588235294117</v>
      </c>
    </row>
    <row r="47" spans="2:10" x14ac:dyDescent="0.55000000000000004">
      <c r="B47" s="289">
        <v>41</v>
      </c>
      <c r="C47" s="290" t="s">
        <v>1043</v>
      </c>
      <c r="D47" s="291" t="s">
        <v>511</v>
      </c>
      <c r="E47" s="292">
        <v>46</v>
      </c>
      <c r="F47" s="292">
        <v>27</v>
      </c>
      <c r="G47" s="292">
        <v>2</v>
      </c>
      <c r="H47" s="292">
        <v>75</v>
      </c>
      <c r="I47" s="292">
        <v>253024</v>
      </c>
      <c r="J47" s="292">
        <v>3373.6533333333332</v>
      </c>
    </row>
    <row r="48" spans="2:10" x14ac:dyDescent="0.55000000000000004">
      <c r="B48" s="289">
        <v>42</v>
      </c>
      <c r="C48" s="290" t="s">
        <v>1043</v>
      </c>
      <c r="D48" s="291" t="s">
        <v>512</v>
      </c>
      <c r="E48" s="292">
        <v>15</v>
      </c>
      <c r="F48" s="292">
        <v>1</v>
      </c>
      <c r="G48" s="292">
        <v>0</v>
      </c>
      <c r="H48" s="292">
        <v>16</v>
      </c>
      <c r="I48" s="292">
        <v>14452</v>
      </c>
      <c r="J48" s="292">
        <v>903.25</v>
      </c>
    </row>
    <row r="49" spans="2:10" x14ac:dyDescent="0.55000000000000004">
      <c r="B49" s="289">
        <v>43</v>
      </c>
      <c r="C49" s="290" t="s">
        <v>1043</v>
      </c>
      <c r="D49" s="291" t="s">
        <v>513</v>
      </c>
      <c r="E49" s="292">
        <v>51</v>
      </c>
      <c r="F49" s="292">
        <v>9</v>
      </c>
      <c r="G49" s="292">
        <v>1</v>
      </c>
      <c r="H49" s="292">
        <v>61</v>
      </c>
      <c r="I49" s="292">
        <v>249211</v>
      </c>
      <c r="J49" s="292">
        <v>4085.4262295081967</v>
      </c>
    </row>
    <row r="50" spans="2:10" x14ac:dyDescent="0.55000000000000004">
      <c r="B50" s="289">
        <v>44</v>
      </c>
      <c r="C50" s="290" t="s">
        <v>1043</v>
      </c>
      <c r="D50" s="291" t="s">
        <v>514</v>
      </c>
      <c r="E50" s="292">
        <v>24</v>
      </c>
      <c r="F50" s="292">
        <v>9</v>
      </c>
      <c r="G50" s="292">
        <v>0</v>
      </c>
      <c r="H50" s="292">
        <v>33</v>
      </c>
      <c r="I50" s="292">
        <v>130887</v>
      </c>
      <c r="J50" s="292">
        <v>3966.2727272727275</v>
      </c>
    </row>
    <row r="51" spans="2:10" x14ac:dyDescent="0.55000000000000004">
      <c r="B51" s="289">
        <v>45</v>
      </c>
      <c r="C51" s="290" t="s">
        <v>1043</v>
      </c>
      <c r="D51" s="291" t="s">
        <v>515</v>
      </c>
      <c r="E51" s="292">
        <v>21</v>
      </c>
      <c r="F51" s="292">
        <v>9</v>
      </c>
      <c r="G51" s="292">
        <v>0</v>
      </c>
      <c r="H51" s="292">
        <v>30</v>
      </c>
      <c r="I51" s="292">
        <v>107033</v>
      </c>
      <c r="J51" s="292">
        <v>3567.7666666666669</v>
      </c>
    </row>
    <row r="52" spans="2:10" x14ac:dyDescent="0.55000000000000004">
      <c r="B52" s="289">
        <v>46</v>
      </c>
      <c r="C52" s="290" t="s">
        <v>1043</v>
      </c>
      <c r="D52" s="291" t="s">
        <v>516</v>
      </c>
      <c r="E52" s="292">
        <v>70</v>
      </c>
      <c r="F52" s="292">
        <v>24</v>
      </c>
      <c r="G52" s="292">
        <v>8</v>
      </c>
      <c r="H52" s="292">
        <v>102</v>
      </c>
      <c r="I52" s="292">
        <v>378079</v>
      </c>
      <c r="J52" s="292">
        <v>3706.6568627450979</v>
      </c>
    </row>
    <row r="53" spans="2:10" x14ac:dyDescent="0.55000000000000004">
      <c r="B53" s="293"/>
      <c r="C53" s="294" t="s">
        <v>94</v>
      </c>
      <c r="D53" s="295"/>
      <c r="E53" s="296">
        <v>609</v>
      </c>
      <c r="F53" s="296">
        <v>191</v>
      </c>
      <c r="G53" s="296">
        <v>36</v>
      </c>
      <c r="H53" s="296">
        <v>836</v>
      </c>
      <c r="I53" s="296">
        <v>2466427</v>
      </c>
      <c r="J53" s="296">
        <v>2950.2715311004786</v>
      </c>
    </row>
    <row r="54" spans="2:10" x14ac:dyDescent="0.55000000000000004">
      <c r="B54" s="289">
        <v>47</v>
      </c>
      <c r="C54" s="290" t="s">
        <v>1044</v>
      </c>
      <c r="D54" s="291" t="s">
        <v>517</v>
      </c>
      <c r="E54" s="292">
        <v>38</v>
      </c>
      <c r="F54" s="292">
        <v>15</v>
      </c>
      <c r="G54" s="292">
        <v>0</v>
      </c>
      <c r="H54" s="292">
        <v>53</v>
      </c>
      <c r="I54" s="292">
        <v>246494</v>
      </c>
      <c r="J54" s="292">
        <v>4650.8301886792451</v>
      </c>
    </row>
    <row r="55" spans="2:10" x14ac:dyDescent="0.55000000000000004">
      <c r="B55" s="289">
        <v>48</v>
      </c>
      <c r="C55" s="290" t="s">
        <v>1044</v>
      </c>
      <c r="D55" s="291" t="s">
        <v>518</v>
      </c>
      <c r="E55" s="292">
        <v>47</v>
      </c>
      <c r="F55" s="292">
        <v>11</v>
      </c>
      <c r="G55" s="292">
        <v>0</v>
      </c>
      <c r="H55" s="292">
        <v>58</v>
      </c>
      <c r="I55" s="292">
        <v>245027</v>
      </c>
      <c r="J55" s="292">
        <v>4224.6034482758623</v>
      </c>
    </row>
    <row r="56" spans="2:10" x14ac:dyDescent="0.55000000000000004">
      <c r="B56" s="289">
        <v>49</v>
      </c>
      <c r="C56" s="290" t="s">
        <v>1044</v>
      </c>
      <c r="D56" s="291" t="s">
        <v>519</v>
      </c>
      <c r="E56" s="292">
        <v>222</v>
      </c>
      <c r="F56" s="292">
        <v>76</v>
      </c>
      <c r="G56" s="292">
        <v>28</v>
      </c>
      <c r="H56" s="292">
        <v>326</v>
      </c>
      <c r="I56" s="292">
        <v>1121957</v>
      </c>
      <c r="J56" s="292">
        <v>3441.5858895705524</v>
      </c>
    </row>
    <row r="57" spans="2:10" x14ac:dyDescent="0.55000000000000004">
      <c r="B57" s="289">
        <v>50</v>
      </c>
      <c r="C57" s="290" t="s">
        <v>1044</v>
      </c>
      <c r="D57" s="291" t="s">
        <v>520</v>
      </c>
      <c r="E57" s="292">
        <v>86</v>
      </c>
      <c r="F57" s="292">
        <v>18</v>
      </c>
      <c r="G57" s="292">
        <v>6</v>
      </c>
      <c r="H57" s="292">
        <v>110</v>
      </c>
      <c r="I57" s="292">
        <v>682961</v>
      </c>
      <c r="J57" s="292">
        <v>6208.7363636363634</v>
      </c>
    </row>
    <row r="58" spans="2:10" x14ac:dyDescent="0.55000000000000004">
      <c r="B58" s="289">
        <v>51</v>
      </c>
      <c r="C58" s="290" t="s">
        <v>1044</v>
      </c>
      <c r="D58" s="291" t="s">
        <v>521</v>
      </c>
      <c r="E58" s="292">
        <v>21</v>
      </c>
      <c r="F58" s="292">
        <v>7</v>
      </c>
      <c r="G58" s="292">
        <v>0</v>
      </c>
      <c r="H58" s="292">
        <v>28</v>
      </c>
      <c r="I58" s="292">
        <v>177086</v>
      </c>
      <c r="J58" s="292">
        <v>6324.5</v>
      </c>
    </row>
    <row r="59" spans="2:10" x14ac:dyDescent="0.55000000000000004">
      <c r="B59" s="289">
        <v>52</v>
      </c>
      <c r="C59" s="290" t="s">
        <v>1044</v>
      </c>
      <c r="D59" s="291" t="s">
        <v>522</v>
      </c>
      <c r="E59" s="292">
        <v>21</v>
      </c>
      <c r="F59" s="292">
        <v>13</v>
      </c>
      <c r="G59" s="292">
        <v>0</v>
      </c>
      <c r="H59" s="292">
        <v>34</v>
      </c>
      <c r="I59" s="292">
        <v>232019</v>
      </c>
      <c r="J59" s="292">
        <v>6824.088235294118</v>
      </c>
    </row>
    <row r="60" spans="2:10" x14ac:dyDescent="0.55000000000000004">
      <c r="B60" s="289">
        <v>53</v>
      </c>
      <c r="C60" s="290" t="s">
        <v>1044</v>
      </c>
      <c r="D60" s="291" t="s">
        <v>523</v>
      </c>
      <c r="E60" s="292">
        <v>21</v>
      </c>
      <c r="F60" s="292">
        <v>2</v>
      </c>
      <c r="G60" s="292">
        <v>0</v>
      </c>
      <c r="H60" s="292">
        <v>23</v>
      </c>
      <c r="I60" s="292">
        <v>234793</v>
      </c>
      <c r="J60" s="292">
        <v>10208.391304347826</v>
      </c>
    </row>
    <row r="61" spans="2:10" x14ac:dyDescent="0.55000000000000004">
      <c r="B61" s="289">
        <v>54</v>
      </c>
      <c r="C61" s="290" t="s">
        <v>1044</v>
      </c>
      <c r="D61" s="291" t="s">
        <v>524</v>
      </c>
      <c r="E61" s="292">
        <v>8</v>
      </c>
      <c r="F61" s="292">
        <v>0</v>
      </c>
      <c r="G61" s="292">
        <v>0</v>
      </c>
      <c r="H61" s="292">
        <v>8</v>
      </c>
      <c r="I61" s="292">
        <v>56786</v>
      </c>
      <c r="J61" s="292">
        <v>7098.25</v>
      </c>
    </row>
    <row r="62" spans="2:10" x14ac:dyDescent="0.55000000000000004">
      <c r="B62" s="289">
        <v>55</v>
      </c>
      <c r="C62" s="290" t="s">
        <v>1044</v>
      </c>
      <c r="D62" s="291" t="s">
        <v>525</v>
      </c>
      <c r="E62" s="292">
        <v>91</v>
      </c>
      <c r="F62" s="292">
        <v>39</v>
      </c>
      <c r="G62" s="292">
        <v>3</v>
      </c>
      <c r="H62" s="292">
        <v>133</v>
      </c>
      <c r="I62" s="292">
        <v>674993</v>
      </c>
      <c r="J62" s="292">
        <v>5075.1353383458645</v>
      </c>
    </row>
    <row r="63" spans="2:10" x14ac:dyDescent="0.55000000000000004">
      <c r="B63" s="289">
        <v>56</v>
      </c>
      <c r="C63" s="290" t="s">
        <v>1044</v>
      </c>
      <c r="D63" s="291" t="s">
        <v>526</v>
      </c>
      <c r="E63" s="292">
        <v>82</v>
      </c>
      <c r="F63" s="292">
        <v>29</v>
      </c>
      <c r="G63" s="292">
        <v>7</v>
      </c>
      <c r="H63" s="292">
        <v>118</v>
      </c>
      <c r="I63" s="292">
        <v>603194</v>
      </c>
      <c r="J63" s="292">
        <v>5111.8135593220341</v>
      </c>
    </row>
    <row r="64" spans="2:10" x14ac:dyDescent="0.55000000000000004">
      <c r="B64" s="289">
        <v>57</v>
      </c>
      <c r="C64" s="290" t="s">
        <v>1044</v>
      </c>
      <c r="D64" s="291" t="s">
        <v>527</v>
      </c>
      <c r="E64" s="292">
        <v>45</v>
      </c>
      <c r="F64" s="292">
        <v>26</v>
      </c>
      <c r="G64" s="292">
        <v>0</v>
      </c>
      <c r="H64" s="292">
        <v>71</v>
      </c>
      <c r="I64" s="292">
        <v>459900</v>
      </c>
      <c r="J64" s="292">
        <v>6477.4647887323945</v>
      </c>
    </row>
    <row r="65" spans="2:10" x14ac:dyDescent="0.55000000000000004">
      <c r="B65" s="289">
        <v>58</v>
      </c>
      <c r="C65" s="290" t="s">
        <v>1044</v>
      </c>
      <c r="D65" s="291" t="s">
        <v>528</v>
      </c>
      <c r="E65" s="292">
        <v>66</v>
      </c>
      <c r="F65" s="292">
        <v>20</v>
      </c>
      <c r="G65" s="292">
        <v>3</v>
      </c>
      <c r="H65" s="292">
        <v>89</v>
      </c>
      <c r="I65" s="292">
        <v>386868</v>
      </c>
      <c r="J65" s="292">
        <v>4346.8314606741569</v>
      </c>
    </row>
    <row r="66" spans="2:10" x14ac:dyDescent="0.55000000000000004">
      <c r="B66" s="293"/>
      <c r="C66" s="294" t="s">
        <v>94</v>
      </c>
      <c r="D66" s="295"/>
      <c r="E66" s="296">
        <v>748</v>
      </c>
      <c r="F66" s="296">
        <v>256</v>
      </c>
      <c r="G66" s="296">
        <v>47</v>
      </c>
      <c r="H66" s="296">
        <v>1051</v>
      </c>
      <c r="I66" s="296">
        <v>5122078</v>
      </c>
      <c r="J66" s="296">
        <v>4873.5280685061844</v>
      </c>
    </row>
    <row r="67" spans="2:10" x14ac:dyDescent="0.55000000000000004">
      <c r="B67" s="289">
        <v>59</v>
      </c>
      <c r="C67" s="290" t="s">
        <v>1005</v>
      </c>
      <c r="D67" s="291" t="s">
        <v>529</v>
      </c>
      <c r="E67" s="292">
        <v>22</v>
      </c>
      <c r="F67" s="292">
        <v>2</v>
      </c>
      <c r="G67" s="292">
        <v>1</v>
      </c>
      <c r="H67" s="292">
        <v>25</v>
      </c>
      <c r="I67" s="292">
        <v>166740</v>
      </c>
      <c r="J67" s="292">
        <v>6669.6</v>
      </c>
    </row>
    <row r="68" spans="2:10" x14ac:dyDescent="0.55000000000000004">
      <c r="B68" s="289">
        <v>60</v>
      </c>
      <c r="C68" s="290" t="s">
        <v>1005</v>
      </c>
      <c r="D68" s="291" t="s">
        <v>530</v>
      </c>
      <c r="E68" s="292">
        <v>26</v>
      </c>
      <c r="F68" s="292">
        <v>5</v>
      </c>
      <c r="G68" s="292">
        <v>1</v>
      </c>
      <c r="H68" s="292">
        <v>32</v>
      </c>
      <c r="I68" s="292">
        <v>238515</v>
      </c>
      <c r="J68" s="292">
        <v>7453.59375</v>
      </c>
    </row>
    <row r="69" spans="2:10" x14ac:dyDescent="0.55000000000000004">
      <c r="B69" s="289">
        <v>61</v>
      </c>
      <c r="C69" s="290" t="s">
        <v>1005</v>
      </c>
      <c r="D69" s="291" t="s">
        <v>531</v>
      </c>
      <c r="E69" s="292">
        <v>56</v>
      </c>
      <c r="F69" s="292">
        <v>10</v>
      </c>
      <c r="G69" s="292">
        <v>1</v>
      </c>
      <c r="H69" s="292">
        <v>67</v>
      </c>
      <c r="I69" s="292">
        <v>415126</v>
      </c>
      <c r="J69" s="292">
        <v>6195.9104477611936</v>
      </c>
    </row>
    <row r="70" spans="2:10" x14ac:dyDescent="0.55000000000000004">
      <c r="B70" s="289">
        <v>62</v>
      </c>
      <c r="C70" s="290" t="s">
        <v>1005</v>
      </c>
      <c r="D70" s="291" t="s">
        <v>532</v>
      </c>
      <c r="E70" s="292">
        <v>26</v>
      </c>
      <c r="F70" s="292">
        <v>1</v>
      </c>
      <c r="G70" s="292">
        <v>0</v>
      </c>
      <c r="H70" s="292">
        <v>27</v>
      </c>
      <c r="I70" s="292">
        <v>252313</v>
      </c>
      <c r="J70" s="292">
        <v>9344.9259259259252</v>
      </c>
    </row>
    <row r="71" spans="2:10" x14ac:dyDescent="0.55000000000000004">
      <c r="B71" s="289">
        <v>63</v>
      </c>
      <c r="C71" s="290" t="s">
        <v>1005</v>
      </c>
      <c r="D71" s="291" t="s">
        <v>533</v>
      </c>
      <c r="E71" s="292">
        <v>16</v>
      </c>
      <c r="F71" s="292">
        <v>1</v>
      </c>
      <c r="G71" s="292">
        <v>0</v>
      </c>
      <c r="H71" s="292">
        <v>17</v>
      </c>
      <c r="I71" s="292">
        <v>189360</v>
      </c>
      <c r="J71" s="292">
        <v>11138.823529411764</v>
      </c>
    </row>
    <row r="72" spans="2:10" x14ac:dyDescent="0.55000000000000004">
      <c r="B72" s="289">
        <v>64</v>
      </c>
      <c r="C72" s="290" t="s">
        <v>1005</v>
      </c>
      <c r="D72" s="291" t="s">
        <v>534</v>
      </c>
      <c r="E72" s="292">
        <v>13</v>
      </c>
      <c r="F72" s="292">
        <v>0</v>
      </c>
      <c r="G72" s="292">
        <v>0</v>
      </c>
      <c r="H72" s="292">
        <v>13</v>
      </c>
      <c r="I72" s="292">
        <v>42774</v>
      </c>
      <c r="J72" s="292">
        <v>3290.3076923076924</v>
      </c>
    </row>
    <row r="73" spans="2:10" x14ac:dyDescent="0.55000000000000004">
      <c r="B73" s="289">
        <v>65</v>
      </c>
      <c r="C73" s="290" t="s">
        <v>1005</v>
      </c>
      <c r="D73" s="291" t="s">
        <v>535</v>
      </c>
      <c r="E73" s="292">
        <v>23</v>
      </c>
      <c r="F73" s="292">
        <v>1</v>
      </c>
      <c r="G73" s="292">
        <v>0</v>
      </c>
      <c r="H73" s="292">
        <v>24</v>
      </c>
      <c r="I73" s="292">
        <v>118349</v>
      </c>
      <c r="J73" s="292">
        <v>4931.208333333333</v>
      </c>
    </row>
    <row r="74" spans="2:10" x14ac:dyDescent="0.55000000000000004">
      <c r="B74" s="289">
        <v>66</v>
      </c>
      <c r="C74" s="290" t="s">
        <v>1005</v>
      </c>
      <c r="D74" s="291" t="s">
        <v>536</v>
      </c>
      <c r="E74" s="292">
        <v>17</v>
      </c>
      <c r="F74" s="292">
        <v>0</v>
      </c>
      <c r="G74" s="292">
        <v>0</v>
      </c>
      <c r="H74" s="292">
        <v>17</v>
      </c>
      <c r="I74" s="292">
        <v>145292</v>
      </c>
      <c r="J74" s="292">
        <v>8546.5882352941171</v>
      </c>
    </row>
    <row r="75" spans="2:10" x14ac:dyDescent="0.55000000000000004">
      <c r="B75" s="289">
        <v>67</v>
      </c>
      <c r="C75" s="290" t="s">
        <v>1005</v>
      </c>
      <c r="D75" s="291" t="s">
        <v>537</v>
      </c>
      <c r="E75" s="292">
        <v>9</v>
      </c>
      <c r="F75" s="292">
        <v>0</v>
      </c>
      <c r="G75" s="292">
        <v>0</v>
      </c>
      <c r="H75" s="292">
        <v>9</v>
      </c>
      <c r="I75" s="292">
        <v>64549</v>
      </c>
      <c r="J75" s="292">
        <v>7172.1111111111113</v>
      </c>
    </row>
    <row r="76" spans="2:10" x14ac:dyDescent="0.55000000000000004">
      <c r="B76" s="289">
        <v>68</v>
      </c>
      <c r="C76" s="290" t="s">
        <v>1005</v>
      </c>
      <c r="D76" s="291" t="s">
        <v>538</v>
      </c>
      <c r="E76" s="292">
        <v>9</v>
      </c>
      <c r="F76" s="292">
        <v>1</v>
      </c>
      <c r="G76" s="292">
        <v>0</v>
      </c>
      <c r="H76" s="292">
        <v>10</v>
      </c>
      <c r="I76" s="292">
        <v>55394</v>
      </c>
      <c r="J76" s="292">
        <v>5539.4</v>
      </c>
    </row>
    <row r="77" spans="2:10" x14ac:dyDescent="0.55000000000000004">
      <c r="B77" s="293"/>
      <c r="C77" s="294" t="s">
        <v>94</v>
      </c>
      <c r="D77" s="295"/>
      <c r="E77" s="296">
        <v>217</v>
      </c>
      <c r="F77" s="296">
        <v>21</v>
      </c>
      <c r="G77" s="296">
        <v>3</v>
      </c>
      <c r="H77" s="296">
        <v>241</v>
      </c>
      <c r="I77" s="296">
        <v>1688412</v>
      </c>
      <c r="J77" s="296">
        <v>7005.8589211618255</v>
      </c>
    </row>
    <row r="78" spans="2:10" x14ac:dyDescent="0.55000000000000004">
      <c r="B78" s="289">
        <v>69</v>
      </c>
      <c r="C78" s="290" t="s">
        <v>1045</v>
      </c>
      <c r="D78" s="291" t="s">
        <v>539</v>
      </c>
      <c r="E78" s="292">
        <v>19</v>
      </c>
      <c r="F78" s="292">
        <v>1</v>
      </c>
      <c r="G78" s="292">
        <v>0</v>
      </c>
      <c r="H78" s="292">
        <v>20</v>
      </c>
      <c r="I78" s="292">
        <v>204831</v>
      </c>
      <c r="J78" s="292">
        <v>10241.549999999999</v>
      </c>
    </row>
    <row r="79" spans="2:10" x14ac:dyDescent="0.55000000000000004">
      <c r="B79" s="289">
        <v>70</v>
      </c>
      <c r="C79" s="290" t="s">
        <v>1045</v>
      </c>
      <c r="D79" s="291" t="s">
        <v>540</v>
      </c>
      <c r="E79" s="292">
        <v>21</v>
      </c>
      <c r="F79" s="292">
        <v>1</v>
      </c>
      <c r="G79" s="292">
        <v>0</v>
      </c>
      <c r="H79" s="292">
        <v>22</v>
      </c>
      <c r="I79" s="292">
        <v>189085</v>
      </c>
      <c r="J79" s="292">
        <v>8594.7727272727279</v>
      </c>
    </row>
    <row r="80" spans="2:10" x14ac:dyDescent="0.55000000000000004">
      <c r="B80" s="289">
        <v>71</v>
      </c>
      <c r="C80" s="290" t="s">
        <v>1045</v>
      </c>
      <c r="D80" s="291" t="s">
        <v>541</v>
      </c>
      <c r="E80" s="292">
        <v>133</v>
      </c>
      <c r="F80" s="292">
        <v>30</v>
      </c>
      <c r="G80" s="292">
        <v>5</v>
      </c>
      <c r="H80" s="292">
        <v>168</v>
      </c>
      <c r="I80" s="292">
        <v>904666</v>
      </c>
      <c r="J80" s="292">
        <v>5384.916666666667</v>
      </c>
    </row>
    <row r="81" spans="2:10" x14ac:dyDescent="0.55000000000000004">
      <c r="B81" s="289">
        <v>72</v>
      </c>
      <c r="C81" s="290" t="s">
        <v>1045</v>
      </c>
      <c r="D81" s="291" t="s">
        <v>542</v>
      </c>
      <c r="E81" s="292">
        <v>13</v>
      </c>
      <c r="F81" s="292">
        <v>1</v>
      </c>
      <c r="G81" s="292">
        <v>0</v>
      </c>
      <c r="H81" s="292">
        <v>14</v>
      </c>
      <c r="I81" s="292">
        <v>138523</v>
      </c>
      <c r="J81" s="292">
        <v>9894.5</v>
      </c>
    </row>
    <row r="82" spans="2:10" x14ac:dyDescent="0.55000000000000004">
      <c r="B82" s="289">
        <v>73</v>
      </c>
      <c r="C82" s="290" t="s">
        <v>1045</v>
      </c>
      <c r="D82" s="291" t="s">
        <v>543</v>
      </c>
      <c r="E82" s="292">
        <v>18</v>
      </c>
      <c r="F82" s="292">
        <v>3</v>
      </c>
      <c r="G82" s="292">
        <v>0</v>
      </c>
      <c r="H82" s="292">
        <v>21</v>
      </c>
      <c r="I82" s="292">
        <v>228852</v>
      </c>
      <c r="J82" s="292">
        <v>10897.714285714286</v>
      </c>
    </row>
    <row r="83" spans="2:10" x14ac:dyDescent="0.55000000000000004">
      <c r="B83" s="289">
        <v>74</v>
      </c>
      <c r="C83" s="290" t="s">
        <v>1045</v>
      </c>
      <c r="D83" s="291" t="s">
        <v>544</v>
      </c>
      <c r="E83" s="292">
        <v>62</v>
      </c>
      <c r="F83" s="292">
        <v>11</v>
      </c>
      <c r="G83" s="292">
        <v>1</v>
      </c>
      <c r="H83" s="292">
        <v>74</v>
      </c>
      <c r="I83" s="292">
        <v>513757</v>
      </c>
      <c r="J83" s="292">
        <v>6942.6621621621625</v>
      </c>
    </row>
    <row r="84" spans="2:10" x14ac:dyDescent="0.55000000000000004">
      <c r="B84" s="289">
        <v>75</v>
      </c>
      <c r="C84" s="290" t="s">
        <v>1045</v>
      </c>
      <c r="D84" s="291" t="s">
        <v>545</v>
      </c>
      <c r="E84" s="292">
        <v>22</v>
      </c>
      <c r="F84" s="292">
        <v>2</v>
      </c>
      <c r="G84" s="292">
        <v>0</v>
      </c>
      <c r="H84" s="292">
        <v>24</v>
      </c>
      <c r="I84" s="292">
        <v>133310</v>
      </c>
      <c r="J84" s="292">
        <v>5554.583333333333</v>
      </c>
    </row>
    <row r="85" spans="2:10" x14ac:dyDescent="0.55000000000000004">
      <c r="B85" s="289">
        <v>76</v>
      </c>
      <c r="C85" s="290" t="s">
        <v>1045</v>
      </c>
      <c r="D85" s="291" t="s">
        <v>546</v>
      </c>
      <c r="E85" s="292">
        <v>22</v>
      </c>
      <c r="F85" s="292">
        <v>2</v>
      </c>
      <c r="G85" s="292">
        <v>0</v>
      </c>
      <c r="H85" s="292">
        <v>24</v>
      </c>
      <c r="I85" s="292">
        <v>242157</v>
      </c>
      <c r="J85" s="292">
        <v>10089.875</v>
      </c>
    </row>
    <row r="86" spans="2:10" x14ac:dyDescent="0.55000000000000004">
      <c r="B86" s="297">
        <v>77</v>
      </c>
      <c r="C86" s="290" t="s">
        <v>1045</v>
      </c>
      <c r="D86" s="298" t="s">
        <v>547</v>
      </c>
      <c r="E86" s="292">
        <v>24</v>
      </c>
      <c r="F86" s="292">
        <v>1</v>
      </c>
      <c r="G86" s="292">
        <v>0</v>
      </c>
      <c r="H86" s="292">
        <v>25</v>
      </c>
      <c r="I86" s="292">
        <v>139602</v>
      </c>
      <c r="J86" s="292">
        <v>5584.08</v>
      </c>
    </row>
    <row r="87" spans="2:10" x14ac:dyDescent="0.55000000000000004">
      <c r="B87" s="293"/>
      <c r="C87" s="294" t="s">
        <v>94</v>
      </c>
      <c r="D87" s="295"/>
      <c r="E87" s="296">
        <v>334</v>
      </c>
      <c r="F87" s="296">
        <v>52</v>
      </c>
      <c r="G87" s="296">
        <v>6</v>
      </c>
      <c r="H87" s="296">
        <v>392</v>
      </c>
      <c r="I87" s="296">
        <v>2694783</v>
      </c>
      <c r="J87" s="296">
        <v>6874.4464285714284</v>
      </c>
    </row>
    <row r="88" spans="2:10" x14ac:dyDescent="0.55000000000000004">
      <c r="B88" s="299"/>
      <c r="C88" s="300" t="s">
        <v>548</v>
      </c>
      <c r="D88" s="301"/>
      <c r="E88" s="302">
        <f>E87+E77+E66+E53+E41+E27+E18</f>
        <v>5101</v>
      </c>
      <c r="F88" s="302">
        <f>F87+F77+F66+F53+F41+F27+F18</f>
        <v>1134</v>
      </c>
      <c r="G88" s="302">
        <f>G87+G77+G66+G53+G41+G27+G18</f>
        <v>291</v>
      </c>
      <c r="H88" s="302">
        <f>H87+H77+H66+H53+H41+H27+H18</f>
        <v>6526</v>
      </c>
      <c r="I88" s="302">
        <f>I87+I77+I66+I53+I41+I27+I18</f>
        <v>29164578</v>
      </c>
      <c r="J88" s="302"/>
    </row>
    <row r="89" spans="2:10" x14ac:dyDescent="0.55000000000000004">
      <c r="C89" s="303"/>
    </row>
    <row r="90" spans="2:10" ht="18" x14ac:dyDescent="0.55000000000000004">
      <c r="B90" s="303"/>
      <c r="C90" s="303"/>
      <c r="D90" s="304" t="s">
        <v>549</v>
      </c>
      <c r="E90" s="119" t="s">
        <v>550</v>
      </c>
      <c r="F90" s="119" t="s">
        <v>551</v>
      </c>
      <c r="G90" s="119" t="s">
        <v>552</v>
      </c>
      <c r="H90" s="119" t="s">
        <v>553</v>
      </c>
      <c r="I90" s="119" t="s">
        <v>554</v>
      </c>
      <c r="J90" s="119" t="s">
        <v>94</v>
      </c>
    </row>
    <row r="91" spans="2:10" x14ac:dyDescent="0.55000000000000004">
      <c r="B91" s="303"/>
      <c r="C91" s="303"/>
      <c r="D91" s="304" t="s">
        <v>555</v>
      </c>
      <c r="E91" s="305">
        <v>20</v>
      </c>
      <c r="F91" s="305">
        <v>17</v>
      </c>
      <c r="G91" s="305">
        <v>17</v>
      </c>
      <c r="H91" s="305">
        <v>52</v>
      </c>
      <c r="I91" s="305">
        <v>1</v>
      </c>
      <c r="J91" s="306">
        <v>107</v>
      </c>
    </row>
    <row r="92" spans="2:10" x14ac:dyDescent="0.55000000000000004">
      <c r="B92" s="307"/>
      <c r="C92" s="303"/>
      <c r="D92" s="304" t="s">
        <v>556</v>
      </c>
      <c r="E92" s="305">
        <v>5101</v>
      </c>
      <c r="F92" s="305">
        <v>1134</v>
      </c>
      <c r="G92" s="305">
        <v>291</v>
      </c>
      <c r="H92" s="305">
        <v>5002</v>
      </c>
      <c r="I92" s="305">
        <v>0</v>
      </c>
      <c r="J92" s="306">
        <v>11528</v>
      </c>
    </row>
    <row r="93" spans="2:10" ht="18" x14ac:dyDescent="0.55000000000000004">
      <c r="B93" s="307"/>
      <c r="C93" s="303"/>
      <c r="D93" s="308" t="s">
        <v>557</v>
      </c>
      <c r="E93" s="309"/>
      <c r="F93" s="309"/>
      <c r="G93" s="309"/>
      <c r="H93" s="309"/>
      <c r="I93" s="310"/>
      <c r="J93" s="306">
        <v>4468.9822249463687</v>
      </c>
    </row>
    <row r="94" spans="2:10" ht="18" x14ac:dyDescent="0.55000000000000004">
      <c r="B94" s="307"/>
      <c r="C94" s="303"/>
      <c r="D94" s="308" t="s">
        <v>558</v>
      </c>
      <c r="E94" s="309"/>
      <c r="F94" s="309"/>
      <c r="G94" s="309"/>
      <c r="H94" s="309"/>
      <c r="I94" s="310"/>
      <c r="J94" s="306">
        <v>2529.89052741152</v>
      </c>
    </row>
    <row r="95" spans="2:10" x14ac:dyDescent="0.55000000000000004">
      <c r="B95" s="307"/>
      <c r="C95" s="307"/>
      <c r="D95" s="307"/>
      <c r="E95" s="307"/>
      <c r="F95" s="307"/>
      <c r="G95" s="307"/>
      <c r="H95" s="307"/>
      <c r="I95" s="307"/>
      <c r="J95" s="307"/>
    </row>
    <row r="96" spans="2:10" x14ac:dyDescent="0.55000000000000004">
      <c r="B96" s="307"/>
      <c r="C96" s="303"/>
      <c r="D96" s="303"/>
      <c r="E96" s="303"/>
      <c r="F96" s="303"/>
      <c r="G96" s="303"/>
      <c r="H96" s="303"/>
      <c r="I96" s="303"/>
      <c r="J96" s="303"/>
    </row>
    <row r="97" spans="2:10" ht="31.35" x14ac:dyDescent="0.55000000000000004">
      <c r="B97" s="307"/>
      <c r="C97" s="303"/>
      <c r="D97" s="49" t="s">
        <v>464</v>
      </c>
      <c r="E97" s="311" t="s">
        <v>550</v>
      </c>
      <c r="F97" s="311" t="s">
        <v>551</v>
      </c>
      <c r="G97" s="311" t="s">
        <v>552</v>
      </c>
      <c r="H97" s="311" t="s">
        <v>553</v>
      </c>
      <c r="I97" s="312" t="s">
        <v>559</v>
      </c>
      <c r="J97" s="312" t="s">
        <v>560</v>
      </c>
    </row>
    <row r="98" spans="2:10" x14ac:dyDescent="0.55000000000000004">
      <c r="B98" s="307"/>
      <c r="C98" s="303"/>
      <c r="D98" s="119" t="s">
        <v>1040</v>
      </c>
      <c r="E98" s="313">
        <v>764</v>
      </c>
      <c r="F98" s="313">
        <v>196</v>
      </c>
      <c r="G98" s="313">
        <v>36</v>
      </c>
      <c r="H98" s="313">
        <v>856</v>
      </c>
      <c r="I98" s="313">
        <v>996</v>
      </c>
      <c r="J98" s="313">
        <v>1852</v>
      </c>
    </row>
    <row r="99" spans="2:10" x14ac:dyDescent="0.55000000000000004">
      <c r="B99" s="307"/>
      <c r="C99" s="303"/>
      <c r="D99" s="119" t="s">
        <v>1041</v>
      </c>
      <c r="E99" s="313">
        <v>586</v>
      </c>
      <c r="F99" s="313">
        <v>86</v>
      </c>
      <c r="G99" s="313">
        <v>53</v>
      </c>
      <c r="H99" s="313">
        <v>1033</v>
      </c>
      <c r="I99" s="313">
        <v>725</v>
      </c>
      <c r="J99" s="313">
        <v>1758</v>
      </c>
    </row>
    <row r="100" spans="2:10" x14ac:dyDescent="0.55000000000000004">
      <c r="B100" s="307"/>
      <c r="C100" s="303"/>
      <c r="D100" s="119" t="s">
        <v>1042</v>
      </c>
      <c r="E100" s="313">
        <v>1843</v>
      </c>
      <c r="F100" s="313">
        <v>332</v>
      </c>
      <c r="G100" s="313">
        <v>110</v>
      </c>
      <c r="H100" s="313">
        <v>751</v>
      </c>
      <c r="I100" s="313">
        <v>2285</v>
      </c>
      <c r="J100" s="313">
        <v>3036</v>
      </c>
    </row>
    <row r="101" spans="2:10" x14ac:dyDescent="0.55000000000000004">
      <c r="B101" s="307"/>
      <c r="C101" s="303"/>
      <c r="D101" s="119" t="s">
        <v>1043</v>
      </c>
      <c r="E101" s="313">
        <v>609</v>
      </c>
      <c r="F101" s="313">
        <v>191</v>
      </c>
      <c r="G101" s="313">
        <v>36</v>
      </c>
      <c r="H101" s="313">
        <v>563</v>
      </c>
      <c r="I101" s="313">
        <v>836</v>
      </c>
      <c r="J101" s="313">
        <v>1399</v>
      </c>
    </row>
    <row r="102" spans="2:10" x14ac:dyDescent="0.55000000000000004">
      <c r="B102" s="307"/>
      <c r="C102" s="303"/>
      <c r="D102" s="119" t="s">
        <v>1044</v>
      </c>
      <c r="E102" s="313">
        <v>748</v>
      </c>
      <c r="F102" s="313">
        <v>256</v>
      </c>
      <c r="G102" s="313">
        <v>47</v>
      </c>
      <c r="H102" s="313">
        <v>1097</v>
      </c>
      <c r="I102" s="313">
        <v>1051</v>
      </c>
      <c r="J102" s="313">
        <v>2148</v>
      </c>
    </row>
    <row r="103" spans="2:10" x14ac:dyDescent="0.55000000000000004">
      <c r="B103" s="307"/>
      <c r="C103" s="303"/>
      <c r="D103" s="119" t="s">
        <v>1005</v>
      </c>
      <c r="E103" s="313">
        <v>217</v>
      </c>
      <c r="F103" s="313">
        <v>21</v>
      </c>
      <c r="G103" s="313">
        <v>3</v>
      </c>
      <c r="H103" s="313">
        <v>238</v>
      </c>
      <c r="I103" s="313">
        <v>241</v>
      </c>
      <c r="J103" s="313">
        <v>479</v>
      </c>
    </row>
    <row r="104" spans="2:10" x14ac:dyDescent="0.55000000000000004">
      <c r="B104" s="307"/>
      <c r="C104" s="303"/>
      <c r="D104" s="119" t="s">
        <v>1045</v>
      </c>
      <c r="E104" s="313">
        <v>334</v>
      </c>
      <c r="F104" s="313">
        <v>52</v>
      </c>
      <c r="G104" s="313">
        <v>6</v>
      </c>
      <c r="H104" s="313">
        <v>464</v>
      </c>
      <c r="I104" s="313">
        <v>392</v>
      </c>
      <c r="J104" s="313">
        <v>856</v>
      </c>
    </row>
    <row r="105" spans="2:10" x14ac:dyDescent="0.55000000000000004">
      <c r="B105" s="307"/>
      <c r="C105" s="303"/>
      <c r="D105" s="119" t="s">
        <v>94</v>
      </c>
      <c r="E105" s="314">
        <v>5101</v>
      </c>
      <c r="F105" s="314">
        <v>1134</v>
      </c>
      <c r="G105" s="314">
        <v>291</v>
      </c>
      <c r="H105" s="314">
        <v>5002</v>
      </c>
      <c r="I105" s="314">
        <v>6526</v>
      </c>
      <c r="J105" s="314">
        <v>11528</v>
      </c>
    </row>
    <row r="106" spans="2:10" x14ac:dyDescent="0.55000000000000004">
      <c r="B106" s="307"/>
      <c r="C106" s="303"/>
      <c r="D106" s="303"/>
      <c r="E106" s="303"/>
      <c r="F106" s="303"/>
      <c r="G106" s="303"/>
      <c r="H106" s="303"/>
      <c r="I106" s="303"/>
      <c r="J106" s="303"/>
    </row>
    <row r="107" spans="2:10" x14ac:dyDescent="0.55000000000000004">
      <c r="B107" s="307"/>
      <c r="C107" s="55" t="s">
        <v>1046</v>
      </c>
      <c r="H107" s="167"/>
    </row>
    <row r="108" spans="2:10" x14ac:dyDescent="0.55000000000000004">
      <c r="B108" s="307"/>
      <c r="C108" s="55" t="s">
        <v>1047</v>
      </c>
      <c r="G108" s="315"/>
      <c r="H108" s="315"/>
    </row>
    <row r="109" spans="2:10" x14ac:dyDescent="0.55000000000000004">
      <c r="B109" s="307"/>
      <c r="C109" s="55" t="s">
        <v>1048</v>
      </c>
    </row>
    <row r="110" spans="2:10" x14ac:dyDescent="0.55000000000000004">
      <c r="B110" s="307"/>
      <c r="C110" s="55" t="s">
        <v>1049</v>
      </c>
    </row>
  </sheetData>
  <mergeCells count="4">
    <mergeCell ref="B2:J2"/>
    <mergeCell ref="D93:I93"/>
    <mergeCell ref="D94:I94"/>
    <mergeCell ref="G108:H10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9F205-4D31-4D3B-B0EB-72C2D0CB7EFD}">
  <sheetPr codeName="Sheet49"/>
  <dimension ref="A1:HY59"/>
  <sheetViews>
    <sheetView zoomScaleNormal="100" workbookViewId="0">
      <pane xSplit="3" ySplit="5" topLeftCell="HP6"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1.5859375" style="34" customWidth="1"/>
    <col min="2" max="2" width="9.29296875" style="34" bestFit="1" customWidth="1"/>
    <col min="3" max="3" width="43.703125" style="34" customWidth="1"/>
    <col min="4" max="4" width="11.1171875" style="34" bestFit="1" customWidth="1"/>
    <col min="5" max="84" width="17.29296875" style="34" customWidth="1"/>
    <col min="85" max="85" width="17.29296875" style="196" customWidth="1"/>
    <col min="86" max="86" width="17.29296875" style="34" customWidth="1"/>
    <col min="87" max="87" width="17.29296875" style="196" customWidth="1"/>
    <col min="88" max="88" width="17.29296875" style="34" customWidth="1"/>
    <col min="89" max="89" width="17.29296875" style="196" customWidth="1"/>
    <col min="90" max="90" width="17.29296875" style="34" customWidth="1"/>
    <col min="91" max="91" width="17.29296875" style="196" customWidth="1"/>
    <col min="92" max="92" width="17.29296875" style="34" customWidth="1"/>
    <col min="93" max="93" width="17.29296875" style="196" customWidth="1"/>
    <col min="94" max="94" width="17.29296875" style="34" customWidth="1"/>
    <col min="95" max="95" width="17.29296875" style="196" customWidth="1"/>
    <col min="96" max="96" width="17.29296875" style="34" customWidth="1"/>
    <col min="97" max="98" width="17.29296875" style="196" customWidth="1"/>
    <col min="99" max="99" width="17.29296875" style="34" customWidth="1"/>
    <col min="100" max="100" width="17.29296875" style="196" customWidth="1"/>
    <col min="101" max="101" width="17.29296875" style="34" customWidth="1"/>
    <col min="102" max="102" width="17.29296875" style="196" customWidth="1"/>
    <col min="103" max="103" width="17.29296875" style="34" customWidth="1"/>
    <col min="104" max="104" width="17.29296875" style="196" customWidth="1"/>
    <col min="105" max="105" width="17.29296875" style="34" customWidth="1"/>
    <col min="106" max="106" width="17.29296875" style="196" customWidth="1"/>
    <col min="107" max="107" width="17.29296875" style="34" customWidth="1"/>
    <col min="108" max="108" width="17.29296875" style="196" customWidth="1"/>
    <col min="109" max="109" width="17.29296875" style="34" customWidth="1"/>
    <col min="110" max="110" width="17.29296875" style="196" customWidth="1"/>
    <col min="111" max="111" width="17.29296875" style="34" customWidth="1"/>
    <col min="112" max="112" width="17.29296875" style="196" customWidth="1"/>
    <col min="113" max="113" width="17.29296875" style="34" customWidth="1"/>
    <col min="114" max="114" width="17.29296875" style="196" customWidth="1"/>
    <col min="115" max="115" width="17.29296875" style="34" customWidth="1"/>
    <col min="116" max="116" width="17.29296875" style="196" customWidth="1"/>
    <col min="117" max="117" width="17.29296875" style="34" customWidth="1"/>
    <col min="118" max="118" width="17.29296875" style="196" customWidth="1"/>
    <col min="119" max="119" width="17.29296875" style="34" customWidth="1"/>
    <col min="120" max="120" width="17.29296875" style="196" customWidth="1"/>
    <col min="121" max="121" width="17.29296875" style="34" customWidth="1"/>
    <col min="122" max="122" width="17.29296875" style="196" customWidth="1"/>
    <col min="123" max="123" width="17.29296875" style="34" customWidth="1"/>
    <col min="124" max="124" width="17.29296875" style="196" customWidth="1"/>
    <col min="125" max="125" width="17.29296875" style="34" customWidth="1"/>
    <col min="126" max="126" width="17.29296875" style="196" customWidth="1"/>
    <col min="127" max="127" width="17.29296875" style="34" customWidth="1"/>
    <col min="128" max="129" width="16.1171875" style="34" customWidth="1"/>
    <col min="130" max="131" width="16.703125" style="34" customWidth="1"/>
    <col min="132" max="132" width="13.1171875" style="34" customWidth="1"/>
    <col min="133" max="133" width="14.5859375" style="34" bestFit="1" customWidth="1"/>
    <col min="134" max="134" width="12.29296875" style="34" bestFit="1" customWidth="1"/>
    <col min="135" max="135" width="14.5859375" style="34" bestFit="1" customWidth="1"/>
    <col min="136" max="136" width="12.29296875" style="34" bestFit="1" customWidth="1"/>
    <col min="137" max="137" width="19" style="34" customWidth="1"/>
    <col min="138" max="138" width="12.29296875" style="34" bestFit="1" customWidth="1"/>
    <col min="139" max="139" width="19" style="34" customWidth="1"/>
    <col min="140" max="140" width="12.29296875" style="34" bestFit="1" customWidth="1"/>
    <col min="141" max="141" width="19" style="34" customWidth="1"/>
    <col min="142" max="142" width="12.29296875" style="34" bestFit="1" customWidth="1"/>
    <col min="143" max="143" width="19" style="34" customWidth="1"/>
    <col min="144" max="144" width="12.29296875" style="34" bestFit="1" customWidth="1"/>
    <col min="145" max="145" width="19" style="34" customWidth="1"/>
    <col min="146" max="146" width="12.29296875" style="34" bestFit="1" customWidth="1"/>
    <col min="147" max="147" width="19" style="34" customWidth="1"/>
    <col min="148" max="148" width="12.29296875" style="34" bestFit="1" customWidth="1"/>
    <col min="149" max="149" width="19" style="34" customWidth="1"/>
    <col min="150" max="150" width="12.29296875" style="34" bestFit="1" customWidth="1"/>
    <col min="151" max="151" width="19" style="34" customWidth="1"/>
    <col min="152" max="152" width="12.29296875" style="34" bestFit="1" customWidth="1"/>
    <col min="153" max="153" width="19" style="34" customWidth="1"/>
    <col min="154" max="154" width="12.29296875" style="34" bestFit="1" customWidth="1"/>
    <col min="155" max="155" width="20.87890625" style="34" customWidth="1"/>
    <col min="156" max="156" width="12.29296875" style="34" bestFit="1" customWidth="1"/>
    <col min="157" max="157" width="20.87890625" style="34" customWidth="1"/>
    <col min="158" max="158" width="12.29296875" style="34" bestFit="1" customWidth="1"/>
    <col min="159" max="159" width="22" style="34" customWidth="1"/>
    <col min="160" max="160" width="12.29296875" style="34" bestFit="1" customWidth="1"/>
    <col min="161" max="161" width="22" style="34" customWidth="1"/>
    <col min="162" max="162" width="12.29296875" style="34" bestFit="1" customWidth="1"/>
    <col min="163" max="163" width="17.87890625" style="34" customWidth="1"/>
    <col min="164" max="164" width="12.29296875" style="34" bestFit="1" customWidth="1"/>
    <col min="165" max="165" width="17.5859375" style="34" customWidth="1"/>
    <col min="166" max="166" width="13.87890625" style="34" bestFit="1" customWidth="1"/>
    <col min="167" max="167" width="14.5859375" style="34" bestFit="1" customWidth="1"/>
    <col min="168" max="168" width="12.29296875" style="34" bestFit="1" customWidth="1"/>
    <col min="169" max="169" width="17.703125" style="34" customWidth="1"/>
    <col min="170" max="170" width="12.29296875" style="34" bestFit="1" customWidth="1"/>
    <col min="171" max="171" width="16.1171875" style="34" customWidth="1"/>
    <col min="172" max="172" width="12.5859375" style="34" customWidth="1"/>
    <col min="173" max="173" width="15.5859375" style="34" customWidth="1"/>
    <col min="174" max="174" width="13.5859375" style="34" customWidth="1"/>
    <col min="175" max="183" width="15.703125" style="34" customWidth="1"/>
    <col min="184" max="184" width="12.5859375" style="34" bestFit="1" customWidth="1"/>
    <col min="185" max="185" width="17" style="34" customWidth="1"/>
    <col min="186" max="186" width="12.41015625" style="34" bestFit="1" customWidth="1"/>
    <col min="187" max="187" width="13.29296875" style="34" bestFit="1" customWidth="1"/>
    <col min="188" max="188" width="12.41015625" style="34" bestFit="1" customWidth="1"/>
    <col min="189" max="189" width="13.29296875" style="34" bestFit="1" customWidth="1"/>
    <col min="190" max="190" width="12.41015625" style="34" bestFit="1" customWidth="1"/>
    <col min="191" max="191" width="13.29296875" style="34" bestFit="1" customWidth="1"/>
    <col min="192" max="192" width="14.29296875" style="34" customWidth="1"/>
    <col min="193" max="193" width="13.29296875" style="34" bestFit="1" customWidth="1"/>
    <col min="194" max="194" width="12.41015625" style="34" bestFit="1" customWidth="1"/>
    <col min="195" max="195" width="13.29296875" style="34" bestFit="1" customWidth="1"/>
    <col min="196" max="196" width="12.41015625" style="34" bestFit="1" customWidth="1"/>
    <col min="197" max="197" width="13.29296875" style="34" bestFit="1" customWidth="1"/>
    <col min="198" max="198" width="12.41015625" style="34" bestFit="1" customWidth="1"/>
    <col min="199" max="199" width="13.29296875" style="34" bestFit="1" customWidth="1"/>
    <col min="200" max="200" width="12.41015625" style="34" bestFit="1" customWidth="1"/>
    <col min="201" max="201" width="16" style="34" customWidth="1"/>
    <col min="202" max="202" width="12.87890625" style="34" customWidth="1"/>
    <col min="203" max="203" width="14" style="34" customWidth="1"/>
    <col min="204" max="204" width="12.41015625" style="34" bestFit="1" customWidth="1"/>
    <col min="205" max="205" width="13.87890625" style="34" customWidth="1"/>
    <col min="206" max="206" width="12.703125" style="34" bestFit="1" customWidth="1"/>
    <col min="207" max="207" width="13.29296875" style="34" bestFit="1" customWidth="1"/>
    <col min="208" max="209" width="13.29296875" style="34" customWidth="1"/>
    <col min="210" max="210" width="12.703125" style="34" bestFit="1" customWidth="1"/>
    <col min="211" max="211" width="13.29296875" style="34" customWidth="1"/>
    <col min="212" max="212" width="12.5859375" style="34" customWidth="1"/>
    <col min="213" max="213" width="14.703125" style="34" customWidth="1"/>
    <col min="214" max="214" width="12.703125" style="34" bestFit="1" customWidth="1"/>
    <col min="215" max="215" width="13.29296875" style="34" bestFit="1" customWidth="1"/>
    <col min="216" max="216" width="12.703125" style="34" bestFit="1" customWidth="1"/>
    <col min="217" max="217" width="13.29296875" style="34" bestFit="1" customWidth="1"/>
    <col min="218" max="218" width="12.703125" style="34" bestFit="1" customWidth="1"/>
    <col min="219" max="219" width="13.29296875" style="34" bestFit="1" customWidth="1"/>
    <col min="220" max="220" width="11.52734375" style="34" customWidth="1"/>
    <col min="221" max="221" width="15.5859375" style="34" customWidth="1"/>
    <col min="222" max="222" width="12.703125" style="34" bestFit="1" customWidth="1"/>
    <col min="223" max="223" width="16.76171875" style="34" customWidth="1"/>
    <col min="224" max="224" width="12.703125" style="34" bestFit="1" customWidth="1"/>
    <col min="225" max="225" width="14.76171875" style="34" customWidth="1"/>
    <col min="226" max="226" width="12.703125" style="34" bestFit="1" customWidth="1"/>
    <col min="227" max="227" width="14.29296875" style="34" customWidth="1"/>
    <col min="228" max="228" width="12.703125" style="34" bestFit="1" customWidth="1"/>
    <col min="229" max="229" width="13.234375" style="34" bestFit="1" customWidth="1"/>
    <col min="230" max="230" width="11.9375" style="34" customWidth="1"/>
    <col min="231" max="231" width="13.234375" style="34" bestFit="1" customWidth="1"/>
    <col min="232" max="232" width="12.703125" style="34" bestFit="1" customWidth="1"/>
    <col min="233" max="233" width="13.234375" style="34" bestFit="1" customWidth="1"/>
    <col min="234" max="16384" width="9.1171875" style="34"/>
  </cols>
  <sheetData>
    <row r="1" spans="1:233" ht="7.2" customHeight="1" x14ac:dyDescent="0.55000000000000004"/>
    <row r="2" spans="1:233" ht="39.450000000000003" customHeight="1" x14ac:dyDescent="0.55000000000000004">
      <c r="B2" s="316" t="s">
        <v>561</v>
      </c>
      <c r="C2" s="317"/>
    </row>
    <row r="3" spans="1:233" x14ac:dyDescent="0.55000000000000004">
      <c r="B3" s="167"/>
      <c r="C3" s="318" t="s">
        <v>118</v>
      </c>
    </row>
    <row r="4" spans="1:233" s="167" customFormat="1" x14ac:dyDescent="0.55000000000000004">
      <c r="A4" s="34"/>
      <c r="B4" s="304" t="s">
        <v>562</v>
      </c>
      <c r="C4" s="28"/>
      <c r="D4" s="319" t="s">
        <v>563</v>
      </c>
      <c r="E4" s="320"/>
      <c r="F4" s="319" t="s">
        <v>564</v>
      </c>
      <c r="G4" s="320"/>
      <c r="H4" s="319" t="s">
        <v>565</v>
      </c>
      <c r="I4" s="320"/>
      <c r="J4" s="319" t="s">
        <v>566</v>
      </c>
      <c r="K4" s="320"/>
      <c r="L4" s="319" t="s">
        <v>567</v>
      </c>
      <c r="M4" s="320"/>
      <c r="N4" s="319" t="s">
        <v>568</v>
      </c>
      <c r="O4" s="320"/>
      <c r="P4" s="319" t="s">
        <v>569</v>
      </c>
      <c r="Q4" s="320"/>
      <c r="R4" s="319" t="s">
        <v>570</v>
      </c>
      <c r="S4" s="320"/>
      <c r="T4" s="319" t="s">
        <v>571</v>
      </c>
      <c r="U4" s="320"/>
      <c r="V4" s="319" t="s">
        <v>572</v>
      </c>
      <c r="W4" s="320"/>
      <c r="X4" s="319" t="s">
        <v>573</v>
      </c>
      <c r="Y4" s="320"/>
      <c r="Z4" s="319" t="s">
        <v>574</v>
      </c>
      <c r="AA4" s="320"/>
      <c r="AB4" s="319" t="s">
        <v>575</v>
      </c>
      <c r="AC4" s="320"/>
      <c r="AD4" s="319" t="s">
        <v>576</v>
      </c>
      <c r="AE4" s="320"/>
      <c r="AF4" s="319" t="s">
        <v>577</v>
      </c>
      <c r="AG4" s="320"/>
      <c r="AH4" s="319" t="s">
        <v>578</v>
      </c>
      <c r="AI4" s="320"/>
      <c r="AJ4" s="319" t="s">
        <v>579</v>
      </c>
      <c r="AK4" s="320"/>
      <c r="AL4" s="319" t="s">
        <v>567</v>
      </c>
      <c r="AM4" s="320"/>
      <c r="AN4" s="319" t="s">
        <v>580</v>
      </c>
      <c r="AO4" s="320"/>
      <c r="AP4" s="319" t="s">
        <v>581</v>
      </c>
      <c r="AQ4" s="320"/>
      <c r="AR4" s="319" t="s">
        <v>582</v>
      </c>
      <c r="AS4" s="320"/>
      <c r="AT4" s="319" t="s">
        <v>583</v>
      </c>
      <c r="AU4" s="320"/>
      <c r="AV4" s="319" t="s">
        <v>584</v>
      </c>
      <c r="AW4" s="320"/>
      <c r="AX4" s="319" t="s">
        <v>585</v>
      </c>
      <c r="AY4" s="320"/>
      <c r="AZ4" s="319" t="s">
        <v>586</v>
      </c>
      <c r="BA4" s="320"/>
      <c r="BB4" s="319" t="s">
        <v>587</v>
      </c>
      <c r="BC4" s="320"/>
      <c r="BD4" s="319" t="s">
        <v>588</v>
      </c>
      <c r="BE4" s="320"/>
      <c r="BF4" s="319" t="s">
        <v>589</v>
      </c>
      <c r="BG4" s="320"/>
      <c r="BH4" s="319" t="s">
        <v>590</v>
      </c>
      <c r="BI4" s="320"/>
      <c r="BJ4" s="319" t="s">
        <v>591</v>
      </c>
      <c r="BK4" s="320"/>
      <c r="BL4" s="319" t="s">
        <v>592</v>
      </c>
      <c r="BM4" s="320"/>
      <c r="BN4" s="319" t="s">
        <v>593</v>
      </c>
      <c r="BO4" s="320"/>
      <c r="BP4" s="319" t="s">
        <v>594</v>
      </c>
      <c r="BQ4" s="320"/>
      <c r="BR4" s="319" t="s">
        <v>595</v>
      </c>
      <c r="BS4" s="320"/>
      <c r="BT4" s="319" t="s">
        <v>596</v>
      </c>
      <c r="BU4" s="320"/>
      <c r="BV4" s="319" t="s">
        <v>597</v>
      </c>
      <c r="BW4" s="320"/>
      <c r="BX4" s="319" t="s">
        <v>598</v>
      </c>
      <c r="BY4" s="320"/>
      <c r="BZ4" s="319" t="s">
        <v>599</v>
      </c>
      <c r="CA4" s="320"/>
      <c r="CB4" s="319" t="s">
        <v>600</v>
      </c>
      <c r="CC4" s="320"/>
      <c r="CD4" s="319" t="s">
        <v>601</v>
      </c>
      <c r="CE4" s="320"/>
      <c r="CF4" s="319" t="s">
        <v>602</v>
      </c>
      <c r="CG4" s="320"/>
      <c r="CH4" s="319" t="s">
        <v>603</v>
      </c>
      <c r="CI4" s="320"/>
      <c r="CJ4" s="319" t="s">
        <v>604</v>
      </c>
      <c r="CK4" s="320"/>
      <c r="CL4" s="319" t="s">
        <v>605</v>
      </c>
      <c r="CM4" s="320"/>
      <c r="CN4" s="319" t="s">
        <v>606</v>
      </c>
      <c r="CO4" s="320"/>
      <c r="CP4" s="319" t="s">
        <v>607</v>
      </c>
      <c r="CQ4" s="320"/>
      <c r="CR4" s="319" t="s">
        <v>608</v>
      </c>
      <c r="CS4" s="320"/>
      <c r="CT4" s="319" t="s">
        <v>609</v>
      </c>
      <c r="CU4" s="320"/>
      <c r="CV4" s="319" t="s">
        <v>610</v>
      </c>
      <c r="CW4" s="320"/>
      <c r="CX4" s="319" t="s">
        <v>611</v>
      </c>
      <c r="CY4" s="320"/>
      <c r="CZ4" s="319" t="s">
        <v>612</v>
      </c>
      <c r="DA4" s="320"/>
      <c r="DB4" s="319" t="s">
        <v>613</v>
      </c>
      <c r="DC4" s="320"/>
      <c r="DD4" s="319" t="s">
        <v>614</v>
      </c>
      <c r="DE4" s="320"/>
      <c r="DF4" s="319" t="s">
        <v>615</v>
      </c>
      <c r="DG4" s="320"/>
      <c r="DH4" s="319" t="s">
        <v>616</v>
      </c>
      <c r="DI4" s="320"/>
      <c r="DJ4" s="319" t="s">
        <v>617</v>
      </c>
      <c r="DK4" s="320"/>
      <c r="DL4" s="319" t="s">
        <v>618</v>
      </c>
      <c r="DM4" s="320"/>
      <c r="DN4" s="319" t="s">
        <v>619</v>
      </c>
      <c r="DO4" s="320"/>
      <c r="DP4" s="319" t="s">
        <v>620</v>
      </c>
      <c r="DQ4" s="320"/>
      <c r="DR4" s="319" t="s">
        <v>621</v>
      </c>
      <c r="DS4" s="320"/>
      <c r="DT4" s="319" t="s">
        <v>622</v>
      </c>
      <c r="DU4" s="320"/>
      <c r="DV4" s="319" t="s">
        <v>623</v>
      </c>
      <c r="DW4" s="320"/>
      <c r="DX4" s="319" t="s">
        <v>624</v>
      </c>
      <c r="DY4" s="320"/>
      <c r="DZ4" s="319" t="s">
        <v>625</v>
      </c>
      <c r="EA4" s="320"/>
      <c r="EB4" s="319" t="s">
        <v>626</v>
      </c>
      <c r="EC4" s="320"/>
      <c r="ED4" s="319" t="s">
        <v>627</v>
      </c>
      <c r="EE4" s="320"/>
      <c r="EF4" s="319" t="s">
        <v>628</v>
      </c>
      <c r="EG4" s="320"/>
      <c r="EH4" s="319" t="s">
        <v>629</v>
      </c>
      <c r="EI4" s="320"/>
      <c r="EJ4" s="319" t="s">
        <v>630</v>
      </c>
      <c r="EK4" s="320"/>
      <c r="EL4" s="319" t="s">
        <v>631</v>
      </c>
      <c r="EM4" s="320"/>
      <c r="EN4" s="319" t="s">
        <v>632</v>
      </c>
      <c r="EO4" s="320"/>
      <c r="EP4" s="319" t="s">
        <v>633</v>
      </c>
      <c r="EQ4" s="320"/>
      <c r="ER4" s="319" t="s">
        <v>634</v>
      </c>
      <c r="ES4" s="320"/>
      <c r="ET4" s="319" t="s">
        <v>635</v>
      </c>
      <c r="EU4" s="320"/>
      <c r="EV4" s="319" t="s">
        <v>636</v>
      </c>
      <c r="EW4" s="320"/>
      <c r="EX4" s="319" t="s">
        <v>637</v>
      </c>
      <c r="EY4" s="320"/>
      <c r="EZ4" s="319" t="s">
        <v>638</v>
      </c>
      <c r="FA4" s="320"/>
      <c r="FB4" s="319" t="s">
        <v>639</v>
      </c>
      <c r="FC4" s="320"/>
      <c r="FD4" s="319" t="s">
        <v>640</v>
      </c>
      <c r="FE4" s="320"/>
      <c r="FF4" s="319" t="s">
        <v>641</v>
      </c>
      <c r="FG4" s="320"/>
      <c r="FH4" s="319" t="s">
        <v>642</v>
      </c>
      <c r="FI4" s="320"/>
      <c r="FJ4" s="319" t="s">
        <v>643</v>
      </c>
      <c r="FK4" s="320"/>
      <c r="FL4" s="319" t="s">
        <v>644</v>
      </c>
      <c r="FM4" s="320"/>
      <c r="FN4" s="319" t="s">
        <v>645</v>
      </c>
      <c r="FO4" s="320"/>
      <c r="FP4" s="319" t="s">
        <v>646</v>
      </c>
      <c r="FQ4" s="320"/>
      <c r="FR4" s="319" t="s">
        <v>647</v>
      </c>
      <c r="FS4" s="320"/>
      <c r="FT4" s="319" t="s">
        <v>648</v>
      </c>
      <c r="FU4" s="320"/>
      <c r="FV4" s="319" t="s">
        <v>649</v>
      </c>
      <c r="FW4" s="320"/>
      <c r="FX4" s="319" t="s">
        <v>650</v>
      </c>
      <c r="FY4" s="320"/>
      <c r="FZ4" s="319" t="s">
        <v>651</v>
      </c>
      <c r="GA4" s="320"/>
      <c r="GB4" s="319" t="s">
        <v>652</v>
      </c>
      <c r="GC4" s="320"/>
      <c r="GD4" s="319" t="s">
        <v>1050</v>
      </c>
      <c r="GE4" s="320"/>
      <c r="GF4" s="319" t="s">
        <v>1051</v>
      </c>
      <c r="GG4" s="320"/>
      <c r="GH4" s="319" t="s">
        <v>1052</v>
      </c>
      <c r="GI4" s="320"/>
      <c r="GJ4" s="319" t="s">
        <v>1053</v>
      </c>
      <c r="GK4" s="320"/>
      <c r="GL4" s="319" t="s">
        <v>1054</v>
      </c>
      <c r="GM4" s="320"/>
      <c r="GN4" s="319" t="s">
        <v>1055</v>
      </c>
      <c r="GO4" s="320"/>
      <c r="GP4" s="319" t="s">
        <v>1056</v>
      </c>
      <c r="GQ4" s="320"/>
      <c r="GR4" s="319" t="s">
        <v>1057</v>
      </c>
      <c r="GS4" s="320"/>
      <c r="GT4" s="319" t="s">
        <v>1058</v>
      </c>
      <c r="GU4" s="320"/>
      <c r="GV4" s="319" t="s">
        <v>1059</v>
      </c>
      <c r="GW4" s="320"/>
      <c r="GX4" s="319" t="s">
        <v>1060</v>
      </c>
      <c r="GY4" s="320"/>
      <c r="GZ4" s="319" t="s">
        <v>1061</v>
      </c>
      <c r="HA4" s="320"/>
      <c r="HB4" s="319" t="s">
        <v>1062</v>
      </c>
      <c r="HC4" s="320"/>
      <c r="HD4" s="319" t="s">
        <v>1063</v>
      </c>
      <c r="HE4" s="320"/>
      <c r="HF4" s="319" t="s">
        <v>1064</v>
      </c>
      <c r="HG4" s="320"/>
      <c r="HH4" s="319" t="s">
        <v>1065</v>
      </c>
      <c r="HI4" s="320"/>
      <c r="HJ4" s="319" t="s">
        <v>1066</v>
      </c>
      <c r="HK4" s="320"/>
      <c r="HL4" s="319" t="s">
        <v>1067</v>
      </c>
      <c r="HM4" s="320"/>
      <c r="HN4" s="319" t="s">
        <v>1068</v>
      </c>
      <c r="HO4" s="320"/>
      <c r="HP4" s="319" t="s">
        <v>1069</v>
      </c>
      <c r="HQ4" s="320"/>
      <c r="HR4" s="319" t="s">
        <v>1070</v>
      </c>
      <c r="HS4" s="320"/>
      <c r="HT4" s="319" t="s">
        <v>1071</v>
      </c>
      <c r="HU4" s="320"/>
      <c r="HV4" s="319" t="s">
        <v>1072</v>
      </c>
      <c r="HW4" s="320"/>
      <c r="HX4" s="319" t="s">
        <v>1073</v>
      </c>
      <c r="HY4" s="320"/>
    </row>
    <row r="5" spans="1:233" x14ac:dyDescent="0.55000000000000004">
      <c r="B5" s="50" t="s">
        <v>297</v>
      </c>
      <c r="C5" s="50" t="s">
        <v>653</v>
      </c>
      <c r="D5" s="321" t="s">
        <v>654</v>
      </c>
      <c r="E5" s="321" t="s">
        <v>655</v>
      </c>
      <c r="F5" s="321" t="s">
        <v>654</v>
      </c>
      <c r="G5" s="321" t="s">
        <v>655</v>
      </c>
      <c r="H5" s="321" t="s">
        <v>654</v>
      </c>
      <c r="I5" s="321" t="s">
        <v>655</v>
      </c>
      <c r="J5" s="321" t="s">
        <v>654</v>
      </c>
      <c r="K5" s="321" t="s">
        <v>655</v>
      </c>
      <c r="L5" s="322" t="s">
        <v>654</v>
      </c>
      <c r="M5" s="322" t="s">
        <v>655</v>
      </c>
      <c r="N5" s="322" t="s">
        <v>654</v>
      </c>
      <c r="O5" s="322" t="s">
        <v>655</v>
      </c>
      <c r="P5" s="321" t="s">
        <v>654</v>
      </c>
      <c r="Q5" s="321" t="s">
        <v>655</v>
      </c>
      <c r="R5" s="321" t="s">
        <v>654</v>
      </c>
      <c r="S5" s="321" t="s">
        <v>655</v>
      </c>
      <c r="T5" s="321" t="s">
        <v>654</v>
      </c>
      <c r="U5" s="321" t="s">
        <v>655</v>
      </c>
      <c r="V5" s="321" t="s">
        <v>654</v>
      </c>
      <c r="W5" s="321" t="s">
        <v>655</v>
      </c>
      <c r="X5" s="322" t="s">
        <v>654</v>
      </c>
      <c r="Y5" s="322" t="s">
        <v>655</v>
      </c>
      <c r="Z5" s="322" t="s">
        <v>654</v>
      </c>
      <c r="AA5" s="322" t="s">
        <v>655</v>
      </c>
      <c r="AB5" s="322" t="s">
        <v>654</v>
      </c>
      <c r="AC5" s="322" t="s">
        <v>655</v>
      </c>
      <c r="AD5" s="322" t="s">
        <v>654</v>
      </c>
      <c r="AE5" s="322" t="s">
        <v>655</v>
      </c>
      <c r="AF5" s="322" t="s">
        <v>654</v>
      </c>
      <c r="AG5" s="322" t="s">
        <v>655</v>
      </c>
      <c r="AH5" s="322" t="s">
        <v>654</v>
      </c>
      <c r="AI5" s="322" t="s">
        <v>655</v>
      </c>
      <c r="AJ5" s="322" t="s">
        <v>654</v>
      </c>
      <c r="AK5" s="322" t="s">
        <v>655</v>
      </c>
      <c r="AL5" s="322" t="s">
        <v>654</v>
      </c>
      <c r="AM5" s="322" t="s">
        <v>655</v>
      </c>
      <c r="AN5" s="322" t="s">
        <v>654</v>
      </c>
      <c r="AO5" s="322" t="s">
        <v>655</v>
      </c>
      <c r="AP5" s="322" t="s">
        <v>654</v>
      </c>
      <c r="AQ5" s="322" t="s">
        <v>655</v>
      </c>
      <c r="AR5" s="322" t="s">
        <v>654</v>
      </c>
      <c r="AS5" s="322" t="s">
        <v>655</v>
      </c>
      <c r="AT5" s="322" t="s">
        <v>654</v>
      </c>
      <c r="AU5" s="322" t="s">
        <v>655</v>
      </c>
      <c r="AV5" s="322" t="s">
        <v>654</v>
      </c>
      <c r="AW5" s="322" t="s">
        <v>655</v>
      </c>
      <c r="AX5" s="322" t="s">
        <v>654</v>
      </c>
      <c r="AY5" s="322" t="s">
        <v>655</v>
      </c>
      <c r="AZ5" s="322" t="s">
        <v>654</v>
      </c>
      <c r="BA5" s="322" t="s">
        <v>655</v>
      </c>
      <c r="BB5" s="322" t="s">
        <v>654</v>
      </c>
      <c r="BC5" s="322" t="s">
        <v>655</v>
      </c>
      <c r="BD5" s="322" t="s">
        <v>654</v>
      </c>
      <c r="BE5" s="322" t="s">
        <v>655</v>
      </c>
      <c r="BF5" s="322" t="s">
        <v>654</v>
      </c>
      <c r="BG5" s="322" t="s">
        <v>655</v>
      </c>
      <c r="BH5" s="322" t="s">
        <v>654</v>
      </c>
      <c r="BI5" s="322" t="s">
        <v>655</v>
      </c>
      <c r="BJ5" s="322" t="s">
        <v>654</v>
      </c>
      <c r="BK5" s="322" t="s">
        <v>655</v>
      </c>
      <c r="BL5" s="322" t="s">
        <v>654</v>
      </c>
      <c r="BM5" s="322" t="s">
        <v>655</v>
      </c>
      <c r="BN5" s="322" t="s">
        <v>654</v>
      </c>
      <c r="BO5" s="322" t="s">
        <v>655</v>
      </c>
      <c r="BP5" s="322" t="s">
        <v>654</v>
      </c>
      <c r="BQ5" s="322" t="s">
        <v>655</v>
      </c>
      <c r="BR5" s="322" t="s">
        <v>654</v>
      </c>
      <c r="BS5" s="322" t="s">
        <v>655</v>
      </c>
      <c r="BT5" s="322" t="s">
        <v>654</v>
      </c>
      <c r="BU5" s="322" t="s">
        <v>655</v>
      </c>
      <c r="BV5" s="322" t="s">
        <v>654</v>
      </c>
      <c r="BW5" s="322" t="s">
        <v>655</v>
      </c>
      <c r="BX5" s="322" t="s">
        <v>654</v>
      </c>
      <c r="BY5" s="322" t="s">
        <v>655</v>
      </c>
      <c r="BZ5" s="322" t="s">
        <v>654</v>
      </c>
      <c r="CA5" s="322" t="s">
        <v>655</v>
      </c>
      <c r="CB5" s="322" t="s">
        <v>654</v>
      </c>
      <c r="CC5" s="322" t="s">
        <v>655</v>
      </c>
      <c r="CD5" s="322" t="s">
        <v>654</v>
      </c>
      <c r="CE5" s="322" t="s">
        <v>655</v>
      </c>
      <c r="CF5" s="322" t="s">
        <v>654</v>
      </c>
      <c r="CG5" s="323" t="s">
        <v>655</v>
      </c>
      <c r="CH5" s="322" t="s">
        <v>654</v>
      </c>
      <c r="CI5" s="323" t="s">
        <v>655</v>
      </c>
      <c r="CJ5" s="322" t="s">
        <v>654</v>
      </c>
      <c r="CK5" s="323" t="s">
        <v>655</v>
      </c>
      <c r="CL5" s="322" t="s">
        <v>654</v>
      </c>
      <c r="CM5" s="323" t="s">
        <v>655</v>
      </c>
      <c r="CN5" s="322" t="s">
        <v>654</v>
      </c>
      <c r="CO5" s="323" t="s">
        <v>655</v>
      </c>
      <c r="CP5" s="322" t="s">
        <v>654</v>
      </c>
      <c r="CQ5" s="323" t="s">
        <v>655</v>
      </c>
      <c r="CR5" s="322" t="s">
        <v>654</v>
      </c>
      <c r="CS5" s="323" t="s">
        <v>655</v>
      </c>
      <c r="CT5" s="322" t="s">
        <v>654</v>
      </c>
      <c r="CU5" s="323" t="s">
        <v>655</v>
      </c>
      <c r="CV5" s="322" t="s">
        <v>654</v>
      </c>
      <c r="CW5" s="323" t="s">
        <v>655</v>
      </c>
      <c r="CX5" s="322" t="s">
        <v>654</v>
      </c>
      <c r="CY5" s="323" t="s">
        <v>655</v>
      </c>
      <c r="CZ5" s="322" t="s">
        <v>654</v>
      </c>
      <c r="DA5" s="323" t="s">
        <v>655</v>
      </c>
      <c r="DB5" s="322" t="s">
        <v>654</v>
      </c>
      <c r="DC5" s="323" t="s">
        <v>655</v>
      </c>
      <c r="DD5" s="322" t="s">
        <v>654</v>
      </c>
      <c r="DE5" s="323" t="s">
        <v>655</v>
      </c>
      <c r="DF5" s="322" t="s">
        <v>654</v>
      </c>
      <c r="DG5" s="323" t="s">
        <v>655</v>
      </c>
      <c r="DH5" s="322" t="s">
        <v>654</v>
      </c>
      <c r="DI5" s="323" t="s">
        <v>655</v>
      </c>
      <c r="DJ5" s="322" t="s">
        <v>654</v>
      </c>
      <c r="DK5" s="323" t="s">
        <v>655</v>
      </c>
      <c r="DL5" s="322" t="s">
        <v>654</v>
      </c>
      <c r="DM5" s="323" t="s">
        <v>655</v>
      </c>
      <c r="DN5" s="322" t="s">
        <v>654</v>
      </c>
      <c r="DO5" s="323" t="s">
        <v>655</v>
      </c>
      <c r="DP5" s="322" t="s">
        <v>654</v>
      </c>
      <c r="DQ5" s="323" t="s">
        <v>655</v>
      </c>
      <c r="DR5" s="322" t="s">
        <v>654</v>
      </c>
      <c r="DS5" s="323" t="s">
        <v>655</v>
      </c>
      <c r="DT5" s="322" t="s">
        <v>654</v>
      </c>
      <c r="DU5" s="323" t="s">
        <v>655</v>
      </c>
      <c r="DV5" s="322" t="s">
        <v>654</v>
      </c>
      <c r="DW5" s="323" t="s">
        <v>655</v>
      </c>
      <c r="DX5" s="322" t="s">
        <v>654</v>
      </c>
      <c r="DY5" s="323" t="s">
        <v>655</v>
      </c>
      <c r="DZ5" s="322" t="s">
        <v>654</v>
      </c>
      <c r="EA5" s="323" t="s">
        <v>655</v>
      </c>
      <c r="EB5" s="322" t="s">
        <v>654</v>
      </c>
      <c r="EC5" s="323" t="s">
        <v>655</v>
      </c>
      <c r="ED5" s="322" t="s">
        <v>654</v>
      </c>
      <c r="EE5" s="323" t="s">
        <v>655</v>
      </c>
      <c r="EF5" s="322" t="s">
        <v>654</v>
      </c>
      <c r="EG5" s="323" t="s">
        <v>655</v>
      </c>
      <c r="EH5" s="322" t="s">
        <v>654</v>
      </c>
      <c r="EI5" s="323" t="s">
        <v>655</v>
      </c>
      <c r="EJ5" s="322" t="s">
        <v>654</v>
      </c>
      <c r="EK5" s="323" t="s">
        <v>655</v>
      </c>
      <c r="EL5" s="322" t="s">
        <v>654</v>
      </c>
      <c r="EM5" s="323" t="s">
        <v>655</v>
      </c>
      <c r="EN5" s="322" t="s">
        <v>654</v>
      </c>
      <c r="EO5" s="323" t="s">
        <v>655</v>
      </c>
      <c r="EP5" s="322" t="s">
        <v>654</v>
      </c>
      <c r="EQ5" s="323" t="s">
        <v>655</v>
      </c>
      <c r="ER5" s="322" t="s">
        <v>654</v>
      </c>
      <c r="ES5" s="323" t="s">
        <v>655</v>
      </c>
      <c r="ET5" s="322" t="s">
        <v>654</v>
      </c>
      <c r="EU5" s="323" t="s">
        <v>655</v>
      </c>
      <c r="EV5" s="322" t="s">
        <v>654</v>
      </c>
      <c r="EW5" s="323" t="s">
        <v>655</v>
      </c>
      <c r="EX5" s="322" t="s">
        <v>654</v>
      </c>
      <c r="EY5" s="323" t="s">
        <v>655</v>
      </c>
      <c r="EZ5" s="322" t="s">
        <v>654</v>
      </c>
      <c r="FA5" s="323" t="s">
        <v>655</v>
      </c>
      <c r="FB5" s="322" t="s">
        <v>654</v>
      </c>
      <c r="FC5" s="323" t="s">
        <v>655</v>
      </c>
      <c r="FD5" s="322" t="s">
        <v>654</v>
      </c>
      <c r="FE5" s="323" t="s">
        <v>655</v>
      </c>
      <c r="FF5" s="322" t="s">
        <v>654</v>
      </c>
      <c r="FG5" s="323" t="s">
        <v>655</v>
      </c>
      <c r="FH5" s="322" t="s">
        <v>654</v>
      </c>
      <c r="FI5" s="323" t="s">
        <v>655</v>
      </c>
      <c r="FJ5" s="322" t="s">
        <v>654</v>
      </c>
      <c r="FK5" s="323" t="s">
        <v>655</v>
      </c>
      <c r="FL5" s="322" t="s">
        <v>654</v>
      </c>
      <c r="FM5" s="323" t="s">
        <v>655</v>
      </c>
      <c r="FN5" s="322" t="s">
        <v>654</v>
      </c>
      <c r="FO5" s="323" t="s">
        <v>655</v>
      </c>
      <c r="FP5" s="322" t="s">
        <v>654</v>
      </c>
      <c r="FQ5" s="323" t="s">
        <v>655</v>
      </c>
      <c r="FR5" s="323" t="s">
        <v>654</v>
      </c>
      <c r="FS5" s="323" t="s">
        <v>655</v>
      </c>
      <c r="FT5" s="322" t="s">
        <v>654</v>
      </c>
      <c r="FU5" s="323" t="s">
        <v>655</v>
      </c>
      <c r="FV5" s="322" t="s">
        <v>654</v>
      </c>
      <c r="FW5" s="323" t="s">
        <v>655</v>
      </c>
      <c r="FX5" s="322" t="s">
        <v>654</v>
      </c>
      <c r="FY5" s="323" t="s">
        <v>655</v>
      </c>
      <c r="FZ5" s="322" t="s">
        <v>654</v>
      </c>
      <c r="GA5" s="323" t="s">
        <v>655</v>
      </c>
      <c r="GB5" s="322" t="s">
        <v>654</v>
      </c>
      <c r="GC5" s="323" t="s">
        <v>655</v>
      </c>
      <c r="GD5" s="322" t="s">
        <v>654</v>
      </c>
      <c r="GE5" s="323" t="s">
        <v>655</v>
      </c>
      <c r="GF5" s="322" t="s">
        <v>654</v>
      </c>
      <c r="GG5" s="323" t="s">
        <v>655</v>
      </c>
      <c r="GH5" s="322" t="s">
        <v>654</v>
      </c>
      <c r="GI5" s="323" t="s">
        <v>655</v>
      </c>
      <c r="GJ5" s="322" t="s">
        <v>654</v>
      </c>
      <c r="GK5" s="323" t="s">
        <v>655</v>
      </c>
      <c r="GL5" s="322" t="s">
        <v>654</v>
      </c>
      <c r="GM5" s="323" t="s">
        <v>655</v>
      </c>
      <c r="GN5" s="322" t="s">
        <v>654</v>
      </c>
      <c r="GO5" s="323" t="s">
        <v>655</v>
      </c>
      <c r="GP5" s="322" t="s">
        <v>654</v>
      </c>
      <c r="GQ5" s="323" t="s">
        <v>655</v>
      </c>
      <c r="GR5" s="322" t="s">
        <v>654</v>
      </c>
      <c r="GS5" s="323" t="s">
        <v>655</v>
      </c>
      <c r="GT5" s="322" t="s">
        <v>654</v>
      </c>
      <c r="GU5" s="323" t="s">
        <v>655</v>
      </c>
      <c r="GV5" s="322" t="s">
        <v>654</v>
      </c>
      <c r="GW5" s="323" t="s">
        <v>655</v>
      </c>
      <c r="GX5" s="322" t="s">
        <v>654</v>
      </c>
      <c r="GY5" s="323" t="s">
        <v>655</v>
      </c>
      <c r="GZ5" s="322" t="s">
        <v>654</v>
      </c>
      <c r="HA5" s="323" t="s">
        <v>655</v>
      </c>
      <c r="HB5" s="322" t="s">
        <v>654</v>
      </c>
      <c r="HC5" s="323" t="s">
        <v>655</v>
      </c>
      <c r="HD5" s="322" t="s">
        <v>654</v>
      </c>
      <c r="HE5" s="323" t="s">
        <v>655</v>
      </c>
      <c r="HF5" s="322" t="s">
        <v>654</v>
      </c>
      <c r="HG5" s="323" t="s">
        <v>655</v>
      </c>
      <c r="HH5" s="322" t="s">
        <v>654</v>
      </c>
      <c r="HI5" s="323" t="s">
        <v>655</v>
      </c>
      <c r="HJ5" s="322" t="s">
        <v>654</v>
      </c>
      <c r="HK5" s="323" t="s">
        <v>655</v>
      </c>
      <c r="HL5" s="322" t="s">
        <v>654</v>
      </c>
      <c r="HM5" s="323" t="s">
        <v>655</v>
      </c>
      <c r="HN5" s="322" t="s">
        <v>654</v>
      </c>
      <c r="HO5" s="323" t="s">
        <v>655</v>
      </c>
      <c r="HP5" s="322" t="s">
        <v>654</v>
      </c>
      <c r="HQ5" s="323" t="s">
        <v>655</v>
      </c>
      <c r="HR5" s="322" t="s">
        <v>654</v>
      </c>
      <c r="HS5" s="323" t="s">
        <v>655</v>
      </c>
      <c r="HT5" s="322" t="s">
        <v>654</v>
      </c>
      <c r="HU5" s="323" t="s">
        <v>655</v>
      </c>
      <c r="HV5" s="322" t="s">
        <v>654</v>
      </c>
      <c r="HW5" s="323" t="s">
        <v>655</v>
      </c>
      <c r="HX5" s="322" t="s">
        <v>654</v>
      </c>
      <c r="HY5" s="323" t="s">
        <v>655</v>
      </c>
    </row>
    <row r="6" spans="1:233" x14ac:dyDescent="0.55000000000000004">
      <c r="B6" s="21">
        <v>1</v>
      </c>
      <c r="C6" s="324" t="s">
        <v>656</v>
      </c>
      <c r="D6" s="122">
        <v>3.8550499552211575</v>
      </c>
      <c r="E6" s="122">
        <v>284221.7965913362</v>
      </c>
      <c r="F6" s="122">
        <v>3.1921394005148276</v>
      </c>
      <c r="G6" s="122">
        <v>400747.31620983605</v>
      </c>
      <c r="H6" s="122">
        <v>2.9088469094018947</v>
      </c>
      <c r="I6" s="122">
        <v>548126.68851616723</v>
      </c>
      <c r="J6" s="122">
        <v>2.2374813977076919</v>
      </c>
      <c r="K6" s="122">
        <v>677491.77483250655</v>
      </c>
      <c r="L6" s="122">
        <v>4.0093728878442105</v>
      </c>
      <c r="M6" s="122">
        <v>689423.30437732791</v>
      </c>
      <c r="N6" s="122">
        <v>4.362671782518535</v>
      </c>
      <c r="O6" s="122">
        <v>801284.37245152669</v>
      </c>
      <c r="P6" s="122">
        <v>2.1181794860008605</v>
      </c>
      <c r="Q6" s="122">
        <v>692634.88739096269</v>
      </c>
      <c r="R6" s="122">
        <v>2.1254449800022299</v>
      </c>
      <c r="S6" s="122">
        <v>700640.74534257024</v>
      </c>
      <c r="T6" s="122">
        <v>2.0593064568056896</v>
      </c>
      <c r="U6" s="122">
        <v>724050.92181086505</v>
      </c>
      <c r="V6" s="122">
        <v>2.0382646193816321</v>
      </c>
      <c r="W6" s="122">
        <v>722415.57684732752</v>
      </c>
      <c r="X6" s="122">
        <v>2.1127245166772246</v>
      </c>
      <c r="Y6" s="122">
        <v>719064.99551072624</v>
      </c>
      <c r="Z6" s="122">
        <v>2.1055608337301126</v>
      </c>
      <c r="AA6" s="122">
        <v>725776.46629882988</v>
      </c>
      <c r="AB6" s="122">
        <v>2.1645743352532638</v>
      </c>
      <c r="AC6" s="122">
        <v>687278.85042834119</v>
      </c>
      <c r="AD6" s="122">
        <v>2.2566570560332173</v>
      </c>
      <c r="AE6" s="122">
        <v>665175.54571621621</v>
      </c>
      <c r="AF6" s="122">
        <v>2.6640305685989483</v>
      </c>
      <c r="AG6" s="122">
        <v>655849.73684980359</v>
      </c>
      <c r="AH6" s="122">
        <v>3.5614158474030582</v>
      </c>
      <c r="AI6" s="122">
        <v>653883.30275275395</v>
      </c>
      <c r="AJ6" s="122">
        <v>3.7979404457279009</v>
      </c>
      <c r="AK6" s="122">
        <v>655147.13950981305</v>
      </c>
      <c r="AL6" s="122">
        <v>4.0093728878442105</v>
      </c>
      <c r="AM6" s="122">
        <v>689423.30437732791</v>
      </c>
      <c r="AN6" s="122">
        <v>4.0351433139397281</v>
      </c>
      <c r="AO6" s="122">
        <v>695584.55469012831</v>
      </c>
      <c r="AP6" s="122">
        <v>3.9548366202115162</v>
      </c>
      <c r="AQ6" s="122">
        <v>709577.60136603122</v>
      </c>
      <c r="AR6" s="122">
        <v>3.926611332266476</v>
      </c>
      <c r="AS6" s="122">
        <v>727118.40988317353</v>
      </c>
      <c r="AT6" s="122">
        <v>3.8242844674922192</v>
      </c>
      <c r="AU6" s="122">
        <v>737984.92662636493</v>
      </c>
      <c r="AV6" s="122">
        <v>3.9402378803707694</v>
      </c>
      <c r="AW6" s="122">
        <v>746763.27722193871</v>
      </c>
      <c r="AX6" s="122">
        <v>3.9307218486740538</v>
      </c>
      <c r="AY6" s="122">
        <v>753503.95934100554</v>
      </c>
      <c r="AZ6" s="122">
        <v>4.1490698401093384</v>
      </c>
      <c r="BA6" s="122">
        <v>756846.54819613742</v>
      </c>
      <c r="BB6" s="122">
        <v>4.3241742822406666</v>
      </c>
      <c r="BC6" s="122">
        <v>768149.5179096004</v>
      </c>
      <c r="BD6" s="122">
        <v>4.4576701715641729</v>
      </c>
      <c r="BE6" s="122">
        <v>763970.58935337572</v>
      </c>
      <c r="BF6" s="122">
        <v>4.393316819384542</v>
      </c>
      <c r="BG6" s="122">
        <v>761775.71041192056</v>
      </c>
      <c r="BH6" s="122">
        <v>4.4233730266611104</v>
      </c>
      <c r="BI6" s="122">
        <v>767724.28127300309</v>
      </c>
      <c r="BJ6" s="122">
        <v>4.362671782518535</v>
      </c>
      <c r="BK6" s="122">
        <v>801284.37245152669</v>
      </c>
      <c r="BL6" s="122">
        <v>4.2652832608234661</v>
      </c>
      <c r="BM6" s="122">
        <v>796558.22814757167</v>
      </c>
      <c r="BN6" s="122">
        <v>4.0578837144026503</v>
      </c>
      <c r="BO6" s="122">
        <v>803408.70843495848</v>
      </c>
      <c r="BP6" s="122">
        <v>4.2933479016255482</v>
      </c>
      <c r="BQ6" s="122">
        <v>830350.08583598328</v>
      </c>
      <c r="BR6" s="122">
        <v>4.318983420771902</v>
      </c>
      <c r="BS6" s="122">
        <v>832957.61390165938</v>
      </c>
      <c r="BT6" s="122">
        <v>4.4104028259547787</v>
      </c>
      <c r="BU6" s="122">
        <v>823350.59395301272</v>
      </c>
      <c r="BV6" s="122">
        <v>4.4614180149855516</v>
      </c>
      <c r="BW6" s="122">
        <v>830030.41038040968</v>
      </c>
      <c r="BX6" s="122">
        <v>4.3710657197609137</v>
      </c>
      <c r="BY6" s="122">
        <v>845084.60393805557</v>
      </c>
      <c r="BZ6" s="122">
        <v>4.4489274083458037</v>
      </c>
      <c r="CA6" s="122">
        <v>850849.40524858981</v>
      </c>
      <c r="CB6" s="122">
        <v>4.525673704199507</v>
      </c>
      <c r="CC6" s="122">
        <v>858028.3214778651</v>
      </c>
      <c r="CD6" s="122">
        <v>4.5853021354839951</v>
      </c>
      <c r="CE6" s="122">
        <v>845367.35769526439</v>
      </c>
      <c r="CF6" s="122">
        <v>4.5521002217437818</v>
      </c>
      <c r="CG6" s="122">
        <v>849047.16732491658</v>
      </c>
      <c r="CH6" s="122">
        <v>4.9595595141653446</v>
      </c>
      <c r="CI6" s="122">
        <v>890065.27552998601</v>
      </c>
      <c r="CJ6" s="122">
        <v>5.0160705427316818</v>
      </c>
      <c r="CK6" s="122">
        <v>890431.599514995</v>
      </c>
      <c r="CL6" s="122">
        <v>4.8505930924511098</v>
      </c>
      <c r="CM6" s="122">
        <v>891339.40842302295</v>
      </c>
      <c r="CN6" s="122">
        <v>5.0947679889636408</v>
      </c>
      <c r="CO6" s="122">
        <v>932729.42446599063</v>
      </c>
      <c r="CP6" s="122">
        <v>5.0571483859539121</v>
      </c>
      <c r="CQ6" s="122">
        <v>919494.50511632464</v>
      </c>
      <c r="CR6" s="122">
        <v>4.9923038104505011</v>
      </c>
      <c r="CS6" s="122">
        <v>916195.3903632001</v>
      </c>
      <c r="CT6" s="122">
        <v>4.9691613140070636</v>
      </c>
      <c r="CU6" s="122">
        <v>931381.23486619524</v>
      </c>
      <c r="CV6" s="122">
        <v>4.7830931565778698</v>
      </c>
      <c r="CW6" s="122">
        <v>925536.22090931027</v>
      </c>
      <c r="CX6" s="122">
        <v>4.777716623545432</v>
      </c>
      <c r="CY6" s="122">
        <v>941325.68914128863</v>
      </c>
      <c r="CZ6" s="122">
        <v>4.7202720099064415</v>
      </c>
      <c r="DA6" s="122">
        <v>977540.63043135253</v>
      </c>
      <c r="DB6" s="122">
        <v>4.265896778454608</v>
      </c>
      <c r="DC6" s="122">
        <v>1005289.9152998351</v>
      </c>
      <c r="DD6" s="122">
        <v>4.1882438173089485</v>
      </c>
      <c r="DE6" s="122">
        <v>1014852.7422206902</v>
      </c>
      <c r="DF6" s="122">
        <v>4.1568412166400597</v>
      </c>
      <c r="DG6" s="122">
        <v>1075115.8797568919</v>
      </c>
      <c r="DH6" s="122">
        <v>3.6387517176951993</v>
      </c>
      <c r="DI6" s="122">
        <v>1081490.3817940147</v>
      </c>
      <c r="DJ6" s="122">
        <v>3.3309934609427923</v>
      </c>
      <c r="DK6" s="122">
        <v>1106298.3156114989</v>
      </c>
      <c r="DL6" s="122">
        <v>3.222892786641069</v>
      </c>
      <c r="DM6" s="122">
        <v>1161478.9720955302</v>
      </c>
      <c r="DN6" s="122">
        <v>3.1063096936568892</v>
      </c>
      <c r="DO6" s="122">
        <v>1180322.3951549819</v>
      </c>
      <c r="DP6" s="122">
        <v>2.84648991646936</v>
      </c>
      <c r="DQ6" s="122">
        <v>1187308.5186814009</v>
      </c>
      <c r="DR6" s="122">
        <v>2.7816365002036028</v>
      </c>
      <c r="DS6" s="122">
        <v>1235473.0318339833</v>
      </c>
      <c r="DT6" s="122">
        <v>2.7599468210211731</v>
      </c>
      <c r="DU6" s="122">
        <v>1255745.1834917406</v>
      </c>
      <c r="DV6" s="122">
        <v>2.6430616891540697</v>
      </c>
      <c r="DW6" s="122">
        <v>1286585.1524180165</v>
      </c>
      <c r="DX6" s="122">
        <v>2.9285086018143054</v>
      </c>
      <c r="DY6" s="122">
        <v>1347094.0264384637</v>
      </c>
      <c r="DZ6" s="122">
        <v>2.838566235637539</v>
      </c>
      <c r="EA6" s="122">
        <v>1328409.0165672046</v>
      </c>
      <c r="EB6" s="122">
        <v>2.7242022857582757</v>
      </c>
      <c r="EC6" s="122">
        <v>1342407.9795390971</v>
      </c>
      <c r="ED6" s="122">
        <v>3.0086018077737906</v>
      </c>
      <c r="EE6" s="122">
        <v>1411828.2759213494</v>
      </c>
      <c r="EF6" s="122">
        <v>2.9194437792719046</v>
      </c>
      <c r="EG6" s="122">
        <v>1397613.4017032248</v>
      </c>
      <c r="EH6" s="122">
        <v>3.0524776875486404</v>
      </c>
      <c r="EI6" s="122">
        <v>1420065.8431127251</v>
      </c>
      <c r="EJ6" s="122">
        <v>4.1313721420155547</v>
      </c>
      <c r="EK6" s="122">
        <v>1439182.1317336056</v>
      </c>
      <c r="EL6" s="122">
        <v>4.4946833886941082</v>
      </c>
      <c r="EM6" s="122">
        <v>1389241.0367420516</v>
      </c>
      <c r="EN6" s="122">
        <v>5.1716778397039045</v>
      </c>
      <c r="EO6" s="122">
        <v>1325764.2551581683</v>
      </c>
      <c r="EP6" s="122">
        <v>5.2551109626189563</v>
      </c>
      <c r="EQ6" s="122">
        <v>1304211.6762048732</v>
      </c>
      <c r="ER6" s="122">
        <v>5.2318833788772974</v>
      </c>
      <c r="ES6" s="122">
        <v>1296316.2520263144</v>
      </c>
      <c r="ET6" s="122">
        <v>6.2413557603231213</v>
      </c>
      <c r="EU6" s="122">
        <v>1257493.5312765939</v>
      </c>
      <c r="EV6" s="122">
        <v>6.2420461239742924</v>
      </c>
      <c r="EW6" s="122">
        <v>1250709.4568204919</v>
      </c>
      <c r="EX6" s="122">
        <v>6.2313526395728003</v>
      </c>
      <c r="EY6" s="122">
        <v>1225016.8791860805</v>
      </c>
      <c r="EZ6" s="122">
        <v>6.2269923911464566</v>
      </c>
      <c r="FA6" s="122">
        <v>1192482.9574634274</v>
      </c>
      <c r="FB6" s="122">
        <v>6.2383216946800193</v>
      </c>
      <c r="FC6" s="122">
        <v>1248959.2733794968</v>
      </c>
      <c r="FD6" s="122">
        <v>6.2919197083861498</v>
      </c>
      <c r="FE6" s="122">
        <v>1191832.528758252</v>
      </c>
      <c r="FF6" s="122">
        <v>6.2716512784080489</v>
      </c>
      <c r="FG6" s="122">
        <v>1186615.8839890582</v>
      </c>
      <c r="FH6" s="122">
        <v>7.3676573479880174</v>
      </c>
      <c r="FI6" s="122">
        <v>1210483.7482339686</v>
      </c>
      <c r="FJ6" s="122">
        <v>7.4237042658232584</v>
      </c>
      <c r="FK6" s="122">
        <v>1187932.5118062354</v>
      </c>
      <c r="FL6" s="122">
        <v>7.458852707759827</v>
      </c>
      <c r="FM6" s="122">
        <v>1187385.4773078207</v>
      </c>
      <c r="FN6" s="122">
        <v>7.4372560880000353</v>
      </c>
      <c r="FO6" s="122">
        <v>1122053.3491084983</v>
      </c>
      <c r="FP6" s="122">
        <v>6.9255728527674307</v>
      </c>
      <c r="FQ6" s="122">
        <v>1227042.7524353557</v>
      </c>
      <c r="FR6" s="122">
        <v>6.780983159463414</v>
      </c>
      <c r="FS6" s="122">
        <v>1226376.4769586287</v>
      </c>
      <c r="FT6" s="122">
        <v>6.4953827657291026</v>
      </c>
      <c r="FU6" s="122">
        <v>1244277.3755717082</v>
      </c>
      <c r="FV6" s="122">
        <v>6.0987716693612679</v>
      </c>
      <c r="FW6" s="122">
        <v>1253561.3537998239</v>
      </c>
      <c r="FX6" s="122">
        <v>5.8353599865135477</v>
      </c>
      <c r="FY6" s="122">
        <v>1259241.2691834462</v>
      </c>
      <c r="FZ6" s="122">
        <v>5.8108572437619461</v>
      </c>
      <c r="GA6" s="122">
        <v>1353684.4316098003</v>
      </c>
      <c r="GB6" s="122">
        <v>5.3050596083629999</v>
      </c>
      <c r="GC6" s="122">
        <v>1325517.524959777</v>
      </c>
      <c r="GD6" s="122">
        <v>5.7037526273740333</v>
      </c>
      <c r="GE6" s="122">
        <v>1239438.5355005118</v>
      </c>
      <c r="GF6" s="122">
        <v>5.9385750617006856</v>
      </c>
      <c r="GG6" s="122">
        <v>1398655.8159951873</v>
      </c>
      <c r="GH6" s="122">
        <v>5.5777829723046466</v>
      </c>
      <c r="GI6" s="122">
        <v>1425401.0135200871</v>
      </c>
      <c r="GJ6" s="122">
        <v>5.1345159721018998</v>
      </c>
      <c r="GK6" s="122">
        <v>1399704.0648230745</v>
      </c>
      <c r="GL6" s="122">
        <v>4.6062127401088695</v>
      </c>
      <c r="GM6" s="122">
        <v>1451813.1069885825</v>
      </c>
      <c r="GN6" s="122">
        <v>4.4153770024778876</v>
      </c>
      <c r="GO6" s="122">
        <v>1493441.5717318028</v>
      </c>
      <c r="GP6" s="122">
        <v>4.1042100628378186</v>
      </c>
      <c r="GQ6" s="122">
        <v>1531133.9782894382</v>
      </c>
      <c r="GR6" s="122">
        <v>4.0058385352467791</v>
      </c>
      <c r="GS6" s="122">
        <v>1588420.5365303445</v>
      </c>
      <c r="GT6" s="122">
        <v>3.7841991666295947</v>
      </c>
      <c r="GU6" s="122">
        <v>1591880.4372284866</v>
      </c>
      <c r="GV6" s="122">
        <v>3.7694935373718081</v>
      </c>
      <c r="GW6" s="122">
        <v>1613937.3895630366</v>
      </c>
      <c r="GX6" s="122">
        <v>3.6908149295105988</v>
      </c>
      <c r="GY6" s="122">
        <v>1737642.5782806072</v>
      </c>
      <c r="GZ6" s="122">
        <v>3.4311146921891429</v>
      </c>
      <c r="HA6" s="122">
        <v>1724414.1851940968</v>
      </c>
      <c r="HB6" s="122">
        <v>3.3799425826492437</v>
      </c>
      <c r="HC6" s="122">
        <v>1776234.3562655707</v>
      </c>
      <c r="HD6" s="122">
        <v>3.3249260968016303</v>
      </c>
      <c r="HE6" s="122">
        <v>1912128.4389426203</v>
      </c>
      <c r="HF6" s="122">
        <v>3.3405323125846924</v>
      </c>
      <c r="HG6" s="122">
        <v>1917693.8864316032</v>
      </c>
      <c r="HH6" s="122">
        <v>3.3481076925954589</v>
      </c>
      <c r="HI6" s="122">
        <v>1973575.3042420959</v>
      </c>
      <c r="HJ6" s="122">
        <v>3.3430062827941294</v>
      </c>
      <c r="HK6" s="122">
        <v>2023411.6871793182</v>
      </c>
      <c r="HL6" s="122">
        <v>3.3632826972845411</v>
      </c>
      <c r="HM6" s="122">
        <v>2070323.2055820469</v>
      </c>
      <c r="HN6" s="122">
        <v>3.3609158686286955</v>
      </c>
      <c r="HO6" s="122">
        <v>2115621.9506152547</v>
      </c>
      <c r="HP6" s="122">
        <v>3.3927498203874618</v>
      </c>
      <c r="HQ6" s="122">
        <v>2168933.3003953299</v>
      </c>
      <c r="HR6" s="122">
        <v>3.3757466913186329</v>
      </c>
      <c r="HS6" s="122">
        <v>2187061.4311190411</v>
      </c>
      <c r="HT6" s="122">
        <v>3.3801207473277479</v>
      </c>
      <c r="HU6" s="122">
        <v>2241267.7223703004</v>
      </c>
      <c r="HV6" s="122">
        <v>3.370742358833378</v>
      </c>
      <c r="HW6" s="122">
        <v>2373020.5163727715</v>
      </c>
      <c r="HX6" s="122">
        <v>3.0744840457700722</v>
      </c>
      <c r="HY6" s="122">
        <v>2400480.832853592</v>
      </c>
    </row>
    <row r="7" spans="1:233" x14ac:dyDescent="0.55000000000000004">
      <c r="B7" s="21">
        <v>2</v>
      </c>
      <c r="C7" s="324" t="s">
        <v>657</v>
      </c>
      <c r="D7" s="122">
        <v>8.1015450798036976</v>
      </c>
      <c r="E7" s="122">
        <v>252197.92240287998</v>
      </c>
      <c r="F7" s="122">
        <v>6.6681643677359732</v>
      </c>
      <c r="G7" s="122">
        <v>327493.28165807901</v>
      </c>
      <c r="H7" s="122">
        <v>6.4483171679638467</v>
      </c>
      <c r="I7" s="122">
        <v>394658.42549379403</v>
      </c>
      <c r="J7" s="122">
        <v>5.5732410556151502</v>
      </c>
      <c r="K7" s="122">
        <v>491833.0255404528</v>
      </c>
      <c r="L7" s="122">
        <v>10.084446670447926</v>
      </c>
      <c r="M7" s="122">
        <v>835554.73863992002</v>
      </c>
      <c r="N7" s="122">
        <v>10.239494648633544</v>
      </c>
      <c r="O7" s="122">
        <v>1036410.0988121202</v>
      </c>
      <c r="P7" s="122">
        <v>5.6102489495080379</v>
      </c>
      <c r="Q7" s="122">
        <v>503034.6751536497</v>
      </c>
      <c r="R7" s="122">
        <v>5.6546297683726694</v>
      </c>
      <c r="S7" s="122">
        <v>501932.97489083308</v>
      </c>
      <c r="T7" s="122">
        <v>5.6708598013606926</v>
      </c>
      <c r="U7" s="122">
        <v>515349.32466528012</v>
      </c>
      <c r="V7" s="122">
        <v>5.9220716901264909</v>
      </c>
      <c r="W7" s="122">
        <v>540703.87332469609</v>
      </c>
      <c r="X7" s="122">
        <v>6.3680159516284958</v>
      </c>
      <c r="Y7" s="122">
        <v>565107.51569544792</v>
      </c>
      <c r="Z7" s="122">
        <v>6.7213658274395431</v>
      </c>
      <c r="AA7" s="122">
        <v>596250.42930380185</v>
      </c>
      <c r="AB7" s="122">
        <v>7.3690023893096122</v>
      </c>
      <c r="AC7" s="122">
        <v>645492.59939359198</v>
      </c>
      <c r="AD7" s="122">
        <v>7.9400502874397851</v>
      </c>
      <c r="AE7" s="122">
        <v>696808.54673824401</v>
      </c>
      <c r="AF7" s="122">
        <v>8.5404134137123755</v>
      </c>
      <c r="AG7" s="122">
        <v>749990.25816530001</v>
      </c>
      <c r="AH7" s="122">
        <v>8.9190086422088193</v>
      </c>
      <c r="AI7" s="122">
        <v>770273.55603474006</v>
      </c>
      <c r="AJ7" s="122">
        <v>9.6096845851941133</v>
      </c>
      <c r="AK7" s="122">
        <v>790886.02491524012</v>
      </c>
      <c r="AL7" s="122">
        <v>10.084446670447926</v>
      </c>
      <c r="AM7" s="122">
        <v>835554.73863992002</v>
      </c>
      <c r="AN7" s="122">
        <v>10.223826781819048</v>
      </c>
      <c r="AO7" s="122">
        <v>848444.64078474999</v>
      </c>
      <c r="AP7" s="122">
        <v>10.322889310085261</v>
      </c>
      <c r="AQ7" s="122">
        <v>858905.48072458</v>
      </c>
      <c r="AR7" s="122">
        <v>10.30735328758248</v>
      </c>
      <c r="AS7" s="122">
        <v>855002.3897413183</v>
      </c>
      <c r="AT7" s="122">
        <v>10.195595637894026</v>
      </c>
      <c r="AU7" s="122">
        <v>844500.34441326011</v>
      </c>
      <c r="AV7" s="122">
        <v>10.271282092120352</v>
      </c>
      <c r="AW7" s="122">
        <v>860980.70682265819</v>
      </c>
      <c r="AX7" s="122">
        <v>10.199855814449904</v>
      </c>
      <c r="AY7" s="122">
        <v>890069.52752726991</v>
      </c>
      <c r="AZ7" s="122">
        <v>10.186834734388743</v>
      </c>
      <c r="BA7" s="122">
        <v>916969.51216533047</v>
      </c>
      <c r="BB7" s="122">
        <v>10.170065714436348</v>
      </c>
      <c r="BC7" s="122">
        <v>927359.7841256801</v>
      </c>
      <c r="BD7" s="122">
        <v>10.381744734190825</v>
      </c>
      <c r="BE7" s="122">
        <v>959007.08934678009</v>
      </c>
      <c r="BF7" s="122">
        <v>10.325365495264052</v>
      </c>
      <c r="BG7" s="122">
        <v>981696.85671773041</v>
      </c>
      <c r="BH7" s="122">
        <v>10.306405291525063</v>
      </c>
      <c r="BI7" s="122">
        <v>1008492.6931676402</v>
      </c>
      <c r="BJ7" s="122">
        <v>10.239494648633544</v>
      </c>
      <c r="BK7" s="122">
        <v>1036410.0988121202</v>
      </c>
      <c r="BL7" s="122">
        <v>9.8432286349301279</v>
      </c>
      <c r="BM7" s="122">
        <v>1071415.4579379694</v>
      </c>
      <c r="BN7" s="122">
        <v>9.9781688438325773</v>
      </c>
      <c r="BO7" s="122">
        <v>1085241.74109542</v>
      </c>
      <c r="BP7" s="122">
        <v>10.246027232287377</v>
      </c>
      <c r="BQ7" s="122">
        <v>1109822.7542979277</v>
      </c>
      <c r="BR7" s="122">
        <v>10.271948102085352</v>
      </c>
      <c r="BS7" s="122">
        <v>1124046.4365254915</v>
      </c>
      <c r="BT7" s="122">
        <v>10.114721102732396</v>
      </c>
      <c r="BU7" s="122">
        <v>1183332.8713196318</v>
      </c>
      <c r="BV7" s="122">
        <v>10.283308639976505</v>
      </c>
      <c r="BW7" s="122">
        <v>1206389.4095106139</v>
      </c>
      <c r="BX7" s="122">
        <v>10.294247553471886</v>
      </c>
      <c r="BY7" s="122">
        <v>1207979.1262226817</v>
      </c>
      <c r="BZ7" s="122">
        <v>10.09621987265005</v>
      </c>
      <c r="CA7" s="122">
        <v>1205878.4995266958</v>
      </c>
      <c r="CB7" s="122">
        <v>10.177019873852494</v>
      </c>
      <c r="CC7" s="122">
        <v>1207872.6514297298</v>
      </c>
      <c r="CD7" s="122">
        <v>10.092849624773361</v>
      </c>
      <c r="CE7" s="122">
        <v>1227572.2411873806</v>
      </c>
      <c r="CF7" s="122">
        <v>10.090951174478208</v>
      </c>
      <c r="CG7" s="122">
        <v>1235052.5653288153</v>
      </c>
      <c r="CH7" s="122">
        <v>9.9517881845853484</v>
      </c>
      <c r="CI7" s="122">
        <v>1248493.2200215654</v>
      </c>
      <c r="CJ7" s="122">
        <v>9.8917092450402642</v>
      </c>
      <c r="CK7" s="122">
        <v>1286924.7096171156</v>
      </c>
      <c r="CL7" s="122">
        <v>9.8744695447076207</v>
      </c>
      <c r="CM7" s="122">
        <v>1307907.8953847601</v>
      </c>
      <c r="CN7" s="122">
        <v>9.7829503385832588</v>
      </c>
      <c r="CO7" s="122">
        <v>1341676.43358203</v>
      </c>
      <c r="CP7" s="122">
        <v>9.8165776228172152</v>
      </c>
      <c r="CQ7" s="122">
        <v>1367322.534596557</v>
      </c>
      <c r="CR7" s="122">
        <v>9.7198724054487791</v>
      </c>
      <c r="CS7" s="122">
        <v>1387055.6311594767</v>
      </c>
      <c r="CT7" s="122">
        <v>9.7121032064511539</v>
      </c>
      <c r="CU7" s="122">
        <v>1411223.8363923656</v>
      </c>
      <c r="CV7" s="122">
        <v>9.6882632455394138</v>
      </c>
      <c r="CW7" s="122">
        <v>1434481.3920132963</v>
      </c>
      <c r="CX7" s="122">
        <v>9.7429030557190526</v>
      </c>
      <c r="CY7" s="122">
        <v>1473964.9082426399</v>
      </c>
      <c r="CZ7" s="122">
        <v>9.7333834458213175</v>
      </c>
      <c r="DA7" s="122">
        <v>1480060.4146780195</v>
      </c>
      <c r="DB7" s="122">
        <v>9.446727241094889</v>
      </c>
      <c r="DC7" s="122">
        <v>1480155.5523806715</v>
      </c>
      <c r="DD7" s="122">
        <v>9.2599089398252872</v>
      </c>
      <c r="DE7" s="122">
        <v>1487316.2136085266</v>
      </c>
      <c r="DF7" s="122">
        <v>9.0164496414133222</v>
      </c>
      <c r="DG7" s="122">
        <v>1604791.083565661</v>
      </c>
      <c r="DH7" s="122">
        <v>8.7944724121220776</v>
      </c>
      <c r="DI7" s="122">
        <v>1664836.9528128996</v>
      </c>
      <c r="DJ7" s="122">
        <v>8.6805201854261984</v>
      </c>
      <c r="DK7" s="122">
        <v>1689310.1962741595</v>
      </c>
      <c r="DL7" s="122">
        <v>8.460589108478052</v>
      </c>
      <c r="DM7" s="122">
        <v>1717266.5712075273</v>
      </c>
      <c r="DN7" s="122">
        <v>8.3653931374736263</v>
      </c>
      <c r="DO7" s="122">
        <v>1740061.2990378493</v>
      </c>
      <c r="DP7" s="122">
        <v>8.2018829194443743</v>
      </c>
      <c r="DQ7" s="122">
        <v>1762732.5188244993</v>
      </c>
      <c r="DR7" s="122">
        <v>8.0137113818000856</v>
      </c>
      <c r="DS7" s="122">
        <v>1767231.2831476002</v>
      </c>
      <c r="DT7" s="122">
        <v>8.0404510143097756</v>
      </c>
      <c r="DU7" s="122">
        <v>1762706.2697258098</v>
      </c>
      <c r="DV7" s="122">
        <v>7.7508776532051824</v>
      </c>
      <c r="DW7" s="122">
        <v>1764956.9471587201</v>
      </c>
      <c r="DX7" s="122">
        <v>7.659040696314718</v>
      </c>
      <c r="DY7" s="122">
        <v>1800243.6416390287</v>
      </c>
      <c r="DZ7" s="122">
        <v>7.6269091247923617</v>
      </c>
      <c r="EA7" s="122">
        <v>1847735.1030489297</v>
      </c>
      <c r="EB7" s="122">
        <v>7.6585443347275373</v>
      </c>
      <c r="EC7" s="122">
        <v>1823370.6544069499</v>
      </c>
      <c r="ED7" s="122">
        <v>7.72356866416784</v>
      </c>
      <c r="EE7" s="122">
        <v>1864001.8084132546</v>
      </c>
      <c r="EF7" s="122">
        <v>7.771302277252099</v>
      </c>
      <c r="EG7" s="122">
        <v>1924529.0697626993</v>
      </c>
      <c r="EH7" s="122">
        <v>7.8020539904415429</v>
      </c>
      <c r="EI7" s="122">
        <v>1948796.8022060993</v>
      </c>
      <c r="EJ7" s="122">
        <v>7.9645719488925302</v>
      </c>
      <c r="EK7" s="122">
        <v>2017075.5426683589</v>
      </c>
      <c r="EL7" s="122">
        <v>8.2623982505157976</v>
      </c>
      <c r="EM7" s="122">
        <v>2098910.9736271976</v>
      </c>
      <c r="EN7" s="122">
        <v>8.6069407485137006</v>
      </c>
      <c r="EO7" s="122">
        <v>2186891.134338459</v>
      </c>
      <c r="EP7" s="122">
        <v>8.9180080693756079</v>
      </c>
      <c r="EQ7" s="122">
        <v>2238984.0883706189</v>
      </c>
      <c r="ER7" s="122">
        <v>9.1263286402325434</v>
      </c>
      <c r="ES7" s="122">
        <v>2245348.1154100792</v>
      </c>
      <c r="ET7" s="122">
        <v>9.4370502468149287</v>
      </c>
      <c r="EU7" s="122">
        <v>2289669.5094795795</v>
      </c>
      <c r="EV7" s="122">
        <v>9.6661837737056953</v>
      </c>
      <c r="EW7" s="122">
        <v>2326686.7379708383</v>
      </c>
      <c r="EX7" s="122">
        <v>9.857866371695085</v>
      </c>
      <c r="EY7" s="122">
        <v>2343929.3161269175</v>
      </c>
      <c r="EZ7" s="122">
        <v>9.961901169147227</v>
      </c>
      <c r="FA7" s="122">
        <v>2381969.2023190977</v>
      </c>
      <c r="FB7" s="122">
        <v>10.117144068238314</v>
      </c>
      <c r="FC7" s="122">
        <v>2402460.1598266088</v>
      </c>
      <c r="FD7" s="122">
        <v>10.226564834707139</v>
      </c>
      <c r="FE7" s="122">
        <v>2483709.530915142</v>
      </c>
      <c r="FF7" s="122">
        <v>10.344521470644835</v>
      </c>
      <c r="FG7" s="122">
        <v>2512739.8648166666</v>
      </c>
      <c r="FH7" s="122">
        <v>10.546858207482456</v>
      </c>
      <c r="FI7" s="122">
        <v>2541495.9514982882</v>
      </c>
      <c r="FJ7" s="122">
        <v>10.652961356925347</v>
      </c>
      <c r="FK7" s="122">
        <v>2595549.7765212958</v>
      </c>
      <c r="FL7" s="122">
        <v>10.906012396608974</v>
      </c>
      <c r="FM7" s="122">
        <v>2643387.2310948409</v>
      </c>
      <c r="FN7" s="122">
        <v>11.061386984903066</v>
      </c>
      <c r="FO7" s="122">
        <v>2502252.2808466977</v>
      </c>
      <c r="FP7" s="122">
        <v>11.059968745872389</v>
      </c>
      <c r="FQ7" s="122">
        <v>2713140.6619092193</v>
      </c>
      <c r="FR7" s="122">
        <v>10.992810027129506</v>
      </c>
      <c r="FS7" s="122">
        <v>2715032.4471294908</v>
      </c>
      <c r="FT7" s="122">
        <v>10.877848280506056</v>
      </c>
      <c r="FU7" s="122">
        <v>2773731.5566031374</v>
      </c>
      <c r="FV7" s="122">
        <v>10.757151513343413</v>
      </c>
      <c r="FW7" s="122">
        <v>2777652.5938915983</v>
      </c>
      <c r="FX7" s="122">
        <v>10.274800935372387</v>
      </c>
      <c r="FY7" s="122">
        <v>2807185.0155319222</v>
      </c>
      <c r="FZ7" s="122">
        <v>10.129505891578802</v>
      </c>
      <c r="GA7" s="122">
        <v>2857985.9332830943</v>
      </c>
      <c r="GB7" s="122">
        <v>9.9803170905966656</v>
      </c>
      <c r="GC7" s="122">
        <v>2914338.638522625</v>
      </c>
      <c r="GD7" s="122">
        <v>9.996614675709198</v>
      </c>
      <c r="GE7" s="122">
        <v>2968856.8535870546</v>
      </c>
      <c r="GF7" s="122">
        <v>10.257288404513924</v>
      </c>
      <c r="GG7" s="122">
        <v>3011189.8156086481</v>
      </c>
      <c r="GH7" s="122">
        <v>10.250531791464333</v>
      </c>
      <c r="GI7" s="122">
        <v>3023180.6074501276</v>
      </c>
      <c r="GJ7" s="122">
        <v>9.6919935890012301</v>
      </c>
      <c r="GK7" s="122">
        <v>3106829.4705369291</v>
      </c>
      <c r="GL7" s="122">
        <v>9.4513740435923044</v>
      </c>
      <c r="GM7" s="122">
        <v>3124133.0639341399</v>
      </c>
      <c r="GN7" s="122">
        <v>9.514497401513097</v>
      </c>
      <c r="GO7" s="122">
        <v>3114614.7867001309</v>
      </c>
      <c r="GP7" s="122">
        <v>9.224509966883744</v>
      </c>
      <c r="GQ7" s="122">
        <v>3082401.2213412737</v>
      </c>
      <c r="GR7" s="122">
        <v>8.7225331605167504</v>
      </c>
      <c r="GS7" s="122">
        <v>3079216.8558999822</v>
      </c>
      <c r="GT7" s="122">
        <v>8.5916062257676167</v>
      </c>
      <c r="GU7" s="122">
        <v>3107486.9374411711</v>
      </c>
      <c r="GV7" s="122">
        <v>8.3784709451144526</v>
      </c>
      <c r="GW7" s="122">
        <v>3123115.9278629473</v>
      </c>
      <c r="GX7" s="122">
        <v>8.1475154380035146</v>
      </c>
      <c r="GY7" s="122">
        <v>3130250.8848340432</v>
      </c>
      <c r="GZ7" s="122">
        <v>7.9328004245104919</v>
      </c>
      <c r="HA7" s="122">
        <v>3178536.0629622471</v>
      </c>
      <c r="HB7" s="122">
        <v>7.7065507158783255</v>
      </c>
      <c r="HC7" s="122">
        <v>3181823.465010568</v>
      </c>
      <c r="HD7" s="122">
        <v>7.4285245810923684</v>
      </c>
      <c r="HE7" s="122">
        <v>3133338.9210202261</v>
      </c>
      <c r="HF7" s="122">
        <v>7.0814433003100801</v>
      </c>
      <c r="HG7" s="122">
        <v>3094142.8092941088</v>
      </c>
      <c r="HH7" s="122">
        <v>6.7964494909362063</v>
      </c>
      <c r="HI7" s="122">
        <v>3014915.4723645477</v>
      </c>
      <c r="HJ7" s="122">
        <v>6.505746916650553</v>
      </c>
      <c r="HK7" s="122">
        <v>3014480.9421739415</v>
      </c>
      <c r="HL7" s="122">
        <v>6.3247551079354354</v>
      </c>
      <c r="HM7" s="122">
        <v>3013325.3233119766</v>
      </c>
      <c r="HN7" s="122">
        <v>6.2742212223330283</v>
      </c>
      <c r="HO7" s="122">
        <v>2991263.9692928251</v>
      </c>
      <c r="HP7" s="122">
        <v>6.0963933457516024</v>
      </c>
      <c r="HQ7" s="122">
        <v>2998299.3887118176</v>
      </c>
      <c r="HR7" s="122">
        <v>5.9735661804777997</v>
      </c>
      <c r="HS7" s="122">
        <v>3000919.4270531214</v>
      </c>
      <c r="HT7" s="122">
        <v>5.921143171566345</v>
      </c>
      <c r="HU7" s="122">
        <v>3024455.4991326453</v>
      </c>
      <c r="HV7" s="122">
        <v>5.7920289185498612</v>
      </c>
      <c r="HW7" s="122">
        <v>3032365.8696029102</v>
      </c>
      <c r="HX7" s="122">
        <v>5.3258492337729972</v>
      </c>
      <c r="HY7" s="122">
        <v>3017281.0296376534</v>
      </c>
    </row>
    <row r="8" spans="1:233" x14ac:dyDescent="0.55000000000000004">
      <c r="B8" s="21">
        <v>2.1</v>
      </c>
      <c r="C8" s="28" t="s">
        <v>658</v>
      </c>
      <c r="D8" s="122">
        <v>6.445530561051906</v>
      </c>
      <c r="E8" s="122">
        <v>4615.7339791100003</v>
      </c>
      <c r="F8" s="122">
        <v>6.1957605074047652</v>
      </c>
      <c r="G8" s="122">
        <v>5725.180876989999</v>
      </c>
      <c r="H8" s="122">
        <v>5.7048663232788979</v>
      </c>
      <c r="I8" s="122">
        <v>5133.9745131299997</v>
      </c>
      <c r="J8" s="122">
        <v>5.2399382587599863</v>
      </c>
      <c r="K8" s="122">
        <v>3299.7574078400007</v>
      </c>
      <c r="L8" s="122">
        <v>9.1250200625883711</v>
      </c>
      <c r="M8" s="122">
        <v>16437.81402120999</v>
      </c>
      <c r="N8" s="122">
        <v>10.541144367817495</v>
      </c>
      <c r="O8" s="122">
        <v>31931.417553599997</v>
      </c>
      <c r="P8" s="122">
        <v>5.2037976588251578</v>
      </c>
      <c r="Q8" s="122">
        <v>4927.6281196000018</v>
      </c>
      <c r="R8" s="122">
        <v>4.8674020615015774</v>
      </c>
      <c r="S8" s="122">
        <v>7279.1421461899754</v>
      </c>
      <c r="T8" s="122">
        <v>5.6267177943996591</v>
      </c>
      <c r="U8" s="122">
        <v>8913.3110679800011</v>
      </c>
      <c r="V8" s="122">
        <v>4.4096900517524258</v>
      </c>
      <c r="W8" s="122">
        <v>4641.6094491800004</v>
      </c>
      <c r="X8" s="122">
        <v>4.4378169442141937</v>
      </c>
      <c r="Y8" s="122">
        <v>6140.6841380999967</v>
      </c>
      <c r="Z8" s="122">
        <v>4.2568645978328332</v>
      </c>
      <c r="AA8" s="122">
        <v>5038.7645215800012</v>
      </c>
      <c r="AB8" s="122">
        <v>4.3787488698854027</v>
      </c>
      <c r="AC8" s="122">
        <v>4126.7354937399987</v>
      </c>
      <c r="AD8" s="122">
        <v>4.8941381844139178</v>
      </c>
      <c r="AE8" s="122">
        <v>10232.76792312</v>
      </c>
      <c r="AF8" s="122">
        <v>7.0148503446906521</v>
      </c>
      <c r="AG8" s="122">
        <v>11200.270515349992</v>
      </c>
      <c r="AH8" s="122">
        <v>7.3336260093777677</v>
      </c>
      <c r="AI8" s="122">
        <v>13809.774132149998</v>
      </c>
      <c r="AJ8" s="122">
        <v>7.7238708856417686</v>
      </c>
      <c r="AK8" s="122">
        <v>17486.930481370007</v>
      </c>
      <c r="AL8" s="122">
        <v>9.1250200625883711</v>
      </c>
      <c r="AM8" s="122">
        <v>16437.81402120999</v>
      </c>
      <c r="AN8" s="122">
        <v>7.5240636297077481</v>
      </c>
      <c r="AO8" s="122">
        <v>10162.731994719998</v>
      </c>
      <c r="AP8" s="122">
        <v>7.4035258330214591</v>
      </c>
      <c r="AQ8" s="122">
        <v>13325.792523379987</v>
      </c>
      <c r="AR8" s="122">
        <v>7.8385746149768609</v>
      </c>
      <c r="AS8" s="122">
        <v>14066.712371599993</v>
      </c>
      <c r="AT8" s="122">
        <v>7.7874300844430531</v>
      </c>
      <c r="AU8" s="122">
        <v>10557.469923059991</v>
      </c>
      <c r="AV8" s="122">
        <v>9.0030783002592294</v>
      </c>
      <c r="AW8" s="122">
        <v>11034.120724079999</v>
      </c>
      <c r="AX8" s="122">
        <v>10.684259964973162</v>
      </c>
      <c r="AY8" s="122">
        <v>12559.828126919996</v>
      </c>
      <c r="AZ8" s="122">
        <v>9.9759177066562046</v>
      </c>
      <c r="BA8" s="122">
        <v>19344.34971438042</v>
      </c>
      <c r="BB8" s="122">
        <v>8.7816358225474147</v>
      </c>
      <c r="BC8" s="122">
        <v>21100.162218360001</v>
      </c>
      <c r="BD8" s="122">
        <v>10.353347391960513</v>
      </c>
      <c r="BE8" s="122">
        <v>20736.010758900007</v>
      </c>
      <c r="BF8" s="122">
        <v>10.680974977479645</v>
      </c>
      <c r="BG8" s="122">
        <v>16703.262196509997</v>
      </c>
      <c r="BH8" s="122">
        <v>11.086305691550995</v>
      </c>
      <c r="BI8" s="122">
        <v>36176.361419940004</v>
      </c>
      <c r="BJ8" s="122">
        <v>10.541144367817495</v>
      </c>
      <c r="BK8" s="122">
        <v>31931.417553599997</v>
      </c>
      <c r="BL8" s="122">
        <v>10.236150664858767</v>
      </c>
      <c r="BM8" s="122">
        <v>30390.795189437991</v>
      </c>
      <c r="BN8" s="122">
        <v>9.5306343394197004</v>
      </c>
      <c r="BO8" s="122">
        <v>34008.808150069999</v>
      </c>
      <c r="BP8" s="122">
        <v>9.36549117289435</v>
      </c>
      <c r="BQ8" s="122">
        <v>43896.170165049996</v>
      </c>
      <c r="BR8" s="122">
        <v>9.6050288046395718</v>
      </c>
      <c r="BS8" s="122">
        <v>43052.017950330024</v>
      </c>
      <c r="BT8" s="122">
        <v>10.306768307093524</v>
      </c>
      <c r="BU8" s="122">
        <v>45029.084951290002</v>
      </c>
      <c r="BV8" s="122">
        <v>9.6968510671358601</v>
      </c>
      <c r="BW8" s="122">
        <v>46070.097533559994</v>
      </c>
      <c r="BX8" s="122">
        <v>10.750370819638208</v>
      </c>
      <c r="BY8" s="122">
        <v>31911.694444259996</v>
      </c>
      <c r="BZ8" s="122">
        <v>10.769057105628656</v>
      </c>
      <c r="CA8" s="122">
        <v>40604.846465789989</v>
      </c>
      <c r="CB8" s="122">
        <v>10.383103260616672</v>
      </c>
      <c r="CC8" s="122">
        <v>35313.926468130005</v>
      </c>
      <c r="CD8" s="122">
        <v>10.421211660986192</v>
      </c>
      <c r="CE8" s="122">
        <v>33586.318763299991</v>
      </c>
      <c r="CF8" s="122">
        <v>10.761109279352997</v>
      </c>
      <c r="CG8" s="122">
        <v>27598.170268840007</v>
      </c>
      <c r="CH8" s="122">
        <v>10.186469313210493</v>
      </c>
      <c r="CI8" s="122">
        <v>28224.426085070005</v>
      </c>
      <c r="CJ8" s="122">
        <v>10.230630300747098</v>
      </c>
      <c r="CK8" s="122">
        <v>28877.809099489983</v>
      </c>
      <c r="CL8" s="122">
        <v>10.359565658981863</v>
      </c>
      <c r="CM8" s="122">
        <v>26020.645101109996</v>
      </c>
      <c r="CN8" s="122">
        <v>9.8138842584519459</v>
      </c>
      <c r="CO8" s="122">
        <v>28695.863596850002</v>
      </c>
      <c r="CP8" s="122">
        <v>10.139460581828818</v>
      </c>
      <c r="CQ8" s="122">
        <v>34230.659632160001</v>
      </c>
      <c r="CR8" s="122">
        <v>10.169740047327164</v>
      </c>
      <c r="CS8" s="122">
        <v>29708.825675500007</v>
      </c>
      <c r="CT8" s="122">
        <v>0</v>
      </c>
      <c r="CU8" s="122">
        <v>0</v>
      </c>
      <c r="CV8" s="122">
        <v>0</v>
      </c>
      <c r="CW8" s="122">
        <v>0</v>
      </c>
      <c r="CX8" s="122">
        <v>0</v>
      </c>
      <c r="CY8" s="122">
        <v>0</v>
      </c>
      <c r="CZ8" s="122">
        <v>0</v>
      </c>
      <c r="DA8" s="122">
        <v>0</v>
      </c>
      <c r="DB8" s="122">
        <v>0</v>
      </c>
      <c r="DC8" s="122">
        <v>0</v>
      </c>
      <c r="DD8" s="122">
        <v>0</v>
      </c>
      <c r="DE8" s="122">
        <v>0</v>
      </c>
      <c r="DF8" s="122">
        <v>0</v>
      </c>
      <c r="DG8" s="122">
        <v>0</v>
      </c>
      <c r="DH8" s="122">
        <v>0</v>
      </c>
      <c r="DI8" s="122">
        <v>0</v>
      </c>
      <c r="DJ8" s="122">
        <v>0</v>
      </c>
      <c r="DK8" s="122">
        <v>0</v>
      </c>
      <c r="DL8" s="122">
        <v>0</v>
      </c>
      <c r="DM8" s="122">
        <v>0</v>
      </c>
      <c r="DN8" s="122">
        <v>0</v>
      </c>
      <c r="DO8" s="122">
        <v>0</v>
      </c>
      <c r="DP8" s="122">
        <v>0</v>
      </c>
      <c r="DQ8" s="122">
        <v>0</v>
      </c>
      <c r="DR8" s="122">
        <v>0</v>
      </c>
      <c r="DS8" s="122">
        <v>0</v>
      </c>
      <c r="DT8" s="122">
        <v>0</v>
      </c>
      <c r="DU8" s="122">
        <v>0</v>
      </c>
      <c r="DV8" s="122">
        <v>0</v>
      </c>
      <c r="DW8" s="122">
        <v>0</v>
      </c>
      <c r="DX8" s="122">
        <v>0</v>
      </c>
      <c r="DY8" s="122">
        <v>0</v>
      </c>
      <c r="DZ8" s="122">
        <v>0</v>
      </c>
      <c r="EA8" s="122">
        <v>0</v>
      </c>
      <c r="EB8" s="122">
        <v>0</v>
      </c>
      <c r="EC8" s="122">
        <v>0</v>
      </c>
      <c r="ED8" s="122">
        <v>0</v>
      </c>
      <c r="EE8" s="122">
        <v>0</v>
      </c>
      <c r="EF8" s="122">
        <v>0</v>
      </c>
      <c r="EG8" s="122">
        <v>0</v>
      </c>
      <c r="EH8" s="122">
        <v>0</v>
      </c>
      <c r="EI8" s="122">
        <v>0</v>
      </c>
      <c r="EJ8" s="122">
        <v>0</v>
      </c>
      <c r="EK8" s="122">
        <v>0</v>
      </c>
      <c r="EL8" s="122">
        <v>0</v>
      </c>
      <c r="EM8" s="122">
        <v>0</v>
      </c>
      <c r="EN8" s="122">
        <v>0</v>
      </c>
      <c r="EO8" s="122">
        <v>0</v>
      </c>
      <c r="EP8" s="122">
        <v>0</v>
      </c>
      <c r="EQ8" s="122">
        <v>0</v>
      </c>
      <c r="ER8" s="122">
        <v>0</v>
      </c>
      <c r="ES8" s="122">
        <v>0</v>
      </c>
      <c r="ET8" s="122">
        <v>0</v>
      </c>
      <c r="EU8" s="122">
        <v>0</v>
      </c>
      <c r="EV8" s="122">
        <v>0</v>
      </c>
      <c r="EW8" s="122">
        <v>0</v>
      </c>
      <c r="EX8" s="122">
        <v>0</v>
      </c>
      <c r="EY8" s="122">
        <v>0</v>
      </c>
      <c r="EZ8" s="122">
        <v>0</v>
      </c>
      <c r="FA8" s="122">
        <v>0</v>
      </c>
      <c r="FB8" s="122">
        <v>0</v>
      </c>
      <c r="FC8" s="122">
        <v>0</v>
      </c>
      <c r="FD8" s="122">
        <v>0</v>
      </c>
      <c r="FE8" s="122">
        <v>0</v>
      </c>
      <c r="FF8" s="122">
        <v>0</v>
      </c>
      <c r="FG8" s="122">
        <v>0</v>
      </c>
      <c r="FH8" s="122">
        <v>0</v>
      </c>
      <c r="FI8" s="122">
        <v>0</v>
      </c>
      <c r="FJ8" s="122">
        <v>0</v>
      </c>
      <c r="FK8" s="122">
        <v>0</v>
      </c>
      <c r="FL8" s="122">
        <v>0</v>
      </c>
      <c r="FM8" s="122">
        <v>0</v>
      </c>
      <c r="FN8" s="122">
        <v>0</v>
      </c>
      <c r="FO8" s="122">
        <v>0</v>
      </c>
      <c r="FP8" s="122">
        <v>0</v>
      </c>
      <c r="FQ8" s="122">
        <v>0</v>
      </c>
      <c r="FR8" s="122">
        <v>0</v>
      </c>
      <c r="FS8" s="122">
        <v>0</v>
      </c>
      <c r="FT8" s="122">
        <v>0</v>
      </c>
      <c r="FU8" s="122">
        <v>0</v>
      </c>
      <c r="FV8" s="122">
        <v>0</v>
      </c>
      <c r="FW8" s="122">
        <v>0</v>
      </c>
      <c r="FX8" s="122">
        <v>0</v>
      </c>
      <c r="FY8" s="122">
        <v>0</v>
      </c>
      <c r="FZ8" s="122">
        <v>0</v>
      </c>
      <c r="GA8" s="122">
        <v>0</v>
      </c>
      <c r="GB8" s="122">
        <v>0</v>
      </c>
      <c r="GC8" s="122">
        <v>0</v>
      </c>
      <c r="GD8" s="122">
        <v>0</v>
      </c>
      <c r="GE8" s="122">
        <v>0</v>
      </c>
      <c r="GF8" s="122">
        <v>0</v>
      </c>
      <c r="GG8" s="122">
        <v>0</v>
      </c>
      <c r="GH8" s="122">
        <v>0</v>
      </c>
      <c r="GI8" s="122">
        <v>0</v>
      </c>
      <c r="GJ8" s="122">
        <v>0</v>
      </c>
      <c r="GK8" s="122">
        <v>0</v>
      </c>
      <c r="GL8" s="122">
        <v>0</v>
      </c>
      <c r="GM8" s="122">
        <v>0</v>
      </c>
      <c r="GN8" s="122">
        <v>0</v>
      </c>
      <c r="GO8" s="122">
        <v>0</v>
      </c>
      <c r="GP8" s="122">
        <v>0</v>
      </c>
      <c r="GQ8" s="122">
        <v>0</v>
      </c>
      <c r="GR8" s="122">
        <v>0</v>
      </c>
      <c r="GS8" s="122">
        <v>0</v>
      </c>
      <c r="GT8" s="122">
        <v>0</v>
      </c>
      <c r="GU8" s="122">
        <v>0</v>
      </c>
      <c r="GV8" s="122">
        <v>0</v>
      </c>
      <c r="GW8" s="122">
        <v>0</v>
      </c>
      <c r="GX8" s="122">
        <v>0</v>
      </c>
      <c r="GY8" s="122">
        <v>0</v>
      </c>
      <c r="GZ8" s="122">
        <v>0</v>
      </c>
      <c r="HA8" s="122">
        <v>0</v>
      </c>
      <c r="HB8" s="122">
        <v>0</v>
      </c>
      <c r="HC8" s="122">
        <v>0</v>
      </c>
      <c r="HD8" s="122">
        <v>0</v>
      </c>
      <c r="HE8" s="122">
        <v>0</v>
      </c>
      <c r="HF8" s="122">
        <v>0</v>
      </c>
      <c r="HG8" s="122">
        <v>0</v>
      </c>
      <c r="HH8" s="122">
        <v>0</v>
      </c>
      <c r="HI8" s="122">
        <v>0</v>
      </c>
      <c r="HJ8" s="122">
        <v>0</v>
      </c>
      <c r="HK8" s="122">
        <v>0</v>
      </c>
      <c r="HL8" s="122">
        <v>0</v>
      </c>
      <c r="HM8" s="122">
        <v>0</v>
      </c>
      <c r="HN8" s="122">
        <v>0</v>
      </c>
      <c r="HO8" s="122">
        <v>0</v>
      </c>
      <c r="HP8" s="122">
        <v>0</v>
      </c>
      <c r="HQ8" s="122">
        <v>0</v>
      </c>
      <c r="HR8" s="122">
        <v>0</v>
      </c>
      <c r="HS8" s="122">
        <v>0</v>
      </c>
      <c r="HT8" s="122">
        <v>0</v>
      </c>
      <c r="HU8" s="122">
        <v>0</v>
      </c>
      <c r="HV8" s="122">
        <v>0</v>
      </c>
      <c r="HW8" s="122">
        <v>0</v>
      </c>
      <c r="HX8" s="122">
        <v>0</v>
      </c>
      <c r="HY8" s="122">
        <v>0</v>
      </c>
    </row>
    <row r="9" spans="1:233" x14ac:dyDescent="0.55000000000000004">
      <c r="B9" s="325">
        <v>2.2000000000000002</v>
      </c>
      <c r="C9" s="28" t="s">
        <v>659</v>
      </c>
      <c r="D9" s="122">
        <v>7.0764886574539982</v>
      </c>
      <c r="E9" s="122">
        <v>12768.780762875433</v>
      </c>
      <c r="F9" s="122">
        <v>6.7304360873483793</v>
      </c>
      <c r="G9" s="122">
        <v>18052.571258085693</v>
      </c>
      <c r="H9" s="122">
        <v>5.0941033889031013</v>
      </c>
      <c r="I9" s="122">
        <v>17077.258044790004</v>
      </c>
      <c r="J9" s="122">
        <v>5.0076079650102256</v>
      </c>
      <c r="K9" s="122">
        <v>18238.170892020007</v>
      </c>
      <c r="L9" s="122">
        <v>8.9154389846130684</v>
      </c>
      <c r="M9" s="122">
        <v>39944.809251189989</v>
      </c>
      <c r="N9" s="122">
        <v>10.013235575315004</v>
      </c>
      <c r="O9" s="122">
        <v>71592.919516359994</v>
      </c>
      <c r="P9" s="122">
        <v>5.1050921571232823</v>
      </c>
      <c r="Q9" s="122">
        <v>21487.800451969997</v>
      </c>
      <c r="R9" s="122">
        <v>5.0934468473777708</v>
      </c>
      <c r="S9" s="122">
        <v>20823.71745846</v>
      </c>
      <c r="T9" s="122">
        <v>5.0958289744584278</v>
      </c>
      <c r="U9" s="122">
        <v>25732.872623269992</v>
      </c>
      <c r="V9" s="122">
        <v>5.0093065875640725</v>
      </c>
      <c r="W9" s="122">
        <v>21759.876774349996</v>
      </c>
      <c r="X9" s="122">
        <v>4.6264530236012256</v>
      </c>
      <c r="Y9" s="122">
        <v>15029.431294609998</v>
      </c>
      <c r="Z9" s="122">
        <v>4.7623894645784466</v>
      </c>
      <c r="AA9" s="122">
        <v>17403.757071360003</v>
      </c>
      <c r="AB9" s="122">
        <v>6.3168530149523052</v>
      </c>
      <c r="AC9" s="122">
        <v>24981.567085240004</v>
      </c>
      <c r="AD9" s="122">
        <v>8.0121586948316725</v>
      </c>
      <c r="AE9" s="122">
        <v>30279.729931899998</v>
      </c>
      <c r="AF9" s="122">
        <v>7.5319710223291674</v>
      </c>
      <c r="AG9" s="122">
        <v>50668.623876630008</v>
      </c>
      <c r="AH9" s="122">
        <v>8.6261729515196404</v>
      </c>
      <c r="AI9" s="122">
        <v>52800.338505300002</v>
      </c>
      <c r="AJ9" s="122">
        <v>8.8070764570958353</v>
      </c>
      <c r="AK9" s="122">
        <v>41247.240312973336</v>
      </c>
      <c r="AL9" s="122">
        <v>8.9154389846130684</v>
      </c>
      <c r="AM9" s="122">
        <v>39944.809251189989</v>
      </c>
      <c r="AN9" s="122">
        <v>8.3545373127241174</v>
      </c>
      <c r="AO9" s="122">
        <v>45009.879673830037</v>
      </c>
      <c r="AP9" s="122">
        <v>8.0068146105353364</v>
      </c>
      <c r="AQ9" s="122">
        <v>43986.445274910016</v>
      </c>
      <c r="AR9" s="122">
        <v>8.2595275020290604</v>
      </c>
      <c r="AS9" s="122">
        <v>41116.47881713001</v>
      </c>
      <c r="AT9" s="122">
        <v>8.9463996700407762</v>
      </c>
      <c r="AU9" s="122">
        <v>36357.718699140009</v>
      </c>
      <c r="AV9" s="122">
        <v>8.9081561765308379</v>
      </c>
      <c r="AW9" s="122">
        <v>42897.516696050006</v>
      </c>
      <c r="AX9" s="122">
        <v>9.227747531531632</v>
      </c>
      <c r="AY9" s="122">
        <v>49841.124324229997</v>
      </c>
      <c r="AZ9" s="122">
        <v>9.9656119238824221</v>
      </c>
      <c r="BA9" s="122">
        <v>65677.219154859951</v>
      </c>
      <c r="BB9" s="122">
        <v>10.062326795104848</v>
      </c>
      <c r="BC9" s="122">
        <v>53074.351709730021</v>
      </c>
      <c r="BD9" s="122">
        <v>10.524759561559678</v>
      </c>
      <c r="BE9" s="122">
        <v>61546.751868760002</v>
      </c>
      <c r="BF9" s="122">
        <v>10.369579313767217</v>
      </c>
      <c r="BG9" s="122">
        <v>64062.638516950021</v>
      </c>
      <c r="BH9" s="122">
        <v>10.122821507144886</v>
      </c>
      <c r="BI9" s="122">
        <v>69549.840356840024</v>
      </c>
      <c r="BJ9" s="122">
        <v>10.013235575315004</v>
      </c>
      <c r="BK9" s="122">
        <v>71592.919516359994</v>
      </c>
      <c r="BL9" s="122">
        <v>9.3741238726132003</v>
      </c>
      <c r="BM9" s="122">
        <v>84401.266124480011</v>
      </c>
      <c r="BN9" s="122">
        <v>9.4679689356092673</v>
      </c>
      <c r="BO9" s="122">
        <v>91558.138368600019</v>
      </c>
      <c r="BP9" s="122">
        <v>9.8954202163698248</v>
      </c>
      <c r="BQ9" s="122">
        <v>84687.719200160005</v>
      </c>
      <c r="BR9" s="122">
        <v>9.9687294486032574</v>
      </c>
      <c r="BS9" s="122">
        <v>88043.277515700029</v>
      </c>
      <c r="BT9" s="122">
        <v>10.046613604987543</v>
      </c>
      <c r="BU9" s="122">
        <v>91471.212200260023</v>
      </c>
      <c r="BV9" s="122">
        <v>10.077837244184714</v>
      </c>
      <c r="BW9" s="122">
        <v>88503.073574350041</v>
      </c>
      <c r="BX9" s="122">
        <v>10.124231353368659</v>
      </c>
      <c r="BY9" s="122">
        <v>91243.174876800025</v>
      </c>
      <c r="BZ9" s="122">
        <v>9.9059463522506555</v>
      </c>
      <c r="CA9" s="122">
        <v>99512.063106639995</v>
      </c>
      <c r="CB9" s="122">
        <v>9.9733551355253418</v>
      </c>
      <c r="CC9" s="122">
        <v>95340.825252290029</v>
      </c>
      <c r="CD9" s="122">
        <v>9.9038412455895628</v>
      </c>
      <c r="CE9" s="122">
        <v>102620.55519179002</v>
      </c>
      <c r="CF9" s="122">
        <v>9.8259146765945875</v>
      </c>
      <c r="CG9" s="122">
        <v>94567.728464430053</v>
      </c>
      <c r="CH9" s="122">
        <v>9.8774981553244476</v>
      </c>
      <c r="CI9" s="122">
        <v>93613.038623850021</v>
      </c>
      <c r="CJ9" s="122">
        <v>9.617858328950641</v>
      </c>
      <c r="CK9" s="122">
        <v>102638.13108531003</v>
      </c>
      <c r="CL9" s="122">
        <v>9.6447257042605585</v>
      </c>
      <c r="CM9" s="122">
        <v>120033.14618279006</v>
      </c>
      <c r="CN9" s="122">
        <v>9.6530509978125814</v>
      </c>
      <c r="CO9" s="122">
        <v>144745.13117641577</v>
      </c>
      <c r="CP9" s="122">
        <v>9.6257136630239923</v>
      </c>
      <c r="CQ9" s="122">
        <v>140842.50135652788</v>
      </c>
      <c r="CR9" s="122">
        <v>9.4693946430245859</v>
      </c>
      <c r="CS9" s="122">
        <v>145364.63529282637</v>
      </c>
      <c r="CT9" s="122">
        <v>0</v>
      </c>
      <c r="CU9" s="122">
        <v>0</v>
      </c>
      <c r="CV9" s="122">
        <v>0</v>
      </c>
      <c r="CW9" s="122">
        <v>0</v>
      </c>
      <c r="CX9" s="122">
        <v>0</v>
      </c>
      <c r="CY9" s="122">
        <v>0</v>
      </c>
      <c r="CZ9" s="122">
        <v>0</v>
      </c>
      <c r="DA9" s="122">
        <v>0</v>
      </c>
      <c r="DB9" s="122">
        <v>0</v>
      </c>
      <c r="DC9" s="122">
        <v>0</v>
      </c>
      <c r="DD9" s="122">
        <v>0</v>
      </c>
      <c r="DE9" s="122">
        <v>0</v>
      </c>
      <c r="DF9" s="122">
        <v>0</v>
      </c>
      <c r="DG9" s="122">
        <v>0</v>
      </c>
      <c r="DH9" s="122">
        <v>0</v>
      </c>
      <c r="DI9" s="122">
        <v>0</v>
      </c>
      <c r="DJ9" s="122">
        <v>0</v>
      </c>
      <c r="DK9" s="122">
        <v>0</v>
      </c>
      <c r="DL9" s="122">
        <v>0</v>
      </c>
      <c r="DM9" s="122">
        <v>0</v>
      </c>
      <c r="DN9" s="122">
        <v>0</v>
      </c>
      <c r="DO9" s="122">
        <v>0</v>
      </c>
      <c r="DP9" s="122">
        <v>0</v>
      </c>
      <c r="DQ9" s="122">
        <v>0</v>
      </c>
      <c r="DR9" s="122">
        <v>0</v>
      </c>
      <c r="DS9" s="122">
        <v>0</v>
      </c>
      <c r="DT9" s="122">
        <v>0</v>
      </c>
      <c r="DU9" s="122">
        <v>0</v>
      </c>
      <c r="DV9" s="122">
        <v>0</v>
      </c>
      <c r="DW9" s="122">
        <v>0</v>
      </c>
      <c r="DX9" s="122">
        <v>0</v>
      </c>
      <c r="DY9" s="122">
        <v>0</v>
      </c>
      <c r="DZ9" s="122">
        <v>0</v>
      </c>
      <c r="EA9" s="122">
        <v>0</v>
      </c>
      <c r="EB9" s="122">
        <v>0</v>
      </c>
      <c r="EC9" s="122">
        <v>0</v>
      </c>
      <c r="ED9" s="122">
        <v>0</v>
      </c>
      <c r="EE9" s="122">
        <v>0</v>
      </c>
      <c r="EF9" s="122">
        <v>0</v>
      </c>
      <c r="EG9" s="122">
        <v>0</v>
      </c>
      <c r="EH9" s="122">
        <v>0</v>
      </c>
      <c r="EI9" s="122">
        <v>0</v>
      </c>
      <c r="EJ9" s="122">
        <v>0</v>
      </c>
      <c r="EK9" s="122">
        <v>0</v>
      </c>
      <c r="EL9" s="122">
        <v>0</v>
      </c>
      <c r="EM9" s="122">
        <v>0</v>
      </c>
      <c r="EN9" s="122">
        <v>0</v>
      </c>
      <c r="EO9" s="122">
        <v>0</v>
      </c>
      <c r="EP9" s="122">
        <v>0</v>
      </c>
      <c r="EQ9" s="122">
        <v>0</v>
      </c>
      <c r="ER9" s="122">
        <v>0</v>
      </c>
      <c r="ES9" s="122">
        <v>0</v>
      </c>
      <c r="ET9" s="122">
        <v>0</v>
      </c>
      <c r="EU9" s="122">
        <v>0</v>
      </c>
      <c r="EV9" s="122">
        <v>0</v>
      </c>
      <c r="EW9" s="122">
        <v>0</v>
      </c>
      <c r="EX9" s="122">
        <v>0</v>
      </c>
      <c r="EY9" s="122">
        <v>0</v>
      </c>
      <c r="EZ9" s="122">
        <v>0</v>
      </c>
      <c r="FA9" s="122">
        <v>0</v>
      </c>
      <c r="FB9" s="122">
        <v>0</v>
      </c>
      <c r="FC9" s="122">
        <v>0</v>
      </c>
      <c r="FD9" s="122">
        <v>0</v>
      </c>
      <c r="FE9" s="122">
        <v>0</v>
      </c>
      <c r="FF9" s="122">
        <v>0</v>
      </c>
      <c r="FG9" s="122">
        <v>0</v>
      </c>
      <c r="FH9" s="122">
        <v>0</v>
      </c>
      <c r="FI9" s="122">
        <v>0</v>
      </c>
      <c r="FJ9" s="122">
        <v>0</v>
      </c>
      <c r="FK9" s="122">
        <v>0</v>
      </c>
      <c r="FL9" s="122">
        <v>0</v>
      </c>
      <c r="FM9" s="122">
        <v>0</v>
      </c>
      <c r="FN9" s="122">
        <v>0</v>
      </c>
      <c r="FO9" s="122">
        <v>0</v>
      </c>
      <c r="FP9" s="122">
        <v>0</v>
      </c>
      <c r="FQ9" s="122">
        <v>0</v>
      </c>
      <c r="FR9" s="122">
        <v>0</v>
      </c>
      <c r="FS9" s="122">
        <v>0</v>
      </c>
      <c r="FT9" s="122">
        <v>0</v>
      </c>
      <c r="FU9" s="122">
        <v>0</v>
      </c>
      <c r="FV9" s="122">
        <v>0</v>
      </c>
      <c r="FW9" s="122">
        <v>0</v>
      </c>
      <c r="FX9" s="122">
        <v>0</v>
      </c>
      <c r="FY9" s="122">
        <v>0</v>
      </c>
      <c r="FZ9" s="122">
        <v>0</v>
      </c>
      <c r="GA9" s="122">
        <v>0</v>
      </c>
      <c r="GB9" s="122">
        <v>0</v>
      </c>
      <c r="GC9" s="122">
        <v>0</v>
      </c>
      <c r="GD9" s="122">
        <v>0</v>
      </c>
      <c r="GE9" s="122">
        <v>0</v>
      </c>
      <c r="GF9" s="122">
        <v>0</v>
      </c>
      <c r="GG9" s="122">
        <v>0</v>
      </c>
      <c r="GH9" s="122">
        <v>0</v>
      </c>
      <c r="GI9" s="122">
        <v>0</v>
      </c>
      <c r="GJ9" s="122">
        <v>0</v>
      </c>
      <c r="GK9" s="122">
        <v>0</v>
      </c>
      <c r="GL9" s="122">
        <v>0</v>
      </c>
      <c r="GM9" s="122">
        <v>0</v>
      </c>
      <c r="GN9" s="122">
        <v>0</v>
      </c>
      <c r="GO9" s="122">
        <v>0</v>
      </c>
      <c r="GP9" s="122">
        <v>0</v>
      </c>
      <c r="GQ9" s="122">
        <v>0</v>
      </c>
      <c r="GR9" s="122">
        <v>0</v>
      </c>
      <c r="GS9" s="122">
        <v>0</v>
      </c>
      <c r="GT9" s="122">
        <v>0</v>
      </c>
      <c r="GU9" s="122">
        <v>0</v>
      </c>
      <c r="GV9" s="122">
        <v>0</v>
      </c>
      <c r="GW9" s="122">
        <v>0</v>
      </c>
      <c r="GX9" s="122">
        <v>0</v>
      </c>
      <c r="GY9" s="122">
        <v>0</v>
      </c>
      <c r="GZ9" s="122">
        <v>0</v>
      </c>
      <c r="HA9" s="122">
        <v>0</v>
      </c>
      <c r="HB9" s="122">
        <v>0</v>
      </c>
      <c r="HC9" s="122">
        <v>0</v>
      </c>
      <c r="HD9" s="122">
        <v>0</v>
      </c>
      <c r="HE9" s="122">
        <v>0</v>
      </c>
      <c r="HF9" s="122">
        <v>0</v>
      </c>
      <c r="HG9" s="122">
        <v>0</v>
      </c>
      <c r="HH9" s="122">
        <v>0</v>
      </c>
      <c r="HI9" s="122">
        <v>0</v>
      </c>
      <c r="HJ9" s="122">
        <v>0</v>
      </c>
      <c r="HK9" s="122">
        <v>0</v>
      </c>
      <c r="HL9" s="122">
        <v>0</v>
      </c>
      <c r="HM9" s="122">
        <v>0</v>
      </c>
      <c r="HN9" s="122">
        <v>0</v>
      </c>
      <c r="HO9" s="122">
        <v>0</v>
      </c>
      <c r="HP9" s="122">
        <v>0</v>
      </c>
      <c r="HQ9" s="122">
        <v>0</v>
      </c>
      <c r="HR9" s="122">
        <v>0</v>
      </c>
      <c r="HS9" s="122">
        <v>0</v>
      </c>
      <c r="HT9" s="122">
        <v>0</v>
      </c>
      <c r="HU9" s="122">
        <v>0</v>
      </c>
      <c r="HV9" s="122">
        <v>0</v>
      </c>
      <c r="HW9" s="122">
        <v>0</v>
      </c>
      <c r="HX9" s="122">
        <v>0</v>
      </c>
      <c r="HY9" s="122">
        <v>0</v>
      </c>
    </row>
    <row r="10" spans="1:233" x14ac:dyDescent="0.55000000000000004">
      <c r="B10" s="21">
        <v>2.2999999999999998</v>
      </c>
      <c r="C10" s="28" t="s">
        <v>660</v>
      </c>
      <c r="D10" s="122">
        <v>6.9154594269902736</v>
      </c>
      <c r="E10" s="122">
        <v>19791.123703664663</v>
      </c>
      <c r="F10" s="122">
        <v>6.1375405803414056</v>
      </c>
      <c r="G10" s="122">
        <v>18317.823797376892</v>
      </c>
      <c r="H10" s="122">
        <v>5.5272402318188414</v>
      </c>
      <c r="I10" s="122">
        <v>27069.180090800004</v>
      </c>
      <c r="J10" s="122">
        <v>4.4824294124008768</v>
      </c>
      <c r="K10" s="122">
        <v>45190.743340384011</v>
      </c>
      <c r="L10" s="122">
        <v>9.5694558000406325</v>
      </c>
      <c r="M10" s="122">
        <v>57925.543990889964</v>
      </c>
      <c r="N10" s="122">
        <v>9.9206022943795666</v>
      </c>
      <c r="O10" s="122">
        <v>107135.83409669003</v>
      </c>
      <c r="P10" s="122">
        <v>4.4647110916154862</v>
      </c>
      <c r="Q10" s="122">
        <v>45594.478671908029</v>
      </c>
      <c r="R10" s="122">
        <v>4.2913449648441118</v>
      </c>
      <c r="S10" s="122">
        <v>37211.908786385022</v>
      </c>
      <c r="T10" s="122">
        <v>4.5311409055120775</v>
      </c>
      <c r="U10" s="122">
        <v>37389.049077036005</v>
      </c>
      <c r="V10" s="122">
        <v>4.7549224072864993</v>
      </c>
      <c r="W10" s="122">
        <v>34886.741537600006</v>
      </c>
      <c r="X10" s="122">
        <v>5.6107052564764812</v>
      </c>
      <c r="Y10" s="122">
        <v>53508.309429881992</v>
      </c>
      <c r="Z10" s="122">
        <v>6.9630333365064017</v>
      </c>
      <c r="AA10" s="122">
        <v>60834.063707410016</v>
      </c>
      <c r="AB10" s="122">
        <v>7.2830470714665392</v>
      </c>
      <c r="AC10" s="122">
        <v>78315.088281567005</v>
      </c>
      <c r="AD10" s="122">
        <v>8.1572377182200544</v>
      </c>
      <c r="AE10" s="122">
        <v>63880.262337879998</v>
      </c>
      <c r="AF10" s="122">
        <v>7.7734736509661895</v>
      </c>
      <c r="AG10" s="122">
        <v>75145.443385541017</v>
      </c>
      <c r="AH10" s="122">
        <v>8.670822701054691</v>
      </c>
      <c r="AI10" s="122">
        <v>52060.58932700006</v>
      </c>
      <c r="AJ10" s="122">
        <v>8.9046009567034758</v>
      </c>
      <c r="AK10" s="122">
        <v>54974.827648883445</v>
      </c>
      <c r="AL10" s="122">
        <v>9.5694558000406325</v>
      </c>
      <c r="AM10" s="122">
        <v>57925.543990889964</v>
      </c>
      <c r="AN10" s="122">
        <v>9.6624386895583463</v>
      </c>
      <c r="AO10" s="122">
        <v>56714.423756260003</v>
      </c>
      <c r="AP10" s="122">
        <v>9.2529268204284758</v>
      </c>
      <c r="AQ10" s="122">
        <v>64243.096872640002</v>
      </c>
      <c r="AR10" s="122">
        <v>10.490426780882068</v>
      </c>
      <c r="AS10" s="122">
        <v>67911.400443369988</v>
      </c>
      <c r="AT10" s="122">
        <v>10.61282160600099</v>
      </c>
      <c r="AU10" s="122">
        <v>72261.850808749979</v>
      </c>
      <c r="AV10" s="122">
        <v>10.497881877405478</v>
      </c>
      <c r="AW10" s="122">
        <v>64709.619645580002</v>
      </c>
      <c r="AX10" s="122">
        <v>10.303713127193358</v>
      </c>
      <c r="AY10" s="122">
        <v>63174.644491856649</v>
      </c>
      <c r="AZ10" s="122">
        <v>10.314855876003511</v>
      </c>
      <c r="BA10" s="122">
        <v>69579.156857890048</v>
      </c>
      <c r="BB10" s="122">
        <v>10.345122638141486</v>
      </c>
      <c r="BC10" s="122">
        <v>71081.643621980038</v>
      </c>
      <c r="BD10" s="122">
        <v>10.200687812731873</v>
      </c>
      <c r="BE10" s="122">
        <v>78899.863260710015</v>
      </c>
      <c r="BF10" s="122">
        <v>9.956256313173304</v>
      </c>
      <c r="BG10" s="122">
        <v>84352.726574480039</v>
      </c>
      <c r="BH10" s="122">
        <v>9.9559485402303682</v>
      </c>
      <c r="BI10" s="122">
        <v>100189.68044538</v>
      </c>
      <c r="BJ10" s="122">
        <v>9.9206022943795666</v>
      </c>
      <c r="BK10" s="122">
        <v>107135.83409669003</v>
      </c>
      <c r="BL10" s="122">
        <v>10.56830479967191</v>
      </c>
      <c r="BM10" s="122">
        <v>118136.24631484006</v>
      </c>
      <c r="BN10" s="122">
        <v>9.9126001245020081</v>
      </c>
      <c r="BO10" s="122">
        <v>116334.21712642003</v>
      </c>
      <c r="BP10" s="122">
        <v>10.266435248338357</v>
      </c>
      <c r="BQ10" s="122">
        <v>131019.89142948003</v>
      </c>
      <c r="BR10" s="122">
        <v>10.06872358782404</v>
      </c>
      <c r="BS10" s="122">
        <v>143593.90485420008</v>
      </c>
      <c r="BT10" s="122">
        <v>9.9634426512776262</v>
      </c>
      <c r="BU10" s="122">
        <v>131819.62338096002</v>
      </c>
      <c r="BV10" s="122">
        <v>10.113196360085945</v>
      </c>
      <c r="BW10" s="122">
        <v>128871.86499657322</v>
      </c>
      <c r="BX10" s="122">
        <v>10.299302563184705</v>
      </c>
      <c r="BY10" s="122">
        <v>122145.68273499</v>
      </c>
      <c r="BZ10" s="122">
        <v>10.042718993305517</v>
      </c>
      <c r="CA10" s="122">
        <v>135668.93017643009</v>
      </c>
      <c r="CB10" s="122">
        <v>10.113721717893293</v>
      </c>
      <c r="CC10" s="122">
        <v>114472.16899415002</v>
      </c>
      <c r="CD10" s="122">
        <v>9.925259046838617</v>
      </c>
      <c r="CE10" s="122">
        <v>112898.61832180007</v>
      </c>
      <c r="CF10" s="122">
        <v>9.7496084105361884</v>
      </c>
      <c r="CG10" s="122">
        <v>142599.67065233405</v>
      </c>
      <c r="CH10" s="122">
        <v>9.7469118286653185</v>
      </c>
      <c r="CI10" s="122">
        <v>154415.31125872009</v>
      </c>
      <c r="CJ10" s="122">
        <v>9.7119855281503185</v>
      </c>
      <c r="CK10" s="122">
        <v>170209.57782844006</v>
      </c>
      <c r="CL10" s="122">
        <v>9.6512521084757559</v>
      </c>
      <c r="CM10" s="122">
        <v>168192.63843672996</v>
      </c>
      <c r="CN10" s="122">
        <v>9.5571084343647499</v>
      </c>
      <c r="CO10" s="122">
        <v>162076.33650312971</v>
      </c>
      <c r="CP10" s="122">
        <v>9.6116026941586323</v>
      </c>
      <c r="CQ10" s="122">
        <v>165845.11061913962</v>
      </c>
      <c r="CR10" s="122">
        <v>9.6026828399688124</v>
      </c>
      <c r="CS10" s="122">
        <v>171897.12102141755</v>
      </c>
      <c r="CT10" s="122">
        <v>9.5274685845120963</v>
      </c>
      <c r="CU10" s="122">
        <v>247977.88507914334</v>
      </c>
      <c r="CV10" s="122">
        <v>9.5626608439219023</v>
      </c>
      <c r="CW10" s="122">
        <v>260695.45576624695</v>
      </c>
      <c r="CX10" s="122">
        <v>9.5513334268609746</v>
      </c>
      <c r="CY10" s="122">
        <v>276589.07759958121</v>
      </c>
      <c r="CZ10" s="122">
        <v>9.5326512955933573</v>
      </c>
      <c r="DA10" s="122">
        <v>272465.11209791119</v>
      </c>
      <c r="DB10" s="122">
        <v>9.2446372140448663</v>
      </c>
      <c r="DC10" s="122">
        <v>246209.17290598215</v>
      </c>
      <c r="DD10" s="122">
        <v>8.6394755891879331</v>
      </c>
      <c r="DE10" s="122">
        <v>264878.21216872009</v>
      </c>
      <c r="DF10" s="122">
        <v>8.2255356965080058</v>
      </c>
      <c r="DG10" s="122">
        <v>293867.02941492014</v>
      </c>
      <c r="DH10" s="122">
        <v>7.9422061888720892</v>
      </c>
      <c r="DI10" s="122">
        <v>300443.50674515014</v>
      </c>
      <c r="DJ10" s="122">
        <v>7.7963796851276452</v>
      </c>
      <c r="DK10" s="122">
        <v>301118.47696567012</v>
      </c>
      <c r="DL10" s="122">
        <v>7.4434453977513808</v>
      </c>
      <c r="DM10" s="122">
        <v>298332.68854055007</v>
      </c>
      <c r="DN10" s="122">
        <v>7.4308059239610262</v>
      </c>
      <c r="DO10" s="122">
        <v>277580.34400066012</v>
      </c>
      <c r="DP10" s="122">
        <v>7.2741866966607471</v>
      </c>
      <c r="DQ10" s="122">
        <v>267486.64943238016</v>
      </c>
      <c r="DR10" s="122">
        <v>7.0341241279421256</v>
      </c>
      <c r="DS10" s="122">
        <v>258806.95026114001</v>
      </c>
      <c r="DT10" s="122">
        <v>6.9350896186791742</v>
      </c>
      <c r="DU10" s="122">
        <v>254627.30271027499</v>
      </c>
      <c r="DV10" s="122">
        <v>6.6916351785505768</v>
      </c>
      <c r="DW10" s="122">
        <v>266949.77563217428</v>
      </c>
      <c r="DX10" s="122">
        <v>6.7039073350670941</v>
      </c>
      <c r="DY10" s="122">
        <v>293182.85405088426</v>
      </c>
      <c r="DZ10" s="122">
        <v>6.78930442782816</v>
      </c>
      <c r="EA10" s="122">
        <v>303577.82043594046</v>
      </c>
      <c r="EB10" s="122">
        <v>6.975666389088099</v>
      </c>
      <c r="EC10" s="122">
        <v>293128.78036347055</v>
      </c>
      <c r="ED10" s="122">
        <v>7.1171600293939212</v>
      </c>
      <c r="EE10" s="122">
        <v>316776.14405053901</v>
      </c>
      <c r="EF10" s="122">
        <v>7.2340609664821196</v>
      </c>
      <c r="EG10" s="122">
        <v>328292.80461442901</v>
      </c>
      <c r="EH10" s="122">
        <v>7.2251259159250605</v>
      </c>
      <c r="EI10" s="122">
        <v>373287.56754433858</v>
      </c>
      <c r="EJ10" s="122">
        <v>7.5958792310979462</v>
      </c>
      <c r="EK10" s="122">
        <v>375319.08268575004</v>
      </c>
      <c r="EL10" s="122">
        <v>8.0673421840463764</v>
      </c>
      <c r="EM10" s="122">
        <v>393403.00612182001</v>
      </c>
      <c r="EN10" s="122">
        <v>8.8151417514644308</v>
      </c>
      <c r="EO10" s="122">
        <v>423500.91548359004</v>
      </c>
      <c r="EP10" s="122">
        <v>9.0859248519164204</v>
      </c>
      <c r="EQ10" s="122">
        <v>501312.94426470011</v>
      </c>
      <c r="ER10" s="122">
        <v>9.4695840055132585</v>
      </c>
      <c r="ES10" s="122">
        <v>465101.93176993006</v>
      </c>
      <c r="ET10" s="122">
        <v>9.7030004705701884</v>
      </c>
      <c r="EU10" s="122">
        <v>447603.03463780013</v>
      </c>
      <c r="EV10" s="122">
        <v>10.05352911187585</v>
      </c>
      <c r="EW10" s="122">
        <v>463905.11693374021</v>
      </c>
      <c r="EX10" s="122">
        <v>10.282381421341373</v>
      </c>
      <c r="EY10" s="122">
        <v>515039.3186782992</v>
      </c>
      <c r="EZ10" s="122">
        <v>10.295984053685364</v>
      </c>
      <c r="FA10" s="122">
        <v>531077.61700466997</v>
      </c>
      <c r="FB10" s="122">
        <v>10.443950306389032</v>
      </c>
      <c r="FC10" s="122">
        <v>531859.26357303001</v>
      </c>
      <c r="FD10" s="122">
        <v>10.384116641736183</v>
      </c>
      <c r="FE10" s="122">
        <v>624135.33498148399</v>
      </c>
      <c r="FF10" s="122">
        <v>10.58652112496984</v>
      </c>
      <c r="FG10" s="122">
        <v>618205.8714201512</v>
      </c>
      <c r="FH10" s="122">
        <v>10.961439078099513</v>
      </c>
      <c r="FI10" s="122">
        <v>527606.86600525945</v>
      </c>
      <c r="FJ10" s="122">
        <v>10.747176332139663</v>
      </c>
      <c r="FK10" s="122">
        <v>701378.61689026596</v>
      </c>
      <c r="FL10" s="122">
        <v>11.440210322483036</v>
      </c>
      <c r="FM10" s="122">
        <v>619512.03951472999</v>
      </c>
      <c r="FN10" s="122">
        <v>11.433917180865603</v>
      </c>
      <c r="FO10" s="122">
        <v>626004.87240156042</v>
      </c>
      <c r="FP10" s="122">
        <v>11.30253741305272</v>
      </c>
      <c r="FQ10" s="122">
        <v>632008.38494571997</v>
      </c>
      <c r="FR10" s="122">
        <v>11.141754878491325</v>
      </c>
      <c r="FS10" s="122">
        <v>637967.50351031986</v>
      </c>
      <c r="FT10" s="122">
        <v>10.925223589979277</v>
      </c>
      <c r="FU10" s="122">
        <v>639004.53869228007</v>
      </c>
      <c r="FV10" s="122">
        <v>10.708287548745229</v>
      </c>
      <c r="FW10" s="122">
        <v>621381.65896168328</v>
      </c>
      <c r="FX10" s="122">
        <v>9.987513284866905</v>
      </c>
      <c r="FY10" s="122">
        <v>577833.72390826023</v>
      </c>
      <c r="FZ10" s="122">
        <v>9.694411061157469</v>
      </c>
      <c r="GA10" s="122">
        <v>538327.20511367137</v>
      </c>
      <c r="GB10" s="122">
        <v>9.5011627016184015</v>
      </c>
      <c r="GC10" s="122">
        <v>538720.87156160979</v>
      </c>
      <c r="GD10" s="122">
        <v>9.4529672115883923</v>
      </c>
      <c r="GE10" s="122">
        <v>554116.18869953277</v>
      </c>
      <c r="GF10" s="122">
        <v>9.9492707568434753</v>
      </c>
      <c r="GG10" s="122">
        <v>577913.44179233932</v>
      </c>
      <c r="GH10" s="122">
        <v>9.9957110881900153</v>
      </c>
      <c r="GI10" s="122">
        <v>557791.71002407314</v>
      </c>
      <c r="GJ10" s="122">
        <v>9.2611607105240203</v>
      </c>
      <c r="GK10" s="122">
        <v>607346.76968488423</v>
      </c>
      <c r="GL10" s="122">
        <v>8.8600059880501245</v>
      </c>
      <c r="GM10" s="122">
        <v>626437.43649888295</v>
      </c>
      <c r="GN10" s="122">
        <v>8.6919727579948844</v>
      </c>
      <c r="GO10" s="122">
        <v>594126.11313658045</v>
      </c>
      <c r="GP10" s="122">
        <v>8.1113427361889965</v>
      </c>
      <c r="GQ10" s="122">
        <v>544613.03993670165</v>
      </c>
      <c r="GR10" s="122">
        <v>7.5457578334236093</v>
      </c>
      <c r="GS10" s="122">
        <v>550301.10354829219</v>
      </c>
      <c r="GT10" s="122">
        <v>7.1613349033909746</v>
      </c>
      <c r="GU10" s="122">
        <v>559411.0675093747</v>
      </c>
      <c r="GV10" s="122">
        <v>6.754504747205436</v>
      </c>
      <c r="GW10" s="122">
        <v>722652.53668072727</v>
      </c>
      <c r="GX10" s="122">
        <v>6.3843425820523381</v>
      </c>
      <c r="GY10" s="122">
        <v>574607.88536482316</v>
      </c>
      <c r="GZ10" s="122">
        <v>6.1959851605183882</v>
      </c>
      <c r="HA10" s="122">
        <v>559022.49637020228</v>
      </c>
      <c r="HB10" s="122">
        <v>5.6651759255972891</v>
      </c>
      <c r="HC10" s="122">
        <v>595514.53587429249</v>
      </c>
      <c r="HD10" s="122">
        <v>5.3403397227949139</v>
      </c>
      <c r="HE10" s="122">
        <v>615704.36117379006</v>
      </c>
      <c r="HF10" s="122">
        <v>5.0773005763270973</v>
      </c>
      <c r="HG10" s="122">
        <v>612431.62003634707</v>
      </c>
      <c r="HH10" s="122">
        <v>4.8802895466328788</v>
      </c>
      <c r="HI10" s="122">
        <v>590101.98572911113</v>
      </c>
      <c r="HJ10" s="122">
        <v>4.4517876906899572</v>
      </c>
      <c r="HK10" s="122">
        <v>620475.72997750854</v>
      </c>
      <c r="HL10" s="122">
        <v>4.4143119412988678</v>
      </c>
      <c r="HM10" s="122">
        <v>632440.65819120861</v>
      </c>
      <c r="HN10" s="122">
        <v>4.4463599253114552</v>
      </c>
      <c r="HO10" s="122">
        <v>601753.72279381321</v>
      </c>
      <c r="HP10" s="122">
        <v>4.2818224388544959</v>
      </c>
      <c r="HQ10" s="122">
        <v>573995.82510827191</v>
      </c>
      <c r="HR10" s="122">
        <v>4.235413019079405</v>
      </c>
      <c r="HS10" s="122">
        <v>578621.85403391451</v>
      </c>
      <c r="HT10" s="122">
        <v>4.2771696561638155</v>
      </c>
      <c r="HU10" s="122">
        <v>734990.3841085895</v>
      </c>
      <c r="HV10" s="122">
        <v>4.138810545906451</v>
      </c>
      <c r="HW10" s="122">
        <v>557148.81964644534</v>
      </c>
      <c r="HX10" s="122">
        <v>3.9699071162683919</v>
      </c>
      <c r="HY10" s="122">
        <v>554539.95040875906</v>
      </c>
    </row>
    <row r="11" spans="1:233" x14ac:dyDescent="0.55000000000000004">
      <c r="B11" s="325">
        <v>2.4</v>
      </c>
      <c r="C11" s="28" t="s">
        <v>661</v>
      </c>
      <c r="D11" s="122">
        <v>8.1330652186558616</v>
      </c>
      <c r="E11" s="122">
        <v>140261.63645599698</v>
      </c>
      <c r="F11" s="122">
        <v>6.4847198570772093</v>
      </c>
      <c r="G11" s="122">
        <v>182218.93202327678</v>
      </c>
      <c r="H11" s="122">
        <v>6.4680489129684213</v>
      </c>
      <c r="I11" s="122">
        <v>184288.48799934404</v>
      </c>
      <c r="J11" s="122">
        <v>5.7606194996924396</v>
      </c>
      <c r="K11" s="122">
        <v>277140.73575479683</v>
      </c>
      <c r="L11" s="122">
        <v>10.390633550172854</v>
      </c>
      <c r="M11" s="122">
        <v>471888.49707116012</v>
      </c>
      <c r="N11" s="122">
        <v>10.423332971746545</v>
      </c>
      <c r="O11" s="122">
        <v>488484.55088916997</v>
      </c>
      <c r="P11" s="122">
        <v>5.8305295902359378</v>
      </c>
      <c r="Q11" s="122">
        <v>284119.60136708769</v>
      </c>
      <c r="R11" s="122">
        <v>5.865579545102853</v>
      </c>
      <c r="S11" s="122">
        <v>284140.2702483256</v>
      </c>
      <c r="T11" s="122">
        <v>5.872151520605831</v>
      </c>
      <c r="U11" s="122">
        <v>294465.94495568611</v>
      </c>
      <c r="V11" s="122">
        <v>6.1173277444837773</v>
      </c>
      <c r="W11" s="122">
        <v>288298.50833540596</v>
      </c>
      <c r="X11" s="122">
        <v>6.6479316658502468</v>
      </c>
      <c r="Y11" s="122">
        <v>331742.13430866192</v>
      </c>
      <c r="Z11" s="122">
        <v>6.9119129678002507</v>
      </c>
      <c r="AA11" s="122">
        <v>336877.15307097783</v>
      </c>
      <c r="AB11" s="122">
        <v>7.5294500671992131</v>
      </c>
      <c r="AC11" s="122">
        <v>364026.66872269142</v>
      </c>
      <c r="AD11" s="122">
        <v>8.0554335123371494</v>
      </c>
      <c r="AE11" s="122">
        <v>377944.65533331904</v>
      </c>
      <c r="AF11" s="122">
        <v>8.8456285035661466</v>
      </c>
      <c r="AG11" s="122">
        <v>398374.38168847351</v>
      </c>
      <c r="AH11" s="122">
        <v>9.0070031799330756</v>
      </c>
      <c r="AI11" s="122">
        <v>439358.18772423</v>
      </c>
      <c r="AJ11" s="122">
        <v>9.9165501224065888</v>
      </c>
      <c r="AK11" s="122">
        <v>441605.57874111808</v>
      </c>
      <c r="AL11" s="122">
        <v>10.390633550172854</v>
      </c>
      <c r="AM11" s="122">
        <v>471888.49707116012</v>
      </c>
      <c r="AN11" s="122">
        <v>10.663257155271372</v>
      </c>
      <c r="AO11" s="122">
        <v>486270.78476687585</v>
      </c>
      <c r="AP11" s="122">
        <v>10.823769621378386</v>
      </c>
      <c r="AQ11" s="122">
        <v>500896.66830920061</v>
      </c>
      <c r="AR11" s="122">
        <v>10.746162207107913</v>
      </c>
      <c r="AS11" s="122">
        <v>473474.7390535099</v>
      </c>
      <c r="AT11" s="122">
        <v>10.607587453169334</v>
      </c>
      <c r="AU11" s="122">
        <v>480249.05589463306</v>
      </c>
      <c r="AV11" s="122">
        <v>10.506635181403951</v>
      </c>
      <c r="AW11" s="122">
        <v>485145.66768414597</v>
      </c>
      <c r="AX11" s="122">
        <v>10.550192366435921</v>
      </c>
      <c r="AY11" s="122">
        <v>483285.57077194715</v>
      </c>
      <c r="AZ11" s="122">
        <v>10.481979955194815</v>
      </c>
      <c r="BA11" s="122">
        <v>475357.4217497686</v>
      </c>
      <c r="BB11" s="122">
        <v>10.471030521376575</v>
      </c>
      <c r="BC11" s="122">
        <v>493426.14125637553</v>
      </c>
      <c r="BD11" s="122">
        <v>10.687067094533752</v>
      </c>
      <c r="BE11" s="122">
        <v>518615.89464328706</v>
      </c>
      <c r="BF11" s="122">
        <v>10.559016185925833</v>
      </c>
      <c r="BG11" s="122">
        <v>505671.49497678014</v>
      </c>
      <c r="BH11" s="122">
        <v>10.522419383668121</v>
      </c>
      <c r="BI11" s="122">
        <v>475869.84449590108</v>
      </c>
      <c r="BJ11" s="122">
        <v>10.423332971746545</v>
      </c>
      <c r="BK11" s="122">
        <v>488484.55088916997</v>
      </c>
      <c r="BL11" s="122">
        <v>9.8957777341852875</v>
      </c>
      <c r="BM11" s="122">
        <v>472577.77130511915</v>
      </c>
      <c r="BN11" s="122">
        <v>10.010073914012681</v>
      </c>
      <c r="BO11" s="122">
        <v>488374.17581021908</v>
      </c>
      <c r="BP11" s="122">
        <v>10.344144019403609</v>
      </c>
      <c r="BQ11" s="122">
        <v>483516.17678849294</v>
      </c>
      <c r="BR11" s="122">
        <v>10.43007376768011</v>
      </c>
      <c r="BS11" s="122">
        <v>469502.64555073978</v>
      </c>
      <c r="BT11" s="122">
        <v>9.9345579041198171</v>
      </c>
      <c r="BU11" s="122">
        <v>518048.18564063805</v>
      </c>
      <c r="BV11" s="122">
        <v>10.248320150580019</v>
      </c>
      <c r="BW11" s="122">
        <v>490257.72226160683</v>
      </c>
      <c r="BX11" s="122">
        <v>10.133448310946008</v>
      </c>
      <c r="BY11" s="122">
        <v>529704.96325640206</v>
      </c>
      <c r="BZ11" s="122">
        <v>9.7852798184650283</v>
      </c>
      <c r="CA11" s="122">
        <v>505951.39709611598</v>
      </c>
      <c r="CB11" s="122">
        <v>10.041480705799973</v>
      </c>
      <c r="CC11" s="122">
        <v>544362.04566551978</v>
      </c>
      <c r="CD11" s="122">
        <v>9.9759996313444361</v>
      </c>
      <c r="CE11" s="122">
        <v>532928.55145143834</v>
      </c>
      <c r="CF11" s="122">
        <v>10.005336618348927</v>
      </c>
      <c r="CG11" s="122">
        <v>513259.26733246591</v>
      </c>
      <c r="CH11" s="122">
        <v>9.8270641507624745</v>
      </c>
      <c r="CI11" s="122">
        <v>487870.56767705048</v>
      </c>
      <c r="CJ11" s="122">
        <v>9.7839006945133953</v>
      </c>
      <c r="CK11" s="122">
        <v>468485.24340345548</v>
      </c>
      <c r="CL11" s="122">
        <v>9.7062109040726146</v>
      </c>
      <c r="CM11" s="122">
        <v>511316.88224577007</v>
      </c>
      <c r="CN11" s="122">
        <v>9.6101043636619554</v>
      </c>
      <c r="CO11" s="122">
        <v>507498.35576356243</v>
      </c>
      <c r="CP11" s="122">
        <v>9.6357446324615825</v>
      </c>
      <c r="CQ11" s="122">
        <v>516153.20882617752</v>
      </c>
      <c r="CR11" s="122">
        <v>9.5249100771557771</v>
      </c>
      <c r="CS11" s="122">
        <v>547515.91596473008</v>
      </c>
      <c r="CT11" s="122">
        <v>9.629524250553299</v>
      </c>
      <c r="CU11" s="122">
        <v>337522.74333806423</v>
      </c>
      <c r="CV11" s="122">
        <v>9.5929493728591844</v>
      </c>
      <c r="CW11" s="122">
        <v>345237.42620356375</v>
      </c>
      <c r="CX11" s="122">
        <v>9.6373402361159428</v>
      </c>
      <c r="CY11" s="122">
        <v>363677.97883042798</v>
      </c>
      <c r="CZ11" s="122">
        <v>9.633970788450652</v>
      </c>
      <c r="DA11" s="122">
        <v>379535.6456092872</v>
      </c>
      <c r="DB11" s="122">
        <v>9.4388709119574976</v>
      </c>
      <c r="DC11" s="122">
        <v>412162.85629805288</v>
      </c>
      <c r="DD11" s="122">
        <v>9.2580259630423871</v>
      </c>
      <c r="DE11" s="122">
        <v>385888.90709163761</v>
      </c>
      <c r="DF11" s="122">
        <v>8.9575001459068719</v>
      </c>
      <c r="DG11" s="122">
        <v>466993.9728557092</v>
      </c>
      <c r="DH11" s="122">
        <v>8.6962204829055008</v>
      </c>
      <c r="DI11" s="122">
        <v>465857.57121068006</v>
      </c>
      <c r="DJ11" s="122">
        <v>8.4659384919808751</v>
      </c>
      <c r="DK11" s="122">
        <v>487162.45399783988</v>
      </c>
      <c r="DL11" s="122">
        <v>8.1766882018176084</v>
      </c>
      <c r="DM11" s="122">
        <v>548139.62227511813</v>
      </c>
      <c r="DN11" s="122">
        <v>8.0461874710795538</v>
      </c>
      <c r="DO11" s="122">
        <v>549955.18583882996</v>
      </c>
      <c r="DP11" s="122">
        <v>7.9253700960483773</v>
      </c>
      <c r="DQ11" s="122">
        <v>527100.93414064997</v>
      </c>
      <c r="DR11" s="122">
        <v>7.7492876886562367</v>
      </c>
      <c r="DS11" s="122">
        <v>593982.58773127012</v>
      </c>
      <c r="DT11" s="122">
        <v>8.0741366622763078</v>
      </c>
      <c r="DU11" s="122">
        <v>625783.83866840019</v>
      </c>
      <c r="DV11" s="122">
        <v>7.4829671766404919</v>
      </c>
      <c r="DW11" s="122">
        <v>591279.85057055787</v>
      </c>
      <c r="DX11" s="122">
        <v>7.3758803432883395</v>
      </c>
      <c r="DY11" s="122">
        <v>587889.1733911538</v>
      </c>
      <c r="DZ11" s="122">
        <v>7.2858652044624685</v>
      </c>
      <c r="EA11" s="122">
        <v>690769.19126610423</v>
      </c>
      <c r="EB11" s="122">
        <v>7.2641032891650497</v>
      </c>
      <c r="EC11" s="122">
        <v>661335.27747259557</v>
      </c>
      <c r="ED11" s="122">
        <v>7.3361556552388523</v>
      </c>
      <c r="EE11" s="122">
        <v>688829.24241415202</v>
      </c>
      <c r="EF11" s="122">
        <v>7.4794494742881561</v>
      </c>
      <c r="EG11" s="122">
        <v>762195.00628578477</v>
      </c>
      <c r="EH11" s="122">
        <v>7.4563445839725251</v>
      </c>
      <c r="EI11" s="122">
        <v>739917.29580788943</v>
      </c>
      <c r="EJ11" s="122">
        <v>7.7258922097851279</v>
      </c>
      <c r="EK11" s="122">
        <v>736550.15168940881</v>
      </c>
      <c r="EL11" s="122">
        <v>8.0310576198721488</v>
      </c>
      <c r="EM11" s="122">
        <v>818104.9923521888</v>
      </c>
      <c r="EN11" s="122">
        <v>8.3432482733813504</v>
      </c>
      <c r="EO11" s="122">
        <v>844735.6193383286</v>
      </c>
      <c r="EP11" s="122">
        <v>8.723172825331158</v>
      </c>
      <c r="EQ11" s="122">
        <v>869305.32683747867</v>
      </c>
      <c r="ER11" s="122">
        <v>8.958990068557652</v>
      </c>
      <c r="ES11" s="122">
        <v>983173.11867319909</v>
      </c>
      <c r="ET11" s="122">
        <v>9.3160675676064031</v>
      </c>
      <c r="EU11" s="122">
        <v>923215.96099662932</v>
      </c>
      <c r="EV11" s="122">
        <v>9.5638802062154173</v>
      </c>
      <c r="EW11" s="122">
        <v>924051.28832031833</v>
      </c>
      <c r="EX11" s="122">
        <v>9.7569656965585736</v>
      </c>
      <c r="EY11" s="122">
        <v>913308.31190059916</v>
      </c>
      <c r="EZ11" s="122">
        <v>9.8791967436638686</v>
      </c>
      <c r="FA11" s="122">
        <v>915936.38409825962</v>
      </c>
      <c r="FB11" s="122">
        <v>10.104571635939559</v>
      </c>
      <c r="FC11" s="122">
        <v>889094.42917476944</v>
      </c>
      <c r="FD11" s="122">
        <v>10.266249361226144</v>
      </c>
      <c r="FE11" s="122">
        <v>878877.74922804895</v>
      </c>
      <c r="FF11" s="122">
        <v>10.354126689558319</v>
      </c>
      <c r="FG11" s="122">
        <v>906331.99009071942</v>
      </c>
      <c r="FH11" s="122">
        <v>10.537949989991708</v>
      </c>
      <c r="FI11" s="122">
        <v>866725.12705509877</v>
      </c>
      <c r="FJ11" s="122">
        <v>10.721421135175031</v>
      </c>
      <c r="FK11" s="122">
        <v>812187.15787274938</v>
      </c>
      <c r="FL11" s="122">
        <v>10.807179760072726</v>
      </c>
      <c r="FM11" s="122">
        <v>848068.74562437856</v>
      </c>
      <c r="FN11" s="122">
        <v>11.063645775850954</v>
      </c>
      <c r="FO11" s="122">
        <v>877612.094823219</v>
      </c>
      <c r="FP11" s="122">
        <v>11.089608546268959</v>
      </c>
      <c r="FQ11" s="122">
        <v>859472.88641068921</v>
      </c>
      <c r="FR11" s="122">
        <v>11.076758242329435</v>
      </c>
      <c r="FS11" s="122">
        <v>906053.54904103291</v>
      </c>
      <c r="FT11" s="122">
        <v>10.943761248763975</v>
      </c>
      <c r="FU11" s="122">
        <v>1012396.6155924156</v>
      </c>
      <c r="FV11" s="122">
        <v>10.831537116574006</v>
      </c>
      <c r="FW11" s="122">
        <v>1003037.5175751986</v>
      </c>
      <c r="FX11" s="122">
        <v>10.328832386485459</v>
      </c>
      <c r="FY11" s="122">
        <v>1030140.076454223</v>
      </c>
      <c r="FZ11" s="122">
        <v>10.177453226278439</v>
      </c>
      <c r="GA11" s="122">
        <v>989139.54132452875</v>
      </c>
      <c r="GB11" s="122">
        <v>9.9516255654571459</v>
      </c>
      <c r="GC11" s="122">
        <v>961436.27014526271</v>
      </c>
      <c r="GD11" s="122">
        <v>10.019631460966524</v>
      </c>
      <c r="GE11" s="122">
        <v>975351.39168577956</v>
      </c>
      <c r="GF11" s="122">
        <v>10.227546311616818</v>
      </c>
      <c r="GG11" s="122">
        <v>941575.61823201808</v>
      </c>
      <c r="GH11" s="122">
        <v>10.189380109593607</v>
      </c>
      <c r="GI11" s="122">
        <v>892396.61564202572</v>
      </c>
      <c r="GJ11" s="122">
        <v>9.3952700583308104</v>
      </c>
      <c r="GK11" s="122">
        <v>867422.47409393196</v>
      </c>
      <c r="GL11" s="122">
        <v>9.0442618433085453</v>
      </c>
      <c r="GM11" s="122">
        <v>883021.97836035129</v>
      </c>
      <c r="GN11" s="122">
        <v>9.0339420740352967</v>
      </c>
      <c r="GO11" s="122">
        <v>794180.94414587843</v>
      </c>
      <c r="GP11" s="122">
        <v>8.751474528874029</v>
      </c>
      <c r="GQ11" s="122">
        <v>837480.51558697782</v>
      </c>
      <c r="GR11" s="122">
        <v>8.0821692125724365</v>
      </c>
      <c r="GS11" s="122">
        <v>943949.08945952461</v>
      </c>
      <c r="GT11" s="122">
        <v>7.6605686564405291</v>
      </c>
      <c r="GU11" s="122">
        <v>910702.17613281403</v>
      </c>
      <c r="GV11" s="122">
        <v>7.3786372443859536</v>
      </c>
      <c r="GW11" s="122">
        <v>834460.08191730373</v>
      </c>
      <c r="GX11" s="122">
        <v>7.0678765844580598</v>
      </c>
      <c r="GY11" s="122">
        <v>1039688.0664230593</v>
      </c>
      <c r="GZ11" s="122">
        <v>6.6940124451939047</v>
      </c>
      <c r="HA11" s="122">
        <v>998673.90881622292</v>
      </c>
      <c r="HB11" s="122">
        <v>6.4049483627323136</v>
      </c>
      <c r="HC11" s="122">
        <v>1055288.3255291702</v>
      </c>
      <c r="HD11" s="122">
        <v>6.2116422489736882</v>
      </c>
      <c r="HE11" s="122">
        <v>1077605.3254266023</v>
      </c>
      <c r="HF11" s="122">
        <v>5.8344330392930939</v>
      </c>
      <c r="HG11" s="122">
        <v>1093496.6882197855</v>
      </c>
      <c r="HH11" s="122">
        <v>5.4994213789777975</v>
      </c>
      <c r="HI11" s="122">
        <v>1103916.2682488477</v>
      </c>
      <c r="HJ11" s="122">
        <v>5.308621796970928</v>
      </c>
      <c r="HK11" s="122">
        <v>1083749.3830528711</v>
      </c>
      <c r="HL11" s="122">
        <v>5.0542167525614534</v>
      </c>
      <c r="HM11" s="122">
        <v>1086595.8040579525</v>
      </c>
      <c r="HN11" s="122">
        <v>4.9548854424036</v>
      </c>
      <c r="HO11" s="122">
        <v>1098169.8026873847</v>
      </c>
      <c r="HP11" s="122">
        <v>4.6833254061061247</v>
      </c>
      <c r="HQ11" s="122">
        <v>1141743.8635151235</v>
      </c>
      <c r="HR11" s="122">
        <v>4.5440807277974447</v>
      </c>
      <c r="HS11" s="122">
        <v>1132247.4424539225</v>
      </c>
      <c r="HT11" s="122">
        <v>4.5447841001036293</v>
      </c>
      <c r="HU11" s="122">
        <v>1039182.8275342663</v>
      </c>
      <c r="HV11" s="122">
        <v>4.364602993756856</v>
      </c>
      <c r="HW11" s="122">
        <v>1117775.2984556626</v>
      </c>
      <c r="HX11" s="122">
        <v>3.9165819273335458</v>
      </c>
      <c r="HY11" s="122">
        <v>1103559.6386017262</v>
      </c>
    </row>
    <row r="12" spans="1:233" x14ac:dyDescent="0.55000000000000004">
      <c r="B12" s="21">
        <v>2.5</v>
      </c>
      <c r="C12" s="28" t="s">
        <v>662</v>
      </c>
      <c r="D12" s="122">
        <v>8.3744663007021067</v>
      </c>
      <c r="E12" s="122">
        <v>53449.106284966045</v>
      </c>
      <c r="F12" s="122">
        <v>6.896711317227596</v>
      </c>
      <c r="G12" s="122">
        <v>78274.016841121775</v>
      </c>
      <c r="H12" s="122">
        <v>6.5219109416398062</v>
      </c>
      <c r="I12" s="122">
        <v>133408.988563144</v>
      </c>
      <c r="J12" s="122">
        <v>5.3909420123183631</v>
      </c>
      <c r="K12" s="122">
        <v>124298.94624213397</v>
      </c>
      <c r="L12" s="122">
        <v>10.232898893121343</v>
      </c>
      <c r="M12" s="122">
        <v>190857.4062408605</v>
      </c>
      <c r="N12" s="122">
        <v>10.200054731054889</v>
      </c>
      <c r="O12" s="122">
        <v>234054.88657617709</v>
      </c>
      <c r="P12" s="122">
        <v>5.338804621339361</v>
      </c>
      <c r="Q12" s="122">
        <v>119366.90459649797</v>
      </c>
      <c r="R12" s="122">
        <v>5.496031373240986</v>
      </c>
      <c r="S12" s="122">
        <v>128730.54668020751</v>
      </c>
      <c r="T12" s="122">
        <v>5.5235112881141273</v>
      </c>
      <c r="U12" s="122">
        <v>124730.17736095599</v>
      </c>
      <c r="V12" s="122">
        <v>5.8975405203414342</v>
      </c>
      <c r="W12" s="122">
        <v>164150.17729720008</v>
      </c>
      <c r="X12" s="122">
        <v>6.1303907599060796</v>
      </c>
      <c r="Y12" s="122">
        <v>128889.79560521197</v>
      </c>
      <c r="Z12" s="122">
        <v>6.43757837676623</v>
      </c>
      <c r="AA12" s="122">
        <v>136635.00510719998</v>
      </c>
      <c r="AB12" s="122">
        <v>7.1333940902289124</v>
      </c>
      <c r="AC12" s="122">
        <v>136592.84233561449</v>
      </c>
      <c r="AD12" s="122">
        <v>7.760591073261474</v>
      </c>
      <c r="AE12" s="122">
        <v>161655.61467745248</v>
      </c>
      <c r="AF12" s="122">
        <v>8.5774216835098844</v>
      </c>
      <c r="AG12" s="122">
        <v>164487.85802253854</v>
      </c>
      <c r="AH12" s="122">
        <v>9.1512445482225253</v>
      </c>
      <c r="AI12" s="122">
        <v>165921.07814602347</v>
      </c>
      <c r="AJ12" s="122">
        <v>9.6338660285561115</v>
      </c>
      <c r="AK12" s="122">
        <v>180424.1888286609</v>
      </c>
      <c r="AL12" s="122">
        <v>10.232898893121343</v>
      </c>
      <c r="AM12" s="122">
        <v>190857.4062408605</v>
      </c>
      <c r="AN12" s="122">
        <v>10.202944057439662</v>
      </c>
      <c r="AO12" s="122">
        <v>192068.47302084469</v>
      </c>
      <c r="AP12" s="122">
        <v>10.602838785540618</v>
      </c>
      <c r="AQ12" s="122">
        <v>174837.38207530478</v>
      </c>
      <c r="AR12" s="122">
        <v>10.217676383031359</v>
      </c>
      <c r="AS12" s="122">
        <v>187011.20512113842</v>
      </c>
      <c r="AT12" s="122">
        <v>9.773584051888653</v>
      </c>
      <c r="AU12" s="122">
        <v>176064.47660732904</v>
      </c>
      <c r="AV12" s="122">
        <v>10.443769826189049</v>
      </c>
      <c r="AW12" s="122">
        <v>184978.2132203441</v>
      </c>
      <c r="AX12" s="122">
        <v>10.034510891351749</v>
      </c>
      <c r="AY12" s="122">
        <v>200404.79399049361</v>
      </c>
      <c r="AZ12" s="122">
        <v>10.015469839708338</v>
      </c>
      <c r="BA12" s="122">
        <v>202140.96297856898</v>
      </c>
      <c r="BB12" s="122">
        <v>9.9474280732447298</v>
      </c>
      <c r="BC12" s="122">
        <v>201240.75206361699</v>
      </c>
      <c r="BD12" s="122">
        <v>10.003642297495048</v>
      </c>
      <c r="BE12" s="122">
        <v>185373.227545328</v>
      </c>
      <c r="BF12" s="122">
        <v>10.170204885627655</v>
      </c>
      <c r="BG12" s="122">
        <v>208005.33339243004</v>
      </c>
      <c r="BH12" s="122">
        <v>10.195448984480981</v>
      </c>
      <c r="BI12" s="122">
        <v>220729.50120092407</v>
      </c>
      <c r="BJ12" s="122">
        <v>10.200054731054889</v>
      </c>
      <c r="BK12" s="122">
        <v>234054.88657617709</v>
      </c>
      <c r="BL12" s="122">
        <v>9.492627010702007</v>
      </c>
      <c r="BM12" s="122">
        <v>260001.48011781852</v>
      </c>
      <c r="BN12" s="122">
        <v>10.184256213705114</v>
      </c>
      <c r="BO12" s="122">
        <v>241481.36098659263</v>
      </c>
      <c r="BP12" s="122">
        <v>10.426168954934786</v>
      </c>
      <c r="BQ12" s="122">
        <v>249645.94329912015</v>
      </c>
      <c r="BR12" s="122">
        <v>10.474497233570036</v>
      </c>
      <c r="BS12" s="122">
        <v>254210.19912835199</v>
      </c>
      <c r="BT12" s="122">
        <v>10.479596531775277</v>
      </c>
      <c r="BU12" s="122">
        <v>245925.84103790042</v>
      </c>
      <c r="BV12" s="122">
        <v>10.584805712234694</v>
      </c>
      <c r="BW12" s="122">
        <v>295174.69284291548</v>
      </c>
      <c r="BX12" s="122">
        <v>10.586095898482693</v>
      </c>
      <c r="BY12" s="122">
        <v>271285.11578552175</v>
      </c>
      <c r="BZ12" s="122">
        <v>10.530467082498761</v>
      </c>
      <c r="CA12" s="122">
        <v>261773.10389296978</v>
      </c>
      <c r="CB12" s="122">
        <v>10.43527971499253</v>
      </c>
      <c r="CC12" s="122">
        <v>260607.84995494998</v>
      </c>
      <c r="CD12" s="122">
        <v>10.2792543800819</v>
      </c>
      <c r="CE12" s="122">
        <v>283175.40454292274</v>
      </c>
      <c r="CF12" s="122">
        <v>10.269473701019983</v>
      </c>
      <c r="CG12" s="122">
        <v>294393.96723321144</v>
      </c>
      <c r="CH12" s="122">
        <v>10.057476463166907</v>
      </c>
      <c r="CI12" s="122">
        <v>317520.03559591016</v>
      </c>
      <c r="CJ12" s="122">
        <v>9.9801527453478425</v>
      </c>
      <c r="CK12" s="122">
        <v>342296.49772578978</v>
      </c>
      <c r="CL12" s="122">
        <v>10.034271135715183</v>
      </c>
      <c r="CM12" s="122">
        <v>317154.13176501001</v>
      </c>
      <c r="CN12" s="122">
        <v>9.9326029617761495</v>
      </c>
      <c r="CO12" s="122">
        <v>327120.69268735591</v>
      </c>
      <c r="CP12" s="122">
        <v>9.9658573832071848</v>
      </c>
      <c r="CQ12" s="122">
        <v>338156.19139142393</v>
      </c>
      <c r="CR12" s="122">
        <v>9.8253213603000962</v>
      </c>
      <c r="CS12" s="122">
        <v>323415.72743375588</v>
      </c>
      <c r="CT12" s="122">
        <v>9.6176794847008296</v>
      </c>
      <c r="CU12" s="122">
        <v>597863.03081146942</v>
      </c>
      <c r="CV12" s="122">
        <v>9.5921262282009874</v>
      </c>
      <c r="CW12" s="122">
        <v>591160.82551896805</v>
      </c>
      <c r="CX12" s="122">
        <v>9.6739227673308932</v>
      </c>
      <c r="CY12" s="122">
        <v>594532.03370650788</v>
      </c>
      <c r="CZ12" s="122">
        <v>9.6604312644458457</v>
      </c>
      <c r="DA12" s="122">
        <v>591345.47782888857</v>
      </c>
      <c r="DB12" s="122">
        <v>9.3003380877168258</v>
      </c>
      <c r="DC12" s="122">
        <v>559552.84204529668</v>
      </c>
      <c r="DD12" s="122">
        <v>9.2179519585387002</v>
      </c>
      <c r="DE12" s="122">
        <v>577426.06725024909</v>
      </c>
      <c r="DF12" s="122">
        <v>9.0263182237474577</v>
      </c>
      <c r="DG12" s="122">
        <v>591804.56068163912</v>
      </c>
      <c r="DH12" s="122">
        <v>8.7794547820143602</v>
      </c>
      <c r="DI12" s="122">
        <v>644983.76414210943</v>
      </c>
      <c r="DJ12" s="122">
        <v>8.673241991961163</v>
      </c>
      <c r="DK12" s="122">
        <v>647097.6337695996</v>
      </c>
      <c r="DL12" s="122">
        <v>8.513392896607284</v>
      </c>
      <c r="DM12" s="122">
        <v>619700.46247867902</v>
      </c>
      <c r="DN12" s="122">
        <v>8.38533255283666</v>
      </c>
      <c r="DO12" s="122">
        <v>652965.05056172935</v>
      </c>
      <c r="DP12" s="122">
        <v>8.087080567836491</v>
      </c>
      <c r="DQ12" s="122">
        <v>695564.58241956925</v>
      </c>
      <c r="DR12" s="122">
        <v>7.9103327773600585</v>
      </c>
      <c r="DS12" s="122">
        <v>655040.28878451022</v>
      </c>
      <c r="DT12" s="122">
        <v>7.7604324320004725</v>
      </c>
      <c r="DU12" s="122">
        <v>630477.25366882328</v>
      </c>
      <c r="DV12" s="122">
        <v>7.5865203835061159</v>
      </c>
      <c r="DW12" s="122">
        <v>652763.72886147117</v>
      </c>
      <c r="DX12" s="122">
        <v>7.5022982282524833</v>
      </c>
      <c r="DY12" s="122">
        <v>668433.91195057461</v>
      </c>
      <c r="DZ12" s="122">
        <v>7.5331969661431044</v>
      </c>
      <c r="EA12" s="122">
        <v>605496.17639614502</v>
      </c>
      <c r="EB12" s="122">
        <v>7.5423549541510821</v>
      </c>
      <c r="EC12" s="122">
        <v>618713.68972073228</v>
      </c>
      <c r="ED12" s="122">
        <v>7.6115753297181357</v>
      </c>
      <c r="EE12" s="122">
        <v>603109.39114770328</v>
      </c>
      <c r="EF12" s="122">
        <v>7.6938037023460852</v>
      </c>
      <c r="EG12" s="122">
        <v>604045.32688076433</v>
      </c>
      <c r="EH12" s="122">
        <v>7.7723327329126297</v>
      </c>
      <c r="EI12" s="122">
        <v>594856.53249813605</v>
      </c>
      <c r="EJ12" s="122">
        <v>7.8174299683221538</v>
      </c>
      <c r="EK12" s="122">
        <v>653270.1439773601</v>
      </c>
      <c r="EL12" s="122">
        <v>8.0339055267134167</v>
      </c>
      <c r="EM12" s="122">
        <v>630373.12875739997</v>
      </c>
      <c r="EN12" s="122">
        <v>8.2972026208831409</v>
      </c>
      <c r="EO12" s="122">
        <v>658239.90298324008</v>
      </c>
      <c r="EP12" s="122">
        <v>8.6227537790636788</v>
      </c>
      <c r="EQ12" s="122">
        <v>620107.41896758997</v>
      </c>
      <c r="ER12" s="122">
        <v>8.7702968572198223</v>
      </c>
      <c r="ES12" s="122">
        <v>539225.90178501001</v>
      </c>
      <c r="ET12" s="122">
        <v>9.1164316935023102</v>
      </c>
      <c r="EU12" s="122">
        <v>630102.72179538012</v>
      </c>
      <c r="EV12" s="122">
        <v>9.3240452391156197</v>
      </c>
      <c r="EW12" s="122">
        <v>598882.74758277985</v>
      </c>
      <c r="EX12" s="122">
        <v>9.4936868836064328</v>
      </c>
      <c r="EY12" s="122">
        <v>562342.14572365</v>
      </c>
      <c r="EZ12" s="122">
        <v>9.6545536142619159</v>
      </c>
      <c r="FA12" s="122">
        <v>560494.26741435006</v>
      </c>
      <c r="FB12" s="122">
        <v>9.7689395746631273</v>
      </c>
      <c r="FC12" s="122">
        <v>563111.49620837008</v>
      </c>
      <c r="FD12" s="122">
        <v>9.9355522085820454</v>
      </c>
      <c r="FE12" s="122">
        <v>532375.58896449034</v>
      </c>
      <c r="FF12" s="122">
        <v>10.030823470425307</v>
      </c>
      <c r="FG12" s="122">
        <v>542931.55545362993</v>
      </c>
      <c r="FH12" s="122">
        <v>10.286714493947354</v>
      </c>
      <c r="FI12" s="122">
        <v>573635.30457708018</v>
      </c>
      <c r="FJ12" s="122">
        <v>10.511754324630878</v>
      </c>
      <c r="FK12" s="122">
        <v>581213.99170665001</v>
      </c>
      <c r="FL12" s="122">
        <v>10.688804042143019</v>
      </c>
      <c r="FM12" s="122">
        <v>587223.32647102</v>
      </c>
      <c r="FN12" s="122">
        <v>10.857154605209145</v>
      </c>
      <c r="FO12" s="122">
        <v>448861.72931496939</v>
      </c>
      <c r="FP12" s="122">
        <v>10.942875510744525</v>
      </c>
      <c r="FQ12" s="122">
        <v>519385.52317468973</v>
      </c>
      <c r="FR12" s="122">
        <v>10.897110054309687</v>
      </c>
      <c r="FS12" s="122">
        <v>547608.71549552341</v>
      </c>
      <c r="FT12" s="122">
        <v>10.814064593645268</v>
      </c>
      <c r="FU12" s="122">
        <v>444756.95780646114</v>
      </c>
      <c r="FV12" s="122">
        <v>10.733227778524817</v>
      </c>
      <c r="FW12" s="122">
        <v>461409.90149761026</v>
      </c>
      <c r="FX12" s="122">
        <v>10.44565614173197</v>
      </c>
      <c r="FY12" s="122">
        <v>490763.95321819035</v>
      </c>
      <c r="FZ12" s="122">
        <v>10.254732492134856</v>
      </c>
      <c r="GA12" s="122">
        <v>576221.43961171014</v>
      </c>
      <c r="GB12" s="122">
        <v>10.165184303829296</v>
      </c>
      <c r="GC12" s="122">
        <v>622777.84138227976</v>
      </c>
      <c r="GD12" s="122">
        <v>10.17037603518729</v>
      </c>
      <c r="GE12" s="122">
        <v>614800.74482805817</v>
      </c>
      <c r="GF12" s="122">
        <v>10.237410071902474</v>
      </c>
      <c r="GG12" s="122">
        <v>674156.31117033819</v>
      </c>
      <c r="GH12" s="122">
        <v>10.141100147773553</v>
      </c>
      <c r="GI12" s="122">
        <v>733056.56265966746</v>
      </c>
      <c r="GJ12" s="122">
        <v>9.8380456020849003</v>
      </c>
      <c r="GK12" s="122">
        <v>799785.41753042</v>
      </c>
      <c r="GL12" s="122">
        <v>9.6919726238772963</v>
      </c>
      <c r="GM12" s="122">
        <v>796487.89956961665</v>
      </c>
      <c r="GN12" s="122">
        <v>9.5957532475075826</v>
      </c>
      <c r="GO12" s="122">
        <v>887188.33730134054</v>
      </c>
      <c r="GP12" s="122">
        <v>9.446743262178428</v>
      </c>
      <c r="GQ12" s="122">
        <v>889380.07897155965</v>
      </c>
      <c r="GR12" s="122">
        <v>9.1185445219738881</v>
      </c>
      <c r="GS12" s="122">
        <v>794248.7090082817</v>
      </c>
      <c r="GT12" s="122">
        <v>9.0298254054956821</v>
      </c>
      <c r="GU12" s="122">
        <v>810777.47632787237</v>
      </c>
      <c r="GV12" s="122">
        <v>8.9514181231112406</v>
      </c>
      <c r="GW12" s="122">
        <v>784351.03922527528</v>
      </c>
      <c r="GX12" s="122">
        <v>8.7338427367253892</v>
      </c>
      <c r="GY12" s="122">
        <v>717764.21560428082</v>
      </c>
      <c r="GZ12" s="122">
        <v>8.4680719717805015</v>
      </c>
      <c r="HA12" s="122">
        <v>734351.07622677495</v>
      </c>
      <c r="HB12" s="122">
        <v>8.3254994827470625</v>
      </c>
      <c r="HC12" s="122">
        <v>712822.09753806982</v>
      </c>
      <c r="HD12" s="122">
        <v>7.955089404334033</v>
      </c>
      <c r="HE12" s="122">
        <v>638976.23305599135</v>
      </c>
      <c r="HF12" s="122">
        <v>7.4256921562805438</v>
      </c>
      <c r="HG12" s="122">
        <v>600736.9101079359</v>
      </c>
      <c r="HH12" s="122">
        <v>6.8751386694287975</v>
      </c>
      <c r="HI12" s="122">
        <v>547423.12252313551</v>
      </c>
      <c r="HJ12" s="122">
        <v>6.4020225791991319</v>
      </c>
      <c r="HK12" s="122">
        <v>536354.58861362247</v>
      </c>
      <c r="HL12" s="122">
        <v>6.0854666555970329</v>
      </c>
      <c r="HM12" s="122">
        <v>519127.03750591027</v>
      </c>
      <c r="HN12" s="122">
        <v>5.9189803124813878</v>
      </c>
      <c r="HO12" s="122">
        <v>502718.58959610388</v>
      </c>
      <c r="HP12" s="122">
        <v>5.7830417758813466</v>
      </c>
      <c r="HQ12" s="122">
        <v>506515.94716139807</v>
      </c>
      <c r="HR12" s="122">
        <v>5.6754603829089936</v>
      </c>
      <c r="HS12" s="122">
        <v>518218.68899806147</v>
      </c>
      <c r="HT12" s="122">
        <v>5.6441091908608705</v>
      </c>
      <c r="HU12" s="122">
        <v>506795.00486282026</v>
      </c>
      <c r="HV12" s="122">
        <v>5.2168324728097044</v>
      </c>
      <c r="HW12" s="122">
        <v>574912.04533999215</v>
      </c>
      <c r="HX12" s="122">
        <v>5.0650943938436654</v>
      </c>
      <c r="HY12" s="122">
        <v>583036.30842739169</v>
      </c>
    </row>
    <row r="13" spans="1:233" x14ac:dyDescent="0.55000000000000004">
      <c r="B13" s="325">
        <v>2.6</v>
      </c>
      <c r="C13" s="28" t="s">
        <v>663</v>
      </c>
      <c r="D13" s="122">
        <v>9.2839067510213162</v>
      </c>
      <c r="E13" s="122">
        <v>21311.541216266851</v>
      </c>
      <c r="F13" s="122">
        <v>7.7457930764092415</v>
      </c>
      <c r="G13" s="122">
        <v>24904.756861227856</v>
      </c>
      <c r="H13" s="122">
        <v>7.8363505697673457</v>
      </c>
      <c r="I13" s="122">
        <v>27680.536282585996</v>
      </c>
      <c r="J13" s="122">
        <v>6.9017994906478046</v>
      </c>
      <c r="K13" s="122">
        <v>23664.671903278002</v>
      </c>
      <c r="L13" s="122">
        <v>8.7080268133620837</v>
      </c>
      <c r="M13" s="122">
        <v>58500.668064609512</v>
      </c>
      <c r="N13" s="122">
        <v>9.8534889979551252</v>
      </c>
      <c r="O13" s="122">
        <v>103210.49018012303</v>
      </c>
      <c r="P13" s="122">
        <v>6.8776917550654613</v>
      </c>
      <c r="Q13" s="122">
        <v>27538.261946586004</v>
      </c>
      <c r="R13" s="122">
        <v>6.8599756520068169</v>
      </c>
      <c r="S13" s="122">
        <v>23747.389571265001</v>
      </c>
      <c r="T13" s="122">
        <v>6.3719512431073264</v>
      </c>
      <c r="U13" s="122">
        <v>24117.969580352019</v>
      </c>
      <c r="V13" s="122">
        <v>6.4907061642935178</v>
      </c>
      <c r="W13" s="122">
        <v>26966.95993096002</v>
      </c>
      <c r="X13" s="122">
        <v>6.9156346923751597</v>
      </c>
      <c r="Y13" s="122">
        <v>29797.160918981976</v>
      </c>
      <c r="Z13" s="122">
        <v>6.8834038882108857</v>
      </c>
      <c r="AA13" s="122">
        <v>39461.685825273998</v>
      </c>
      <c r="AB13" s="122">
        <v>7.8798502377867381</v>
      </c>
      <c r="AC13" s="122">
        <v>37449.697474739012</v>
      </c>
      <c r="AD13" s="122">
        <v>7.9497598378560372</v>
      </c>
      <c r="AE13" s="122">
        <v>52815.516534572496</v>
      </c>
      <c r="AF13" s="122">
        <v>8.5032549393721268</v>
      </c>
      <c r="AG13" s="122">
        <v>50113.68067676702</v>
      </c>
      <c r="AH13" s="122">
        <v>8.3379300264607306</v>
      </c>
      <c r="AI13" s="122">
        <v>46323.588200036502</v>
      </c>
      <c r="AJ13" s="122">
        <v>8.9744374885832965</v>
      </c>
      <c r="AK13" s="122">
        <v>55147.258902234404</v>
      </c>
      <c r="AL13" s="122">
        <v>8.7080268133620837</v>
      </c>
      <c r="AM13" s="122">
        <v>58500.668064609512</v>
      </c>
      <c r="AN13" s="122">
        <v>9.0857152288766514</v>
      </c>
      <c r="AO13" s="122">
        <v>58218.347572219383</v>
      </c>
      <c r="AP13" s="122">
        <v>8.8570631703994085</v>
      </c>
      <c r="AQ13" s="122">
        <v>61616.095669144612</v>
      </c>
      <c r="AR13" s="122">
        <v>9.1242399923591311</v>
      </c>
      <c r="AS13" s="122">
        <v>71421.853934570012</v>
      </c>
      <c r="AT13" s="122">
        <v>8.9948251094173362</v>
      </c>
      <c r="AU13" s="122">
        <v>69009.772480348009</v>
      </c>
      <c r="AV13" s="122">
        <v>9.0488038738090424</v>
      </c>
      <c r="AW13" s="122">
        <v>72215.568852458193</v>
      </c>
      <c r="AX13" s="122">
        <v>8.9576965592662319</v>
      </c>
      <c r="AY13" s="122">
        <v>80803.565821822456</v>
      </c>
      <c r="AZ13" s="122">
        <v>9.0561948908134866</v>
      </c>
      <c r="BA13" s="122">
        <v>84870.40170986249</v>
      </c>
      <c r="BB13" s="122">
        <v>9.2422039498218815</v>
      </c>
      <c r="BC13" s="122">
        <v>87436.733255617495</v>
      </c>
      <c r="BD13" s="122">
        <v>9.5059249942849213</v>
      </c>
      <c r="BE13" s="122">
        <v>93835.341269794968</v>
      </c>
      <c r="BF13" s="122">
        <v>9.7081417700465593</v>
      </c>
      <c r="BG13" s="122">
        <v>102901.40106058001</v>
      </c>
      <c r="BH13" s="122">
        <v>9.7531098535229503</v>
      </c>
      <c r="BI13" s="122">
        <v>105977.46524865502</v>
      </c>
      <c r="BJ13" s="122">
        <v>9.8534889979551252</v>
      </c>
      <c r="BK13" s="122">
        <v>103210.49018012303</v>
      </c>
      <c r="BL13" s="122">
        <v>9.9217633963693714</v>
      </c>
      <c r="BM13" s="122">
        <v>105907.89888627367</v>
      </c>
      <c r="BN13" s="122">
        <v>10.015293416274638</v>
      </c>
      <c r="BO13" s="122">
        <v>113485.04065351833</v>
      </c>
      <c r="BP13" s="122">
        <v>10.017571656071086</v>
      </c>
      <c r="BQ13" s="122">
        <v>117056.85341562453</v>
      </c>
      <c r="BR13" s="122">
        <v>9.9445153715982109</v>
      </c>
      <c r="BS13" s="122">
        <v>125644.39152616962</v>
      </c>
      <c r="BT13" s="122">
        <v>10.2545827676571</v>
      </c>
      <c r="BU13" s="122">
        <v>151038.92410858319</v>
      </c>
      <c r="BV13" s="122">
        <v>10.25337291812256</v>
      </c>
      <c r="BW13" s="122">
        <v>157511.95830160822</v>
      </c>
      <c r="BX13" s="122">
        <v>10.333469569530306</v>
      </c>
      <c r="BY13" s="122">
        <v>161688.49512470802</v>
      </c>
      <c r="BZ13" s="122">
        <v>10.358086363336378</v>
      </c>
      <c r="CA13" s="122">
        <v>162368.15878875006</v>
      </c>
      <c r="CB13" s="122">
        <v>10.34094652783298</v>
      </c>
      <c r="CC13" s="122">
        <v>157775.83509469006</v>
      </c>
      <c r="CD13" s="122">
        <v>10.319353939978644</v>
      </c>
      <c r="CE13" s="122">
        <v>162362.79291612929</v>
      </c>
      <c r="CF13" s="122">
        <v>10.377672928467961</v>
      </c>
      <c r="CG13" s="122">
        <v>162633.76137753358</v>
      </c>
      <c r="CH13" s="122">
        <v>10.306945015473277</v>
      </c>
      <c r="CI13" s="122">
        <v>166849.8407809645</v>
      </c>
      <c r="CJ13" s="122">
        <v>10.288136099687197</v>
      </c>
      <c r="CK13" s="122">
        <v>174417.45047462999</v>
      </c>
      <c r="CL13" s="122">
        <v>10.406277766738048</v>
      </c>
      <c r="CM13" s="122">
        <v>165190.45165335003</v>
      </c>
      <c r="CN13" s="122">
        <v>10.326746532268244</v>
      </c>
      <c r="CO13" s="122">
        <v>171540.05385471633</v>
      </c>
      <c r="CP13" s="122">
        <v>10.355123643765701</v>
      </c>
      <c r="CQ13" s="122">
        <v>172094.86277112816</v>
      </c>
      <c r="CR13" s="122">
        <v>10.404642806253694</v>
      </c>
      <c r="CS13" s="122">
        <v>169153.40577124679</v>
      </c>
      <c r="CT13" s="122">
        <v>10.283111413691111</v>
      </c>
      <c r="CU13" s="122">
        <v>227860.17716368873</v>
      </c>
      <c r="CV13" s="122">
        <v>10.204222319821948</v>
      </c>
      <c r="CW13" s="122">
        <v>237387.68452451756</v>
      </c>
      <c r="CX13" s="122">
        <v>10.296443406945919</v>
      </c>
      <c r="CY13" s="122">
        <v>239165.81810612272</v>
      </c>
      <c r="CZ13" s="122">
        <v>10.30607029523595</v>
      </c>
      <c r="DA13" s="122">
        <v>236714.17914193269</v>
      </c>
      <c r="DB13" s="122">
        <v>9.9611863871608222</v>
      </c>
      <c r="DC13" s="122">
        <v>262230.68113133992</v>
      </c>
      <c r="DD13" s="122">
        <v>9.9904227554344907</v>
      </c>
      <c r="DE13" s="122">
        <v>259123.02709791998</v>
      </c>
      <c r="DF13" s="122">
        <v>10.024329835237133</v>
      </c>
      <c r="DG13" s="122">
        <v>252125.52061339252</v>
      </c>
      <c r="DH13" s="122">
        <v>10.023077390492148</v>
      </c>
      <c r="DI13" s="122">
        <v>253552.11071496006</v>
      </c>
      <c r="DJ13" s="122">
        <v>10.159173651030546</v>
      </c>
      <c r="DK13" s="122">
        <v>253931.6315410501</v>
      </c>
      <c r="DL13" s="122">
        <v>10.158528385404045</v>
      </c>
      <c r="DM13" s="122">
        <v>251093.79791317994</v>
      </c>
      <c r="DN13" s="122">
        <v>9.9910324586454173</v>
      </c>
      <c r="DO13" s="122">
        <v>259560.71863662993</v>
      </c>
      <c r="DP13" s="122">
        <v>9.9398987620111718</v>
      </c>
      <c r="DQ13" s="122">
        <v>272580.35283189989</v>
      </c>
      <c r="DR13" s="122">
        <v>9.8575877300490795</v>
      </c>
      <c r="DS13" s="122">
        <v>259401.45637067987</v>
      </c>
      <c r="DT13" s="122">
        <v>9.7794953020519308</v>
      </c>
      <c r="DU13" s="122">
        <v>251817.87467831094</v>
      </c>
      <c r="DV13" s="122">
        <v>9.9104827651407064</v>
      </c>
      <c r="DW13" s="122">
        <v>253963.59209451688</v>
      </c>
      <c r="DX13" s="122">
        <v>9.8576235455803634</v>
      </c>
      <c r="DY13" s="122">
        <v>250737.70224641578</v>
      </c>
      <c r="DZ13" s="122">
        <v>9.8319152669909542</v>
      </c>
      <c r="EA13" s="122">
        <v>247891.91495074006</v>
      </c>
      <c r="EB13" s="122">
        <v>9.7885684218534585</v>
      </c>
      <c r="EC13" s="122">
        <v>250192.90685015137</v>
      </c>
      <c r="ED13" s="122">
        <v>9.785958706409513</v>
      </c>
      <c r="EE13" s="122">
        <v>255287.03080086035</v>
      </c>
      <c r="EF13" s="122">
        <v>9.7088750587756749</v>
      </c>
      <c r="EG13" s="122">
        <v>229995.93198172143</v>
      </c>
      <c r="EH13" s="122">
        <v>9.8326498979956707</v>
      </c>
      <c r="EI13" s="122">
        <v>240735.40635573512</v>
      </c>
      <c r="EJ13" s="122">
        <v>9.5931609790814374</v>
      </c>
      <c r="EK13" s="122">
        <v>251936.16431584008</v>
      </c>
      <c r="EL13" s="122">
        <v>9.8576691761539834</v>
      </c>
      <c r="EM13" s="122">
        <v>257029.8463957886</v>
      </c>
      <c r="EN13" s="122">
        <v>9.9066335482248711</v>
      </c>
      <c r="EO13" s="122">
        <v>260414.69653330027</v>
      </c>
      <c r="EP13" s="122">
        <v>9.9986636951154093</v>
      </c>
      <c r="EQ13" s="122">
        <v>248258.39830085001</v>
      </c>
      <c r="ER13" s="122">
        <v>9.8897871508298447</v>
      </c>
      <c r="ES13" s="122">
        <v>257847.16318194012</v>
      </c>
      <c r="ET13" s="122">
        <v>10.111256740143929</v>
      </c>
      <c r="EU13" s="122">
        <v>288747.79204977019</v>
      </c>
      <c r="EV13" s="122">
        <v>10.018527382513826</v>
      </c>
      <c r="EW13" s="122">
        <v>339847.58513399999</v>
      </c>
      <c r="EX13" s="122">
        <v>10.079543022444028</v>
      </c>
      <c r="EY13" s="122">
        <v>353239.5398243689</v>
      </c>
      <c r="EZ13" s="122">
        <v>10.150424420755597</v>
      </c>
      <c r="FA13" s="122">
        <v>374460.93380181794</v>
      </c>
      <c r="FB13" s="122">
        <v>10.197071194652176</v>
      </c>
      <c r="FC13" s="122">
        <v>418394.97087043943</v>
      </c>
      <c r="FD13" s="122">
        <v>10.275004519480341</v>
      </c>
      <c r="FE13" s="122">
        <v>448320.85774111905</v>
      </c>
      <c r="FF13" s="122">
        <v>10.371483553804204</v>
      </c>
      <c r="FG13" s="122">
        <v>445270.44785216625</v>
      </c>
      <c r="FH13" s="122">
        <v>10.439126677153432</v>
      </c>
      <c r="FI13" s="122">
        <v>573528.65386084979</v>
      </c>
      <c r="FJ13" s="122">
        <v>10.573861135188089</v>
      </c>
      <c r="FK13" s="122">
        <v>500770.01005163026</v>
      </c>
      <c r="FL13" s="122">
        <v>10.702854405726349</v>
      </c>
      <c r="FM13" s="122">
        <v>588583.11948471249</v>
      </c>
      <c r="FN13" s="122">
        <v>10.800341410852448</v>
      </c>
      <c r="FO13" s="122">
        <v>549773.58430694882</v>
      </c>
      <c r="FP13" s="122">
        <v>10.89199509531373</v>
      </c>
      <c r="FQ13" s="122">
        <v>702273.86737812043</v>
      </c>
      <c r="FR13" s="122">
        <v>10.802439632367339</v>
      </c>
      <c r="FS13" s="122">
        <v>623402.67908261449</v>
      </c>
      <c r="FT13" s="122">
        <v>10.776553187268066</v>
      </c>
      <c r="FU13" s="122">
        <v>677573.44451198063</v>
      </c>
      <c r="FV13" s="122">
        <v>10.709148329677365</v>
      </c>
      <c r="FW13" s="122">
        <v>691823.51585710596</v>
      </c>
      <c r="FX13" s="122">
        <v>10.312199560034959</v>
      </c>
      <c r="FY13" s="122">
        <v>708447.26195124863</v>
      </c>
      <c r="FZ13" s="122">
        <v>10.28148636313397</v>
      </c>
      <c r="GA13" s="122">
        <v>754297.74723318394</v>
      </c>
      <c r="GB13" s="122">
        <v>10.195863654966592</v>
      </c>
      <c r="GC13" s="122">
        <v>791403.65543347271</v>
      </c>
      <c r="GD13" s="122">
        <v>10.205162076182527</v>
      </c>
      <c r="GE13" s="122">
        <v>824588.52837368369</v>
      </c>
      <c r="GF13" s="122">
        <v>10.525669008516376</v>
      </c>
      <c r="GG13" s="122">
        <v>817544.44441395265</v>
      </c>
      <c r="GH13" s="122">
        <v>10.580233229367257</v>
      </c>
      <c r="GI13" s="122">
        <v>839935.71912436164</v>
      </c>
      <c r="GJ13" s="122">
        <v>10.175294707079244</v>
      </c>
      <c r="GK13" s="122">
        <v>832274.80922769301</v>
      </c>
      <c r="GL13" s="122">
        <v>10.109305633974117</v>
      </c>
      <c r="GM13" s="122">
        <v>818185.74950528902</v>
      </c>
      <c r="GN13" s="122">
        <v>10.465782786762125</v>
      </c>
      <c r="GO13" s="122">
        <v>839119.39211633138</v>
      </c>
      <c r="GP13" s="122">
        <v>10.216896339374204</v>
      </c>
      <c r="GQ13" s="122">
        <v>810927.58684603451</v>
      </c>
      <c r="GR13" s="122">
        <v>9.9081900809364853</v>
      </c>
      <c r="GS13" s="122">
        <v>790717.95388388331</v>
      </c>
      <c r="GT13" s="122">
        <v>10.155500760711018</v>
      </c>
      <c r="GU13" s="122">
        <v>826596.2174711104</v>
      </c>
      <c r="GV13" s="122">
        <v>10.372315202298374</v>
      </c>
      <c r="GW13" s="122">
        <v>781652.2700396413</v>
      </c>
      <c r="GX13" s="122">
        <v>10.295843985609084</v>
      </c>
      <c r="GY13" s="122">
        <v>798190.71744187968</v>
      </c>
      <c r="GZ13" s="122">
        <v>9.9801892336551941</v>
      </c>
      <c r="HA13" s="122">
        <v>886488.58154904703</v>
      </c>
      <c r="HB13" s="122">
        <v>10.331871777130374</v>
      </c>
      <c r="HC13" s="122">
        <v>818198.50606903585</v>
      </c>
      <c r="HD13" s="122">
        <v>10.250511384257644</v>
      </c>
      <c r="HE13" s="122">
        <v>801053.0013638424</v>
      </c>
      <c r="HF13" s="122">
        <v>10.109083704618479</v>
      </c>
      <c r="HG13" s="122">
        <v>787477.59093004034</v>
      </c>
      <c r="HH13" s="122">
        <v>10.053784104919883</v>
      </c>
      <c r="HI13" s="122">
        <v>773474.09586345323</v>
      </c>
      <c r="HJ13" s="122">
        <v>9.9008163992962004</v>
      </c>
      <c r="HK13" s="122">
        <v>773901.24052993942</v>
      </c>
      <c r="HL13" s="122">
        <v>9.8247013159561316</v>
      </c>
      <c r="HM13" s="122">
        <v>775161.82355690515</v>
      </c>
      <c r="HN13" s="122">
        <v>9.7326129064405507</v>
      </c>
      <c r="HO13" s="122">
        <v>788621.85421552323</v>
      </c>
      <c r="HP13" s="122">
        <v>9.722007662389208</v>
      </c>
      <c r="HQ13" s="122">
        <v>776043.75292702415</v>
      </c>
      <c r="HR13" s="122">
        <v>9.5737675957274533</v>
      </c>
      <c r="HS13" s="122">
        <v>771831.44156722305</v>
      </c>
      <c r="HT13" s="122">
        <v>9.6589244889748613</v>
      </c>
      <c r="HU13" s="122">
        <v>743487.28262696939</v>
      </c>
      <c r="HV13" s="122">
        <v>9.4306351551194734</v>
      </c>
      <c r="HW13" s="122">
        <v>782529.70616081043</v>
      </c>
      <c r="HX13" s="122">
        <v>8.4942825991834443</v>
      </c>
      <c r="HY13" s="122">
        <v>776145.13219977648</v>
      </c>
    </row>
    <row r="14" spans="1:233" x14ac:dyDescent="0.55000000000000004">
      <c r="B14" s="325">
        <v>3</v>
      </c>
      <c r="C14" s="28" t="s">
        <v>664</v>
      </c>
      <c r="D14" s="122">
        <v>5.8457161037219807</v>
      </c>
      <c r="E14" s="122">
        <v>170810.14075586485</v>
      </c>
      <c r="F14" s="122">
        <v>4.236127936247323</v>
      </c>
      <c r="G14" s="122">
        <v>213449.60297091957</v>
      </c>
      <c r="H14" s="122">
        <v>4.5706231641354229</v>
      </c>
      <c r="I14" s="122">
        <v>266675.99844626017</v>
      </c>
      <c r="J14" s="122">
        <v>3.814727715692265</v>
      </c>
      <c r="K14" s="122">
        <v>279169.39686830196</v>
      </c>
      <c r="L14" s="122">
        <v>4.1350927709899494</v>
      </c>
      <c r="M14" s="122">
        <v>266107.50304657541</v>
      </c>
      <c r="N14" s="122">
        <v>4.6687433421084013</v>
      </c>
      <c r="O14" s="122">
        <v>293082.26481490821</v>
      </c>
      <c r="P14" s="122">
        <v>3.948281486614635</v>
      </c>
      <c r="Q14" s="122">
        <v>291844.54878532898</v>
      </c>
      <c r="R14" s="122">
        <v>3.7862375122081193</v>
      </c>
      <c r="S14" s="122">
        <v>307838.33835987054</v>
      </c>
      <c r="T14" s="122">
        <v>4.1639259824873065</v>
      </c>
      <c r="U14" s="122">
        <v>307134.49480877013</v>
      </c>
      <c r="V14" s="122">
        <v>4.3784836922314794</v>
      </c>
      <c r="W14" s="122">
        <v>291629.07199601032</v>
      </c>
      <c r="X14" s="122">
        <v>4.8125284537132487</v>
      </c>
      <c r="Y14" s="122">
        <v>294157.81400002108</v>
      </c>
      <c r="Z14" s="122">
        <v>5.5478602464263371</v>
      </c>
      <c r="AA14" s="122">
        <v>306544.559555566</v>
      </c>
      <c r="AB14" s="122">
        <v>7.2381536854869273</v>
      </c>
      <c r="AC14" s="122">
        <v>328447.19654761604</v>
      </c>
      <c r="AD14" s="122">
        <v>7.2828117251208999</v>
      </c>
      <c r="AE14" s="122">
        <v>305530.13469299709</v>
      </c>
      <c r="AF14" s="122">
        <v>4.5027719734600682</v>
      </c>
      <c r="AG14" s="122">
        <v>269886.15400514234</v>
      </c>
      <c r="AH14" s="122">
        <v>3.9184303175281494</v>
      </c>
      <c r="AI14" s="122">
        <v>253426.90412657603</v>
      </c>
      <c r="AJ14" s="122">
        <v>4.0091877766215269</v>
      </c>
      <c r="AK14" s="122">
        <v>253914.87406140144</v>
      </c>
      <c r="AL14" s="122">
        <v>4.1350927709899494</v>
      </c>
      <c r="AM14" s="122">
        <v>266107.50304657541</v>
      </c>
      <c r="AN14" s="122">
        <v>3.8786364752936748</v>
      </c>
      <c r="AO14" s="122">
        <v>281827.55165934924</v>
      </c>
      <c r="AP14" s="122">
        <v>3.4223686772274018</v>
      </c>
      <c r="AQ14" s="122">
        <v>262539.32255743345</v>
      </c>
      <c r="AR14" s="122">
        <v>3.7672054151902348</v>
      </c>
      <c r="AS14" s="122">
        <v>269813.84203390568</v>
      </c>
      <c r="AT14" s="122">
        <v>3.8854077854229456</v>
      </c>
      <c r="AU14" s="122">
        <v>275414.31819925556</v>
      </c>
      <c r="AV14" s="122">
        <v>3.9208969811018335</v>
      </c>
      <c r="AW14" s="122">
        <v>278783.16076682514</v>
      </c>
      <c r="AX14" s="122">
        <v>4.1079225540899218</v>
      </c>
      <c r="AY14" s="122">
        <v>268559.61038772389</v>
      </c>
      <c r="AZ14" s="122">
        <v>4.2890981783044264</v>
      </c>
      <c r="BA14" s="122">
        <v>249819.69149778792</v>
      </c>
      <c r="BB14" s="122">
        <v>4.4839806181591788</v>
      </c>
      <c r="BC14" s="122">
        <v>245491.89861063001</v>
      </c>
      <c r="BD14" s="122">
        <v>4.7141416852501177</v>
      </c>
      <c r="BE14" s="122">
        <v>244763.41463615766</v>
      </c>
      <c r="BF14" s="122">
        <v>4.6531208700673314</v>
      </c>
      <c r="BG14" s="122">
        <v>259062.95047998268</v>
      </c>
      <c r="BH14" s="122">
        <v>4.4851712080206099</v>
      </c>
      <c r="BI14" s="122">
        <v>268367.37300187757</v>
      </c>
      <c r="BJ14" s="122">
        <v>4.6687433421084013</v>
      </c>
      <c r="BK14" s="122">
        <v>293082.26481490821</v>
      </c>
      <c r="BL14" s="122">
        <v>4.2194607849783834</v>
      </c>
      <c r="BM14" s="122">
        <v>292097.35790914344</v>
      </c>
      <c r="BN14" s="122">
        <v>3.6319136002194647</v>
      </c>
      <c r="BO14" s="122">
        <v>307298.25211115199</v>
      </c>
      <c r="BP14" s="122">
        <v>4.0061694441991804</v>
      </c>
      <c r="BQ14" s="122">
        <v>281677.87981075188</v>
      </c>
      <c r="BR14" s="122">
        <v>3.8346333288492636</v>
      </c>
      <c r="BS14" s="122">
        <v>292645.93534745555</v>
      </c>
      <c r="BT14" s="122">
        <v>3.996455932661052</v>
      </c>
      <c r="BU14" s="122">
        <v>262462.29908572952</v>
      </c>
      <c r="BV14" s="122">
        <v>3.9847871906180847</v>
      </c>
      <c r="BW14" s="122">
        <v>266236.26655562932</v>
      </c>
      <c r="BX14" s="122">
        <v>3.8879037669297327</v>
      </c>
      <c r="BY14" s="122">
        <v>260222.46891200441</v>
      </c>
      <c r="BZ14" s="122">
        <v>4.0677787385392508</v>
      </c>
      <c r="CA14" s="122">
        <v>268697.80551682808</v>
      </c>
      <c r="CB14" s="122">
        <v>4.12743101002531</v>
      </c>
      <c r="CC14" s="122">
        <v>270319.10121486458</v>
      </c>
      <c r="CD14" s="122">
        <v>4.1151075014234531</v>
      </c>
      <c r="CE14" s="122">
        <v>271514.84058938536</v>
      </c>
      <c r="CF14" s="122">
        <v>4.2613622585618751</v>
      </c>
      <c r="CG14" s="122">
        <v>278191.08323855547</v>
      </c>
      <c r="CH14" s="122">
        <v>4.4032478001181063</v>
      </c>
      <c r="CI14" s="122">
        <v>313333.09510733525</v>
      </c>
      <c r="CJ14" s="122">
        <v>4.280674695367523</v>
      </c>
      <c r="CK14" s="122">
        <v>315143.34820358281</v>
      </c>
      <c r="CL14" s="122">
        <v>4.2250937632206957</v>
      </c>
      <c r="CM14" s="122">
        <v>309368.32690007472</v>
      </c>
      <c r="CN14" s="122">
        <v>4.3889472719411122</v>
      </c>
      <c r="CO14" s="122">
        <v>307569.90793755197</v>
      </c>
      <c r="CP14" s="122">
        <v>4.3400284134201002</v>
      </c>
      <c r="CQ14" s="122">
        <v>317770.22474535834</v>
      </c>
      <c r="CR14" s="122">
        <v>4.1580843169808848</v>
      </c>
      <c r="CS14" s="122">
        <v>310193.54076372908</v>
      </c>
      <c r="CT14" s="122">
        <v>4.1891774017490331</v>
      </c>
      <c r="CU14" s="122">
        <v>301796.34119805519</v>
      </c>
      <c r="CV14" s="122">
        <v>4.1395397232722564</v>
      </c>
      <c r="CW14" s="122">
        <v>297655.14213380835</v>
      </c>
      <c r="CX14" s="122">
        <v>4.3208403193437217</v>
      </c>
      <c r="CY14" s="122">
        <v>302945.51800116012</v>
      </c>
      <c r="CZ14" s="122">
        <v>4.2938590329487676</v>
      </c>
      <c r="DA14" s="122">
        <v>296348.39322195406</v>
      </c>
      <c r="DB14" s="122">
        <v>2.8303824553159687</v>
      </c>
      <c r="DC14" s="122">
        <v>291222.20929640945</v>
      </c>
      <c r="DD14" s="122">
        <v>2.7585102371374499</v>
      </c>
      <c r="DE14" s="122">
        <v>324611.99327519938</v>
      </c>
      <c r="DF14" s="122">
        <v>2.3650707683358259</v>
      </c>
      <c r="DG14" s="122">
        <v>294411.03287766338</v>
      </c>
      <c r="DH14" s="122">
        <v>1.7256995942981357</v>
      </c>
      <c r="DI14" s="122">
        <v>322925.00682285585</v>
      </c>
      <c r="DJ14" s="122">
        <v>1.3602135402958198</v>
      </c>
      <c r="DK14" s="122">
        <v>307026.8656687577</v>
      </c>
      <c r="DL14" s="122">
        <v>1.2248966276108295</v>
      </c>
      <c r="DM14" s="122">
        <v>308505.23764594516</v>
      </c>
      <c r="DN14" s="122">
        <v>1.0852120737095456</v>
      </c>
      <c r="DO14" s="122">
        <v>302630.69349030394</v>
      </c>
      <c r="DP14" s="122">
        <v>0.99679135446721689</v>
      </c>
      <c r="DQ14" s="122">
        <v>317889.64491098461</v>
      </c>
      <c r="DR14" s="122">
        <v>0.98179257812102982</v>
      </c>
      <c r="DS14" s="122">
        <v>311270.13478445698</v>
      </c>
      <c r="DT14" s="122">
        <v>0.83878260493259571</v>
      </c>
      <c r="DU14" s="122">
        <v>310180.90156307601</v>
      </c>
      <c r="DV14" s="122">
        <v>0.90434676285015259</v>
      </c>
      <c r="DW14" s="122">
        <v>297562.10566612391</v>
      </c>
      <c r="DX14" s="122">
        <v>1.0386679896198439</v>
      </c>
      <c r="DY14" s="122">
        <v>286638.06964319688</v>
      </c>
      <c r="DZ14" s="122">
        <v>1.0025390886271424</v>
      </c>
      <c r="EA14" s="122">
        <v>282535.68755382381</v>
      </c>
      <c r="EB14" s="122">
        <v>0.96045869991311861</v>
      </c>
      <c r="EC14" s="122">
        <v>302569.46097063657</v>
      </c>
      <c r="ED14" s="122">
        <v>0.92851947747441033</v>
      </c>
      <c r="EE14" s="122">
        <v>313347.00020686147</v>
      </c>
      <c r="EF14" s="122">
        <v>0.93659861375811948</v>
      </c>
      <c r="EG14" s="122">
        <v>306124.74425242731</v>
      </c>
      <c r="EH14" s="122">
        <v>0.97154427970052137</v>
      </c>
      <c r="EI14" s="122">
        <v>285069.54081555415</v>
      </c>
      <c r="EJ14" s="122">
        <v>1.1143067116934713</v>
      </c>
      <c r="EK14" s="122">
        <v>288342.94845800393</v>
      </c>
      <c r="EL14" s="122">
        <v>1.3223872635115201</v>
      </c>
      <c r="EM14" s="122">
        <v>276677.60894820403</v>
      </c>
      <c r="EN14" s="122">
        <v>1.4234281192028231</v>
      </c>
      <c r="EO14" s="122">
        <v>265669.33328930405</v>
      </c>
      <c r="EP14" s="122">
        <v>1.5374047049510455</v>
      </c>
      <c r="EQ14" s="122">
        <v>259051.07103324897</v>
      </c>
      <c r="ER14" s="122">
        <v>1.6217658294281896</v>
      </c>
      <c r="ES14" s="122">
        <v>256215.33883384307</v>
      </c>
      <c r="ET14" s="122">
        <v>1.8627871322375267</v>
      </c>
      <c r="EU14" s="122">
        <v>254111.92464536559</v>
      </c>
      <c r="EV14" s="122">
        <v>2.023076561076103</v>
      </c>
      <c r="EW14" s="122">
        <v>244086.99480476661</v>
      </c>
      <c r="EX14" s="122">
        <v>2.13223712393892</v>
      </c>
      <c r="EY14" s="122">
        <v>246272.10427837403</v>
      </c>
      <c r="EZ14" s="122">
        <v>2.1847611831072964</v>
      </c>
      <c r="FA14" s="122">
        <v>251350.12880766077</v>
      </c>
      <c r="FB14" s="122">
        <v>2.2914377497400693</v>
      </c>
      <c r="FC14" s="122">
        <v>287496.61550970777</v>
      </c>
      <c r="FD14" s="122">
        <v>2.2523001737843202</v>
      </c>
      <c r="FE14" s="122">
        <v>258425.02491430027</v>
      </c>
      <c r="FF14" s="122">
        <v>2.3814465096281281</v>
      </c>
      <c r="FG14" s="122">
        <v>255719.52845059225</v>
      </c>
      <c r="FH14" s="122">
        <v>2.6885612881746601</v>
      </c>
      <c r="FI14" s="122">
        <v>264535.2037011435</v>
      </c>
      <c r="FJ14" s="122">
        <v>2.7324588967948698</v>
      </c>
      <c r="FK14" s="122">
        <v>261617.42650503304</v>
      </c>
      <c r="FL14" s="122">
        <v>2.6935805350848767</v>
      </c>
      <c r="FM14" s="122">
        <v>254912.8848365024</v>
      </c>
      <c r="FN14" s="122">
        <v>2.829623827816536</v>
      </c>
      <c r="FO14" s="122">
        <v>226094.54832290937</v>
      </c>
      <c r="FP14" s="122">
        <v>2.6214551488163069</v>
      </c>
      <c r="FQ14" s="122">
        <v>259614.5463002194</v>
      </c>
      <c r="FR14" s="122">
        <v>2.6671215076253927</v>
      </c>
      <c r="FS14" s="122">
        <v>274455.66798643948</v>
      </c>
      <c r="FT14" s="122">
        <v>2.6260688632434248</v>
      </c>
      <c r="FU14" s="122">
        <v>257615.22669134932</v>
      </c>
      <c r="FV14" s="122">
        <v>2.4170509049179891</v>
      </c>
      <c r="FW14" s="122">
        <v>266528.32412043243</v>
      </c>
      <c r="FX14" s="122">
        <v>2.3104880585499044</v>
      </c>
      <c r="FY14" s="122">
        <v>279690.48640601221</v>
      </c>
      <c r="FZ14" s="122">
        <v>2.3447930488513871</v>
      </c>
      <c r="GA14" s="122">
        <v>306228.83688572963</v>
      </c>
      <c r="GB14" s="122">
        <v>2.34084791572749</v>
      </c>
      <c r="GC14" s="122">
        <v>293534.43158888421</v>
      </c>
      <c r="GD14" s="122">
        <v>2.3380197694743776</v>
      </c>
      <c r="GE14" s="122">
        <v>294389.49572398973</v>
      </c>
      <c r="GF14" s="122">
        <v>2.4291732630903082</v>
      </c>
      <c r="GG14" s="122">
        <v>288614.84710526059</v>
      </c>
      <c r="GH14" s="122">
        <v>2.3572859748197912</v>
      </c>
      <c r="GI14" s="122">
        <v>282186.19436552085</v>
      </c>
      <c r="GJ14" s="122">
        <v>2.0796671472612789</v>
      </c>
      <c r="GK14" s="122">
        <v>307902.1735876606</v>
      </c>
      <c r="GL14" s="122">
        <v>2.1222589373010594</v>
      </c>
      <c r="GM14" s="122">
        <v>308925.41160088126</v>
      </c>
      <c r="GN14" s="122">
        <v>1.8270896151745626</v>
      </c>
      <c r="GO14" s="122">
        <v>322473.41257106763</v>
      </c>
      <c r="GP14" s="122">
        <v>1.8239765493046571</v>
      </c>
      <c r="GQ14" s="122">
        <v>325706.74623943819</v>
      </c>
      <c r="GR14" s="122">
        <v>1.696626231558658</v>
      </c>
      <c r="GS14" s="122">
        <v>324721.57211690862</v>
      </c>
      <c r="GT14" s="122">
        <v>1.6557037986431191</v>
      </c>
      <c r="GU14" s="122">
        <v>334753.32778824901</v>
      </c>
      <c r="GV14" s="122">
        <v>1.6617581052868029</v>
      </c>
      <c r="GW14" s="122">
        <v>354140.32232472859</v>
      </c>
      <c r="GX14" s="122">
        <v>1.6038962420408609</v>
      </c>
      <c r="GY14" s="122">
        <v>388617.02664787194</v>
      </c>
      <c r="GZ14" s="122">
        <v>1.4538319521120602</v>
      </c>
      <c r="HA14" s="122">
        <v>361813.58932442189</v>
      </c>
      <c r="HB14" s="122">
        <v>1.3947439686376826</v>
      </c>
      <c r="HC14" s="122">
        <v>361780.7346116018</v>
      </c>
      <c r="HD14" s="122">
        <v>1.6702665068950149</v>
      </c>
      <c r="HE14" s="122">
        <v>367890.27500796074</v>
      </c>
      <c r="HF14" s="122">
        <v>1.358944970737646</v>
      </c>
      <c r="HG14" s="122">
        <v>389613.11493255087</v>
      </c>
      <c r="HH14" s="122">
        <v>1.2819742393546549</v>
      </c>
      <c r="HI14" s="122">
        <v>441253.71776027983</v>
      </c>
      <c r="HJ14" s="122">
        <v>1.2109771199748485</v>
      </c>
      <c r="HK14" s="122">
        <v>420342.28452041</v>
      </c>
      <c r="HL14" s="122">
        <v>1.2454973893538941</v>
      </c>
      <c r="HM14" s="122">
        <v>405740.89356553002</v>
      </c>
      <c r="HN14" s="122">
        <v>1.268442513459918</v>
      </c>
      <c r="HO14" s="122">
        <v>405556.99562338996</v>
      </c>
      <c r="HP14" s="122">
        <v>1.2286324952330445</v>
      </c>
      <c r="HQ14" s="122">
        <v>402816.31204577989</v>
      </c>
      <c r="HR14" s="122">
        <v>1.1007422719675986</v>
      </c>
      <c r="HS14" s="122">
        <v>416922.35555088107</v>
      </c>
      <c r="HT14" s="122">
        <v>1.1173359489799586</v>
      </c>
      <c r="HU14" s="122">
        <v>435270.58084066998</v>
      </c>
      <c r="HV14" s="122">
        <v>1.0485728905843197</v>
      </c>
      <c r="HW14" s="122">
        <v>454357.90118363878</v>
      </c>
      <c r="HX14" s="122">
        <v>1.0380995257415229</v>
      </c>
      <c r="HY14" s="122">
        <v>489658.64772717113</v>
      </c>
    </row>
    <row r="15" spans="1:233" x14ac:dyDescent="0.55000000000000004">
      <c r="B15" s="325">
        <v>4</v>
      </c>
      <c r="C15" s="28" t="s">
        <v>665</v>
      </c>
      <c r="D15" s="122">
        <v>10</v>
      </c>
      <c r="E15" s="122">
        <v>50.139962350000005</v>
      </c>
      <c r="F15" s="122">
        <v>10</v>
      </c>
      <c r="G15" s="122">
        <v>6.6999623499999998</v>
      </c>
      <c r="H15" s="122">
        <v>5</v>
      </c>
      <c r="I15" s="122">
        <v>1.4666250000000001</v>
      </c>
      <c r="J15" s="122">
        <v>5</v>
      </c>
      <c r="K15" s="122">
        <v>672.40703105000011</v>
      </c>
      <c r="L15" s="122">
        <v>5</v>
      </c>
      <c r="M15" s="122">
        <v>555.98217537999994</v>
      </c>
      <c r="N15" s="122">
        <v>0</v>
      </c>
      <c r="O15" s="122">
        <v>0</v>
      </c>
      <c r="P15" s="122">
        <v>5</v>
      </c>
      <c r="Q15" s="122">
        <v>671.51882901999988</v>
      </c>
      <c r="R15" s="122">
        <v>5</v>
      </c>
      <c r="S15" s="122">
        <v>665.10271991000002</v>
      </c>
      <c r="T15" s="122">
        <v>5</v>
      </c>
      <c r="U15" s="122">
        <v>665.69369068000003</v>
      </c>
      <c r="V15" s="122">
        <v>5</v>
      </c>
      <c r="W15" s="122">
        <v>660.96974063000005</v>
      </c>
      <c r="X15" s="122">
        <v>5</v>
      </c>
      <c r="Y15" s="122">
        <v>654.84163781000007</v>
      </c>
      <c r="Z15" s="122">
        <v>5.5</v>
      </c>
      <c r="AA15" s="122">
        <v>635.39123837000011</v>
      </c>
      <c r="AB15" s="122">
        <v>5</v>
      </c>
      <c r="AC15" s="122">
        <v>617.56053992</v>
      </c>
      <c r="AD15" s="122">
        <v>0</v>
      </c>
      <c r="AE15" s="122">
        <v>5.03125</v>
      </c>
      <c r="AF15" s="122">
        <v>5</v>
      </c>
      <c r="AG15" s="122">
        <v>2.4911249999999998</v>
      </c>
      <c r="AH15" s="122">
        <v>5</v>
      </c>
      <c r="AI15" s="122">
        <v>0.2555</v>
      </c>
      <c r="AJ15" s="122">
        <v>0</v>
      </c>
      <c r="AK15" s="122">
        <v>0</v>
      </c>
      <c r="AL15" s="122">
        <v>5</v>
      </c>
      <c r="AM15" s="122">
        <v>555.98217537999994</v>
      </c>
      <c r="AN15" s="122">
        <v>0</v>
      </c>
      <c r="AO15" s="122">
        <v>0</v>
      </c>
      <c r="AP15" s="122">
        <v>0</v>
      </c>
      <c r="AQ15" s="122">
        <v>0</v>
      </c>
      <c r="AR15" s="122">
        <v>0</v>
      </c>
      <c r="AS15" s="122">
        <v>0</v>
      </c>
      <c r="AT15" s="122">
        <v>0</v>
      </c>
      <c r="AU15" s="122">
        <v>0</v>
      </c>
      <c r="AV15" s="122">
        <v>0</v>
      </c>
      <c r="AW15" s="122">
        <v>0</v>
      </c>
      <c r="AX15" s="122">
        <v>0</v>
      </c>
      <c r="AY15" s="122">
        <v>0</v>
      </c>
      <c r="AZ15" s="122">
        <v>0</v>
      </c>
      <c r="BA15" s="122">
        <v>0</v>
      </c>
      <c r="BB15" s="122">
        <v>0</v>
      </c>
      <c r="BC15" s="122">
        <v>0</v>
      </c>
      <c r="BD15" s="122">
        <v>0</v>
      </c>
      <c r="BE15" s="122">
        <v>0</v>
      </c>
      <c r="BF15" s="122">
        <v>0</v>
      </c>
      <c r="BG15" s="122">
        <v>0</v>
      </c>
      <c r="BH15" s="122">
        <v>0</v>
      </c>
      <c r="BI15" s="122">
        <v>0</v>
      </c>
      <c r="BJ15" s="122">
        <v>0</v>
      </c>
      <c r="BK15" s="122">
        <v>0</v>
      </c>
      <c r="BL15" s="122">
        <v>0</v>
      </c>
      <c r="BM15" s="122">
        <v>0</v>
      </c>
      <c r="BN15" s="122">
        <v>0</v>
      </c>
      <c r="BO15" s="122">
        <v>0</v>
      </c>
      <c r="BP15" s="122">
        <v>0</v>
      </c>
      <c r="BQ15" s="122">
        <v>0</v>
      </c>
      <c r="BR15" s="122">
        <v>0</v>
      </c>
      <c r="BS15" s="122">
        <v>0</v>
      </c>
      <c r="BT15" s="122">
        <v>0</v>
      </c>
      <c r="BU15" s="122">
        <v>0</v>
      </c>
      <c r="BV15" s="122">
        <v>0</v>
      </c>
      <c r="BW15" s="122">
        <v>0</v>
      </c>
      <c r="BX15" s="122">
        <v>0</v>
      </c>
      <c r="BY15" s="122">
        <v>0</v>
      </c>
      <c r="BZ15" s="122">
        <v>0</v>
      </c>
      <c r="CA15" s="122">
        <v>0</v>
      </c>
      <c r="CB15" s="122">
        <v>0</v>
      </c>
      <c r="CC15" s="122">
        <v>0</v>
      </c>
      <c r="CD15" s="122">
        <v>0</v>
      </c>
      <c r="CE15" s="122">
        <v>0</v>
      </c>
      <c r="CF15" s="122">
        <v>0</v>
      </c>
      <c r="CG15" s="122">
        <v>0</v>
      </c>
      <c r="CH15" s="122">
        <v>0</v>
      </c>
      <c r="CI15" s="122">
        <v>0</v>
      </c>
      <c r="CJ15" s="122">
        <v>0</v>
      </c>
      <c r="CK15" s="122">
        <v>0</v>
      </c>
      <c r="CL15" s="122">
        <v>0</v>
      </c>
      <c r="CM15" s="122">
        <v>0</v>
      </c>
      <c r="CN15" s="122">
        <v>0</v>
      </c>
      <c r="CO15" s="122">
        <v>0</v>
      </c>
      <c r="CP15" s="122">
        <v>0</v>
      </c>
      <c r="CQ15" s="122">
        <v>0</v>
      </c>
      <c r="CR15" s="122">
        <v>0</v>
      </c>
      <c r="CS15" s="122">
        <v>0</v>
      </c>
      <c r="CT15" s="122">
        <v>0</v>
      </c>
      <c r="CU15" s="122">
        <v>0</v>
      </c>
      <c r="CV15" s="122">
        <v>0</v>
      </c>
      <c r="CW15" s="122">
        <v>0</v>
      </c>
      <c r="CX15" s="122">
        <v>0</v>
      </c>
      <c r="CY15" s="122">
        <v>0</v>
      </c>
      <c r="CZ15" s="122">
        <v>0</v>
      </c>
      <c r="DA15" s="122">
        <v>0</v>
      </c>
      <c r="DB15" s="122">
        <v>0</v>
      </c>
      <c r="DC15" s="122">
        <v>0</v>
      </c>
      <c r="DD15" s="122">
        <v>0</v>
      </c>
      <c r="DE15" s="122">
        <v>0</v>
      </c>
      <c r="DF15" s="122">
        <v>0</v>
      </c>
      <c r="DG15" s="122">
        <v>0</v>
      </c>
      <c r="DH15" s="122">
        <v>0</v>
      </c>
      <c r="DI15" s="122">
        <v>0</v>
      </c>
      <c r="DJ15" s="122">
        <v>0</v>
      </c>
      <c r="DK15" s="122">
        <v>0</v>
      </c>
      <c r="DL15" s="122">
        <v>0</v>
      </c>
      <c r="DM15" s="122">
        <v>0</v>
      </c>
      <c r="DN15" s="122">
        <v>0</v>
      </c>
      <c r="DO15" s="122">
        <v>0</v>
      </c>
      <c r="DP15" s="122">
        <v>0</v>
      </c>
      <c r="DQ15" s="122">
        <v>0</v>
      </c>
      <c r="DR15" s="122">
        <v>0</v>
      </c>
      <c r="DS15" s="122">
        <v>0</v>
      </c>
      <c r="DT15" s="122">
        <v>0</v>
      </c>
      <c r="DU15" s="122">
        <v>0</v>
      </c>
      <c r="DV15" s="122">
        <v>0</v>
      </c>
      <c r="DW15" s="122">
        <v>0</v>
      </c>
      <c r="DX15" s="122">
        <v>0</v>
      </c>
      <c r="DY15" s="122">
        <v>0</v>
      </c>
      <c r="DZ15" s="122">
        <v>0</v>
      </c>
      <c r="EA15" s="122">
        <v>0</v>
      </c>
      <c r="EB15" s="122">
        <v>0</v>
      </c>
      <c r="EC15" s="122">
        <v>0</v>
      </c>
      <c r="ED15" s="122">
        <v>0</v>
      </c>
      <c r="EE15" s="122">
        <v>0</v>
      </c>
      <c r="EF15" s="122">
        <v>0</v>
      </c>
      <c r="EG15" s="122">
        <v>0</v>
      </c>
      <c r="EH15" s="122">
        <v>0</v>
      </c>
      <c r="EI15" s="122">
        <v>0</v>
      </c>
      <c r="EJ15" s="122">
        <v>0</v>
      </c>
      <c r="EK15" s="122">
        <v>0</v>
      </c>
      <c r="EL15" s="122">
        <v>0</v>
      </c>
      <c r="EM15" s="122">
        <v>0</v>
      </c>
      <c r="EN15" s="122">
        <v>0</v>
      </c>
      <c r="EO15" s="122">
        <v>0</v>
      </c>
      <c r="EP15" s="122">
        <v>0</v>
      </c>
      <c r="EQ15" s="122">
        <v>0</v>
      </c>
      <c r="ER15" s="122">
        <v>0</v>
      </c>
      <c r="ES15" s="122">
        <v>0</v>
      </c>
      <c r="ET15" s="122">
        <v>0</v>
      </c>
      <c r="EU15" s="122">
        <v>0</v>
      </c>
      <c r="EV15" s="122">
        <v>0</v>
      </c>
      <c r="EW15" s="122">
        <v>0</v>
      </c>
      <c r="EX15" s="122">
        <v>0</v>
      </c>
      <c r="EY15" s="122">
        <v>0</v>
      </c>
      <c r="EZ15" s="122">
        <v>0</v>
      </c>
      <c r="FA15" s="122">
        <v>0</v>
      </c>
      <c r="FB15" s="122">
        <v>0</v>
      </c>
      <c r="FC15" s="122">
        <v>0</v>
      </c>
      <c r="FD15" s="122">
        <v>0</v>
      </c>
      <c r="FE15" s="122">
        <v>0</v>
      </c>
      <c r="FF15" s="122">
        <v>0</v>
      </c>
      <c r="FG15" s="122">
        <v>0</v>
      </c>
      <c r="FH15" s="122">
        <v>0</v>
      </c>
      <c r="FI15" s="122">
        <v>0</v>
      </c>
      <c r="FJ15" s="122">
        <v>0</v>
      </c>
      <c r="FK15" s="122">
        <v>0</v>
      </c>
      <c r="FL15" s="122">
        <v>0</v>
      </c>
      <c r="FM15" s="122">
        <v>0</v>
      </c>
      <c r="FN15" s="122">
        <v>0</v>
      </c>
      <c r="FO15" s="122">
        <v>0</v>
      </c>
      <c r="FP15" s="122">
        <v>0</v>
      </c>
      <c r="FQ15" s="122">
        <v>0</v>
      </c>
      <c r="FR15" s="122">
        <v>0</v>
      </c>
      <c r="FS15" s="122">
        <v>0</v>
      </c>
      <c r="FT15" s="122">
        <v>0</v>
      </c>
      <c r="FU15" s="122">
        <v>0</v>
      </c>
      <c r="FV15" s="122">
        <v>0</v>
      </c>
      <c r="FW15" s="122">
        <v>0</v>
      </c>
      <c r="FX15" s="122">
        <v>0</v>
      </c>
      <c r="FY15" s="122">
        <v>0</v>
      </c>
      <c r="FZ15" s="122">
        <v>0</v>
      </c>
      <c r="GA15" s="122">
        <v>0</v>
      </c>
      <c r="GB15" s="122">
        <v>0</v>
      </c>
      <c r="GC15" s="122">
        <v>0</v>
      </c>
      <c r="GD15" s="122">
        <v>0</v>
      </c>
      <c r="GE15" s="122">
        <v>0</v>
      </c>
      <c r="GF15" s="122">
        <v>0</v>
      </c>
      <c r="GG15" s="122">
        <v>0</v>
      </c>
      <c r="GH15" s="122">
        <v>0</v>
      </c>
      <c r="GI15" s="122">
        <v>0</v>
      </c>
      <c r="GJ15" s="122">
        <v>0</v>
      </c>
      <c r="GK15" s="122">
        <v>0</v>
      </c>
      <c r="GL15" s="122">
        <v>0</v>
      </c>
      <c r="GM15" s="122">
        <v>0</v>
      </c>
      <c r="GN15" s="122">
        <v>0</v>
      </c>
      <c r="GO15" s="122">
        <v>0</v>
      </c>
      <c r="GP15" s="122">
        <v>0</v>
      </c>
      <c r="GQ15" s="122">
        <v>0</v>
      </c>
      <c r="GR15" s="122">
        <v>0</v>
      </c>
      <c r="GS15" s="122">
        <v>0</v>
      </c>
      <c r="GT15" s="122">
        <v>0</v>
      </c>
      <c r="GU15" s="122">
        <v>0</v>
      </c>
      <c r="GV15" s="122">
        <v>0</v>
      </c>
      <c r="GW15" s="122">
        <v>0</v>
      </c>
      <c r="GX15" s="122">
        <v>0</v>
      </c>
      <c r="GY15" s="122">
        <v>0</v>
      </c>
      <c r="GZ15" s="122">
        <v>0</v>
      </c>
      <c r="HA15" s="122">
        <v>0</v>
      </c>
      <c r="HB15" s="122">
        <v>0</v>
      </c>
      <c r="HC15" s="122">
        <v>0</v>
      </c>
      <c r="HD15" s="122">
        <v>0</v>
      </c>
      <c r="HE15" s="122">
        <v>0</v>
      </c>
      <c r="HF15" s="122">
        <v>0</v>
      </c>
      <c r="HG15" s="122">
        <v>0</v>
      </c>
      <c r="HH15" s="122">
        <v>0</v>
      </c>
      <c r="HI15" s="122">
        <v>0</v>
      </c>
      <c r="HJ15" s="122">
        <v>0</v>
      </c>
      <c r="HK15" s="122">
        <v>0</v>
      </c>
      <c r="HL15" s="122">
        <v>0</v>
      </c>
      <c r="HM15" s="122">
        <v>0</v>
      </c>
      <c r="HN15" s="122">
        <v>0</v>
      </c>
      <c r="HO15" s="122">
        <v>0</v>
      </c>
      <c r="HP15" s="122">
        <v>0</v>
      </c>
      <c r="HQ15" s="122">
        <v>0</v>
      </c>
      <c r="HR15" s="122">
        <v>0</v>
      </c>
      <c r="HS15" s="122">
        <v>0</v>
      </c>
      <c r="HT15" s="122">
        <v>0</v>
      </c>
      <c r="HU15" s="122">
        <v>0</v>
      </c>
      <c r="HV15" s="122">
        <v>0</v>
      </c>
      <c r="HW15" s="122">
        <v>0</v>
      </c>
      <c r="HX15" s="122">
        <v>0</v>
      </c>
      <c r="HY15" s="122">
        <v>0</v>
      </c>
    </row>
    <row r="16" spans="1:233" x14ac:dyDescent="0.55000000000000004">
      <c r="B16" s="325">
        <v>5</v>
      </c>
      <c r="C16" s="324" t="s">
        <v>666</v>
      </c>
      <c r="D16" s="122">
        <v>7.3010660832473944</v>
      </c>
      <c r="E16" s="122">
        <v>190.68405786999983</v>
      </c>
      <c r="F16" s="122">
        <v>6.8154578978751257</v>
      </c>
      <c r="G16" s="122">
        <v>206.27674877000018</v>
      </c>
      <c r="H16" s="122">
        <v>5.4979617336983075</v>
      </c>
      <c r="I16" s="122">
        <v>247.33341034999961</v>
      </c>
      <c r="J16" s="122">
        <v>3.0609698093007585</v>
      </c>
      <c r="K16" s="122">
        <v>1034.9662987500003</v>
      </c>
      <c r="L16" s="122">
        <v>3.9643774570661412</v>
      </c>
      <c r="M16" s="122">
        <v>250.24933455999999</v>
      </c>
      <c r="N16" s="122">
        <v>7.8004968506896288</v>
      </c>
      <c r="O16" s="122">
        <v>3816.7498842999994</v>
      </c>
      <c r="P16" s="122">
        <v>4.0898582595503177</v>
      </c>
      <c r="Q16" s="122">
        <v>177.36612910999963</v>
      </c>
      <c r="R16" s="122">
        <v>4.5096716582955292</v>
      </c>
      <c r="S16" s="122">
        <v>178.10981243999967</v>
      </c>
      <c r="T16" s="122">
        <v>2.6148506900989834</v>
      </c>
      <c r="U16" s="122">
        <v>535.96971482000026</v>
      </c>
      <c r="V16" s="122">
        <v>3.2199684991338646</v>
      </c>
      <c r="W16" s="122">
        <v>278.26677030000081</v>
      </c>
      <c r="X16" s="122">
        <v>2.8986663106794288</v>
      </c>
      <c r="Y16" s="122">
        <v>394.73309511000025</v>
      </c>
      <c r="Z16" s="122">
        <v>3.4462241258920199</v>
      </c>
      <c r="AA16" s="122">
        <v>666.27243687485736</v>
      </c>
      <c r="AB16" s="122">
        <v>5.4547158422224795</v>
      </c>
      <c r="AC16" s="122">
        <v>734.61711607425195</v>
      </c>
      <c r="AD16" s="122">
        <v>4.2910957880623979</v>
      </c>
      <c r="AE16" s="122">
        <v>255.05146934000001</v>
      </c>
      <c r="AF16" s="122">
        <v>5.2252298304146239</v>
      </c>
      <c r="AG16" s="122">
        <v>1193.1268189599998</v>
      </c>
      <c r="AH16" s="122">
        <v>5.6120904632007456</v>
      </c>
      <c r="AI16" s="122">
        <v>1349.5519578600001</v>
      </c>
      <c r="AJ16" s="122">
        <v>0.69654191777109786</v>
      </c>
      <c r="AK16" s="122">
        <v>1046.4762409499997</v>
      </c>
      <c r="AL16" s="122">
        <v>3.9643774570661412</v>
      </c>
      <c r="AM16" s="122">
        <v>250.24933455999999</v>
      </c>
      <c r="AN16" s="122">
        <v>5.2000223593909149</v>
      </c>
      <c r="AO16" s="122">
        <v>651.97519868999996</v>
      </c>
      <c r="AP16" s="122">
        <v>5.0670086812806199</v>
      </c>
      <c r="AQ16" s="122">
        <v>791.01814972</v>
      </c>
      <c r="AR16" s="122">
        <v>5.4993410327353054</v>
      </c>
      <c r="AS16" s="122">
        <v>795.30373730999986</v>
      </c>
      <c r="AT16" s="122">
        <v>5.7465033060327793</v>
      </c>
      <c r="AU16" s="122">
        <v>656.13954945</v>
      </c>
      <c r="AV16" s="122">
        <v>5.0009090418082289</v>
      </c>
      <c r="AW16" s="122">
        <v>981.15665849999993</v>
      </c>
      <c r="AX16" s="122">
        <v>5.7264390950852038</v>
      </c>
      <c r="AY16" s="122">
        <v>882.72691212000007</v>
      </c>
      <c r="AZ16" s="122">
        <v>7.1083889996154852</v>
      </c>
      <c r="BA16" s="122">
        <v>4030.5494820200001</v>
      </c>
      <c r="BB16" s="122">
        <v>7.8999171237502068</v>
      </c>
      <c r="BC16" s="122">
        <v>4741.0418530499992</v>
      </c>
      <c r="BD16" s="122">
        <v>7.8242902312784119</v>
      </c>
      <c r="BE16" s="122">
        <v>3505.3698007900002</v>
      </c>
      <c r="BF16" s="122">
        <v>7.4998927766218335</v>
      </c>
      <c r="BG16" s="122">
        <v>4423.2891775400003</v>
      </c>
      <c r="BH16" s="122">
        <v>7.8261842547490694</v>
      </c>
      <c r="BI16" s="122">
        <v>4399.8434466400004</v>
      </c>
      <c r="BJ16" s="122">
        <v>7.8004968506896288</v>
      </c>
      <c r="BK16" s="122">
        <v>3816.7498842999994</v>
      </c>
      <c r="BL16" s="122">
        <v>7.6926824025384803</v>
      </c>
      <c r="BM16" s="122">
        <v>3998.0607619900006</v>
      </c>
      <c r="BN16" s="122">
        <v>7.7048297785087208</v>
      </c>
      <c r="BO16" s="122">
        <v>4009.3545237000003</v>
      </c>
      <c r="BP16" s="122">
        <v>7.3100060748789524</v>
      </c>
      <c r="BQ16" s="122">
        <v>4445.5563939000003</v>
      </c>
      <c r="BR16" s="122">
        <v>7.734641150474741</v>
      </c>
      <c r="BS16" s="122">
        <v>3882.4079765500001</v>
      </c>
      <c r="BT16" s="122">
        <v>7.4486101009313677</v>
      </c>
      <c r="BU16" s="122">
        <v>5146.7305807599996</v>
      </c>
      <c r="BV16" s="122">
        <v>7.7878383007682075</v>
      </c>
      <c r="BW16" s="122">
        <v>3916.0936247900004</v>
      </c>
      <c r="BX16" s="122">
        <v>7.9487407378801338</v>
      </c>
      <c r="BY16" s="122">
        <v>4151.6298607800009</v>
      </c>
      <c r="BZ16" s="122">
        <v>7.8810742120392572</v>
      </c>
      <c r="CA16" s="122">
        <v>3218.0206639100002</v>
      </c>
      <c r="CB16" s="122">
        <v>8.0807861043650018</v>
      </c>
      <c r="CC16" s="122">
        <v>4204.6065913799994</v>
      </c>
      <c r="CD16" s="122">
        <v>8.0728182194752627</v>
      </c>
      <c r="CE16" s="122">
        <v>4044.9172943600001</v>
      </c>
      <c r="CF16" s="122">
        <v>8.0373149377189979</v>
      </c>
      <c r="CG16" s="122">
        <v>3962.443585420001</v>
      </c>
      <c r="CH16" s="122">
        <v>7.5697682231422547</v>
      </c>
      <c r="CI16" s="122">
        <v>4081.5997239799999</v>
      </c>
      <c r="CJ16" s="122">
        <v>8.1527126072872438</v>
      </c>
      <c r="CK16" s="122">
        <v>4142.5679634299995</v>
      </c>
      <c r="CL16" s="122">
        <v>8.2281266584541228</v>
      </c>
      <c r="CM16" s="122">
        <v>3846.8214750599996</v>
      </c>
      <c r="CN16" s="122">
        <v>8.3033337540243313</v>
      </c>
      <c r="CO16" s="122">
        <v>3693.2171897499998</v>
      </c>
      <c r="CP16" s="122">
        <v>8.0851689360663404</v>
      </c>
      <c r="CQ16" s="122">
        <v>3806.0761566900001</v>
      </c>
      <c r="CR16" s="122">
        <v>7.2238268029752781</v>
      </c>
      <c r="CS16" s="122">
        <v>4267.2077184999998</v>
      </c>
      <c r="CT16" s="122">
        <v>8.0985602096568847</v>
      </c>
      <c r="CU16" s="122">
        <v>4004.9533472199992</v>
      </c>
      <c r="CV16" s="122">
        <v>8.0609426455517177</v>
      </c>
      <c r="CW16" s="122">
        <v>4051.6237716299988</v>
      </c>
      <c r="CX16" s="122">
        <v>8.3056541763509273</v>
      </c>
      <c r="CY16" s="122">
        <v>3661.5242155000001</v>
      </c>
      <c r="CZ16" s="122">
        <v>8.228478370165961</v>
      </c>
      <c r="DA16" s="122">
        <v>4218.0413115599995</v>
      </c>
      <c r="DB16" s="122">
        <v>8.3014041440020279</v>
      </c>
      <c r="DC16" s="122">
        <v>4251.0920387699998</v>
      </c>
      <c r="DD16" s="122">
        <v>8.2858751016155541</v>
      </c>
      <c r="DE16" s="122">
        <v>4160.002376219998</v>
      </c>
      <c r="DF16" s="122">
        <v>8.2412039400698429</v>
      </c>
      <c r="DG16" s="122">
        <v>3291.9585671300001</v>
      </c>
      <c r="DH16" s="122">
        <v>8.227433523524283</v>
      </c>
      <c r="DI16" s="122">
        <v>3138.7262244099975</v>
      </c>
      <c r="DJ16" s="122">
        <v>8.0888382348171532</v>
      </c>
      <c r="DK16" s="122">
        <v>2830.9743105000002</v>
      </c>
      <c r="DL16" s="122">
        <v>7.9020299531177161</v>
      </c>
      <c r="DM16" s="122">
        <v>2891.3673717399952</v>
      </c>
      <c r="DN16" s="122">
        <v>7.9907453625628335</v>
      </c>
      <c r="DO16" s="122">
        <v>2858.5585528999977</v>
      </c>
      <c r="DP16" s="122">
        <v>7.9963684389815821</v>
      </c>
      <c r="DQ16" s="122">
        <v>2826.9033464700005</v>
      </c>
      <c r="DR16" s="122">
        <v>7.9265670469768361</v>
      </c>
      <c r="DS16" s="122">
        <v>2706.6441163699951</v>
      </c>
      <c r="DT16" s="122">
        <v>6.8408240605045147</v>
      </c>
      <c r="DU16" s="122">
        <v>3689.9054527599992</v>
      </c>
      <c r="DV16" s="122">
        <v>6.9502699923354809</v>
      </c>
      <c r="DW16" s="122">
        <v>3166.8947453799956</v>
      </c>
      <c r="DX16" s="122">
        <v>7.628663258066732</v>
      </c>
      <c r="DY16" s="122">
        <v>2840.6372665899944</v>
      </c>
      <c r="DZ16" s="122">
        <v>7.7583943932434183</v>
      </c>
      <c r="EA16" s="122">
        <v>3133.01291339</v>
      </c>
      <c r="EB16" s="122">
        <v>7.5272035509335593</v>
      </c>
      <c r="EC16" s="122">
        <v>3264.4594028400006</v>
      </c>
      <c r="ED16" s="122">
        <v>7.1865629335349013</v>
      </c>
      <c r="EE16" s="122">
        <v>3987.8034901999922</v>
      </c>
      <c r="EF16" s="122">
        <v>6.596913823473888</v>
      </c>
      <c r="EG16" s="122">
        <v>4265.8785471600004</v>
      </c>
      <c r="EH16" s="122">
        <v>6.0061382923228424</v>
      </c>
      <c r="EI16" s="122">
        <v>4714.2564207500009</v>
      </c>
      <c r="EJ16" s="122">
        <v>7.5516022645646359</v>
      </c>
      <c r="EK16" s="122">
        <v>3499.8288981000005</v>
      </c>
      <c r="EL16" s="122">
        <v>7.3681177694485429</v>
      </c>
      <c r="EM16" s="122">
        <v>2391.757373630001</v>
      </c>
      <c r="EN16" s="122">
        <v>8.1417669555552106</v>
      </c>
      <c r="EO16" s="122">
        <v>2065.8679526800011</v>
      </c>
      <c r="EP16" s="122">
        <v>2.6694898623512109</v>
      </c>
      <c r="EQ16" s="122">
        <v>2083.602632189999</v>
      </c>
      <c r="ER16" s="122">
        <v>2.6568769023778431</v>
      </c>
      <c r="ES16" s="122">
        <v>2093.6103155099963</v>
      </c>
      <c r="ET16" s="122">
        <v>2.8421341766028014</v>
      </c>
      <c r="EU16" s="122">
        <v>2063.2228201399998</v>
      </c>
      <c r="EV16" s="122">
        <v>2.6981266819546907</v>
      </c>
      <c r="EW16" s="122">
        <v>2225.3433636900004</v>
      </c>
      <c r="EX16" s="122">
        <v>2.5968987506547903</v>
      </c>
      <c r="EY16" s="122">
        <v>2254.2671849700009</v>
      </c>
      <c r="EZ16" s="122">
        <v>2.8033134683532723</v>
      </c>
      <c r="FA16" s="122">
        <v>1934.8446105600003</v>
      </c>
      <c r="FB16" s="122">
        <v>2.7500032143796393</v>
      </c>
      <c r="FC16" s="122">
        <v>2136.3170052000009</v>
      </c>
      <c r="FD16" s="122">
        <v>3.0981586963636714</v>
      </c>
      <c r="FE16" s="122">
        <v>2073.9944332000005</v>
      </c>
      <c r="FF16" s="122">
        <v>2.4036581087797364</v>
      </c>
      <c r="FG16" s="122">
        <v>2376.6247824400007</v>
      </c>
      <c r="FH16" s="122">
        <v>2.5445196662718015</v>
      </c>
      <c r="FI16" s="122">
        <v>2185.0415465000005</v>
      </c>
      <c r="FJ16" s="122">
        <v>2.4745477188578628</v>
      </c>
      <c r="FK16" s="122">
        <v>2460.7936727700007</v>
      </c>
      <c r="FL16" s="122">
        <v>2.9300126610521056</v>
      </c>
      <c r="FM16" s="122">
        <v>2126.7543520800004</v>
      </c>
      <c r="FN16" s="122">
        <v>3.1267564399828447</v>
      </c>
      <c r="FO16" s="122">
        <v>1987.0836126700005</v>
      </c>
      <c r="FP16" s="122">
        <v>2.3904376948717641</v>
      </c>
      <c r="FQ16" s="122">
        <v>2497.2664268199974</v>
      </c>
      <c r="FR16" s="122">
        <v>2.888448226656827</v>
      </c>
      <c r="FS16" s="122">
        <v>1962.7435094499961</v>
      </c>
      <c r="FT16" s="122">
        <v>2.8705308148883262</v>
      </c>
      <c r="FU16" s="122">
        <v>1858.6872163900011</v>
      </c>
      <c r="FV16" s="122">
        <v>2.6991440048298903</v>
      </c>
      <c r="FW16" s="122">
        <v>1970.9681934100008</v>
      </c>
      <c r="FX16" s="122">
        <v>2.7083400650437408</v>
      </c>
      <c r="FY16" s="122">
        <v>1904.3940406700003</v>
      </c>
      <c r="FZ16" s="122">
        <v>2.7150656147157139</v>
      </c>
      <c r="GA16" s="122">
        <v>2019.5584543099994</v>
      </c>
      <c r="GB16" s="122">
        <v>2.721116732755398</v>
      </c>
      <c r="GC16" s="122">
        <v>2006.3073387700001</v>
      </c>
      <c r="GD16" s="122">
        <v>2.658007142303886</v>
      </c>
      <c r="GE16" s="122">
        <v>1927.0647455099997</v>
      </c>
      <c r="GF16" s="122">
        <v>2.7835335727283921</v>
      </c>
      <c r="GG16" s="122">
        <v>1772.05341817</v>
      </c>
      <c r="GH16" s="122">
        <v>2.6810148527514821</v>
      </c>
      <c r="GI16" s="122">
        <v>2073.6004657099998</v>
      </c>
      <c r="GJ16" s="122">
        <v>2.722903367705575</v>
      </c>
      <c r="GK16" s="122">
        <v>1882.7409065699999</v>
      </c>
      <c r="GL16" s="122">
        <v>2.6251776018390314</v>
      </c>
      <c r="GM16" s="122">
        <v>1926.9921610400002</v>
      </c>
      <c r="GN16" s="122">
        <v>2.5863058639792538</v>
      </c>
      <c r="GO16" s="122">
        <v>1942.3594539299997</v>
      </c>
      <c r="GP16" s="122">
        <v>2.4733370904092875</v>
      </c>
      <c r="GQ16" s="122">
        <v>1942.8056472500025</v>
      </c>
      <c r="GR16" s="122">
        <v>2.4745836887600303</v>
      </c>
      <c r="GS16" s="122">
        <v>1951.6742548399998</v>
      </c>
      <c r="GT16" s="122">
        <v>2.4180423239238964</v>
      </c>
      <c r="GU16" s="122">
        <v>1945.7959834900032</v>
      </c>
      <c r="GV16" s="122">
        <v>1.2163785609239584</v>
      </c>
      <c r="GW16" s="122">
        <v>2044.5751541799998</v>
      </c>
      <c r="GX16" s="122">
        <v>1.2088138951238492</v>
      </c>
      <c r="GY16" s="122">
        <v>2272.2608412800005</v>
      </c>
      <c r="GZ16" s="122">
        <v>1.1962677708332101</v>
      </c>
      <c r="HA16" s="122">
        <v>2234.7125724899902</v>
      </c>
      <c r="HB16" s="122">
        <v>2.2668030313990593</v>
      </c>
      <c r="HC16" s="122">
        <v>2181.7062750299906</v>
      </c>
      <c r="HD16" s="122">
        <v>2.3283064021164788</v>
      </c>
      <c r="HE16" s="122">
        <v>2098.4367220900003</v>
      </c>
      <c r="HF16" s="122">
        <v>2.3083165519682183</v>
      </c>
      <c r="HG16" s="122">
        <v>2062.79786053</v>
      </c>
      <c r="HH16" s="122">
        <v>2.2819409237122796</v>
      </c>
      <c r="HI16" s="122">
        <v>2074.2960346999998</v>
      </c>
      <c r="HJ16" s="122">
        <v>2.340455731915601</v>
      </c>
      <c r="HK16" s="122">
        <v>1953.8956249</v>
      </c>
      <c r="HL16" s="122">
        <v>2.3167017357551418</v>
      </c>
      <c r="HM16" s="122">
        <v>1905.3474990000002</v>
      </c>
      <c r="HN16" s="122">
        <v>2.3051879535338911</v>
      </c>
      <c r="HO16" s="122">
        <v>1864.7396185800003</v>
      </c>
      <c r="HP16" s="122">
        <v>2.3425415127304086</v>
      </c>
      <c r="HQ16" s="122">
        <v>1866.8468494600002</v>
      </c>
      <c r="HR16" s="122">
        <v>2.3056699610610445</v>
      </c>
      <c r="HS16" s="122">
        <v>1877.5764484799997</v>
      </c>
      <c r="HT16" s="122">
        <v>2.2186172622628213</v>
      </c>
      <c r="HU16" s="122">
        <v>2017.0374145299947</v>
      </c>
      <c r="HV16" s="122">
        <v>2.1809884092904497</v>
      </c>
      <c r="HW16" s="122">
        <v>2196.7691472599909</v>
      </c>
      <c r="HX16" s="122">
        <v>2.4425808103921569</v>
      </c>
      <c r="HY16" s="122">
        <v>2218.3685987199988</v>
      </c>
    </row>
    <row r="17" spans="2:233" x14ac:dyDescent="0.55000000000000004">
      <c r="B17" s="21">
        <v>6</v>
      </c>
      <c r="C17" s="324" t="s">
        <v>667</v>
      </c>
      <c r="D17" s="122">
        <v>0</v>
      </c>
      <c r="E17" s="122">
        <v>81543.081592025716</v>
      </c>
      <c r="F17" s="122">
        <v>0</v>
      </c>
      <c r="G17" s="122">
        <v>106464.6435162666</v>
      </c>
      <c r="H17" s="122">
        <v>0</v>
      </c>
      <c r="I17" s="122">
        <v>149231.2326534329</v>
      </c>
      <c r="J17" s="122">
        <v>0</v>
      </c>
      <c r="K17" s="122">
        <v>174483.91222285159</v>
      </c>
      <c r="L17" s="122">
        <v>0</v>
      </c>
      <c r="M17" s="122">
        <v>206434.01041507535</v>
      </c>
      <c r="N17" s="122">
        <v>0</v>
      </c>
      <c r="O17" s="122">
        <v>256392.45880561566</v>
      </c>
      <c r="P17" s="122">
        <v>0</v>
      </c>
      <c r="Q17" s="122">
        <v>166473.17758012205</v>
      </c>
      <c r="R17" s="122">
        <v>0</v>
      </c>
      <c r="S17" s="122">
        <v>169401.46154756928</v>
      </c>
      <c r="T17" s="122">
        <v>0</v>
      </c>
      <c r="U17" s="122">
        <v>177288.20122134819</v>
      </c>
      <c r="V17" s="122">
        <v>0</v>
      </c>
      <c r="W17" s="122">
        <v>167723.76952598957</v>
      </c>
      <c r="X17" s="122">
        <v>0</v>
      </c>
      <c r="Y17" s="122">
        <v>166625.40048921225</v>
      </c>
      <c r="Z17" s="122">
        <v>0</v>
      </c>
      <c r="AA17" s="122">
        <v>172467.1539693042</v>
      </c>
      <c r="AB17" s="122">
        <v>0</v>
      </c>
      <c r="AC17" s="122">
        <v>172535.44741946264</v>
      </c>
      <c r="AD17" s="122">
        <v>0</v>
      </c>
      <c r="AE17" s="122">
        <v>171340.37590627762</v>
      </c>
      <c r="AF17" s="122">
        <v>0</v>
      </c>
      <c r="AG17" s="122">
        <v>166753.36002313709</v>
      </c>
      <c r="AH17" s="122">
        <v>0</v>
      </c>
      <c r="AI17" s="122">
        <v>171435.74640657223</v>
      </c>
      <c r="AJ17" s="122">
        <v>0</v>
      </c>
      <c r="AK17" s="122">
        <v>178169.14655688172</v>
      </c>
      <c r="AL17" s="122">
        <v>0</v>
      </c>
      <c r="AM17" s="122">
        <v>206434.01041507535</v>
      </c>
      <c r="AN17" s="122">
        <v>0</v>
      </c>
      <c r="AO17" s="122">
        <v>185575.7771014327</v>
      </c>
      <c r="AP17" s="122">
        <v>0</v>
      </c>
      <c r="AQ17" s="122">
        <v>199471.60630153812</v>
      </c>
      <c r="AR17" s="122">
        <v>0</v>
      </c>
      <c r="AS17" s="122">
        <v>202623.56992850988</v>
      </c>
      <c r="AT17" s="122">
        <v>0</v>
      </c>
      <c r="AU17" s="122">
        <v>192295.39909611337</v>
      </c>
      <c r="AV17" s="122">
        <v>0</v>
      </c>
      <c r="AW17" s="122">
        <v>199654.53392760106</v>
      </c>
      <c r="AX17" s="122">
        <v>0</v>
      </c>
      <c r="AY17" s="122">
        <v>205900.8674597202</v>
      </c>
      <c r="AZ17" s="122">
        <v>0</v>
      </c>
      <c r="BA17" s="122">
        <v>201340.68296425458</v>
      </c>
      <c r="BB17" s="122">
        <v>0</v>
      </c>
      <c r="BC17" s="122">
        <v>207933.28054946574</v>
      </c>
      <c r="BD17" s="122">
        <v>0</v>
      </c>
      <c r="BE17" s="122">
        <v>218550.08543196594</v>
      </c>
      <c r="BF17" s="122">
        <v>0</v>
      </c>
      <c r="BG17" s="122">
        <v>220202.93064041439</v>
      </c>
      <c r="BH17" s="122">
        <v>0</v>
      </c>
      <c r="BI17" s="122">
        <v>224090.38997476705</v>
      </c>
      <c r="BJ17" s="122">
        <v>0</v>
      </c>
      <c r="BK17" s="122">
        <v>256392.45880561566</v>
      </c>
      <c r="BL17" s="122">
        <v>0</v>
      </c>
      <c r="BM17" s="122">
        <v>212279.0587176861</v>
      </c>
      <c r="BN17" s="122">
        <v>0</v>
      </c>
      <c r="BO17" s="122">
        <v>217963.34294971044</v>
      </c>
      <c r="BP17" s="122">
        <v>0</v>
      </c>
      <c r="BQ17" s="122">
        <v>223341.45384782791</v>
      </c>
      <c r="BR17" s="122">
        <v>0</v>
      </c>
      <c r="BS17" s="122">
        <v>213630.69856003468</v>
      </c>
      <c r="BT17" s="122">
        <v>0</v>
      </c>
      <c r="BU17" s="122">
        <v>247984.88772388347</v>
      </c>
      <c r="BV17" s="122">
        <v>0</v>
      </c>
      <c r="BW17" s="122">
        <v>251329.64174138338</v>
      </c>
      <c r="BX17" s="122">
        <v>0</v>
      </c>
      <c r="BY17" s="122">
        <v>255742.18395737972</v>
      </c>
      <c r="BZ17" s="122">
        <v>0</v>
      </c>
      <c r="CA17" s="122">
        <v>251752.36165582167</v>
      </c>
      <c r="CB17" s="122">
        <v>0</v>
      </c>
      <c r="CC17" s="122">
        <v>256661.86493742277</v>
      </c>
      <c r="CD17" s="122">
        <v>0</v>
      </c>
      <c r="CE17" s="122">
        <v>261577.30050844376</v>
      </c>
      <c r="CF17" s="122">
        <v>0</v>
      </c>
      <c r="CG17" s="122">
        <v>277967.41616282501</v>
      </c>
      <c r="CH17" s="122">
        <v>0</v>
      </c>
      <c r="CI17" s="122">
        <v>308385.52350153535</v>
      </c>
      <c r="CJ17" s="122">
        <v>0</v>
      </c>
      <c r="CK17" s="122">
        <v>249433.30404182189</v>
      </c>
      <c r="CL17" s="122">
        <v>0</v>
      </c>
      <c r="CM17" s="122">
        <v>248713.56765642841</v>
      </c>
      <c r="CN17" s="122">
        <v>0</v>
      </c>
      <c r="CO17" s="122">
        <v>266194.52203421091</v>
      </c>
      <c r="CP17" s="122">
        <v>0</v>
      </c>
      <c r="CQ17" s="122">
        <v>251567.67447319801</v>
      </c>
      <c r="CR17" s="122">
        <v>0</v>
      </c>
      <c r="CS17" s="122">
        <v>264008.07511813211</v>
      </c>
      <c r="CT17" s="122">
        <v>0</v>
      </c>
      <c r="CU17" s="122">
        <v>284374.85858132003</v>
      </c>
      <c r="CV17" s="122">
        <v>0</v>
      </c>
      <c r="CW17" s="122">
        <v>272686.17977606104</v>
      </c>
      <c r="CX17" s="122">
        <v>0</v>
      </c>
      <c r="CY17" s="122">
        <v>285238.69561829005</v>
      </c>
      <c r="CZ17" s="122">
        <v>0</v>
      </c>
      <c r="DA17" s="122">
        <v>293698.61427436984</v>
      </c>
      <c r="DB17" s="122">
        <v>0</v>
      </c>
      <c r="DC17" s="122">
        <v>301738.10193390056</v>
      </c>
      <c r="DD17" s="122">
        <v>0</v>
      </c>
      <c r="DE17" s="122">
        <v>314390.78059000999</v>
      </c>
      <c r="DF17" s="122">
        <v>0</v>
      </c>
      <c r="DG17" s="122">
        <v>387608.35066910344</v>
      </c>
      <c r="DH17" s="122">
        <v>0</v>
      </c>
      <c r="DI17" s="122">
        <v>295411.76785458566</v>
      </c>
      <c r="DJ17" s="122">
        <v>0</v>
      </c>
      <c r="DK17" s="122">
        <v>293922.3582043756</v>
      </c>
      <c r="DL17" s="122">
        <v>0</v>
      </c>
      <c r="DM17" s="122">
        <v>355420.22560386744</v>
      </c>
      <c r="DN17" s="122">
        <v>0</v>
      </c>
      <c r="DO17" s="122">
        <v>312341.36721022398</v>
      </c>
      <c r="DP17" s="122">
        <v>0</v>
      </c>
      <c r="DQ17" s="122">
        <v>333733.7424639223</v>
      </c>
      <c r="DR17" s="122">
        <v>0</v>
      </c>
      <c r="DS17" s="122">
        <v>364310.02923746366</v>
      </c>
      <c r="DT17" s="122">
        <v>0</v>
      </c>
      <c r="DU17" s="122">
        <v>354492.03245173907</v>
      </c>
      <c r="DV17" s="122">
        <v>0</v>
      </c>
      <c r="DW17" s="122">
        <v>363040.42178065941</v>
      </c>
      <c r="DX17" s="122">
        <v>0</v>
      </c>
      <c r="DY17" s="122">
        <v>378508.05685979064</v>
      </c>
      <c r="DZ17" s="122">
        <v>0</v>
      </c>
      <c r="EA17" s="122">
        <v>368714.36351517838</v>
      </c>
      <c r="EB17" s="122">
        <v>0</v>
      </c>
      <c r="EC17" s="122">
        <v>388642.92535699334</v>
      </c>
      <c r="ED17" s="122">
        <v>0</v>
      </c>
      <c r="EE17" s="122">
        <v>489137.21288733772</v>
      </c>
      <c r="EF17" s="122">
        <v>0</v>
      </c>
      <c r="EG17" s="122">
        <v>361513.5660524288</v>
      </c>
      <c r="EH17" s="122">
        <v>0</v>
      </c>
      <c r="EI17" s="122">
        <v>366058.38970368146</v>
      </c>
      <c r="EJ17" s="122">
        <v>0</v>
      </c>
      <c r="EK17" s="122">
        <v>371604.15323391632</v>
      </c>
      <c r="EL17" s="122">
        <v>0</v>
      </c>
      <c r="EM17" s="122">
        <v>343618.00159446971</v>
      </c>
      <c r="EN17" s="122">
        <v>0</v>
      </c>
      <c r="EO17" s="122">
        <v>348133.10151057749</v>
      </c>
      <c r="EP17" s="122">
        <v>0</v>
      </c>
      <c r="EQ17" s="122">
        <v>422994.90226890921</v>
      </c>
      <c r="ER17" s="122">
        <v>0</v>
      </c>
      <c r="ES17" s="122">
        <v>416562.98173048632</v>
      </c>
      <c r="ET17" s="122">
        <v>0</v>
      </c>
      <c r="EU17" s="122">
        <v>433255.33365365764</v>
      </c>
      <c r="EV17" s="122">
        <v>0</v>
      </c>
      <c r="EW17" s="122">
        <v>455237.95699148445</v>
      </c>
      <c r="EX17" s="122">
        <v>0</v>
      </c>
      <c r="EY17" s="122">
        <v>443972.24868247967</v>
      </c>
      <c r="EZ17" s="122">
        <v>0</v>
      </c>
      <c r="FA17" s="122">
        <v>462376.85213117482</v>
      </c>
      <c r="FB17" s="122">
        <v>0</v>
      </c>
      <c r="FC17" s="122">
        <v>476676.60693258088</v>
      </c>
      <c r="FD17" s="122">
        <v>0</v>
      </c>
      <c r="FE17" s="122">
        <v>387897.07590297749</v>
      </c>
      <c r="FF17" s="122">
        <v>0</v>
      </c>
      <c r="FG17" s="122">
        <v>418485.99173078494</v>
      </c>
      <c r="FH17" s="122">
        <v>0</v>
      </c>
      <c r="FI17" s="122">
        <v>412519.68408914836</v>
      </c>
      <c r="FJ17" s="122">
        <v>0</v>
      </c>
      <c r="FK17" s="122">
        <v>399474.93493412121</v>
      </c>
      <c r="FL17" s="122">
        <v>0</v>
      </c>
      <c r="FM17" s="122">
        <v>417220.39465923555</v>
      </c>
      <c r="FN17" s="122">
        <v>0</v>
      </c>
      <c r="FO17" s="122">
        <v>405993.36685210239</v>
      </c>
      <c r="FP17" s="122">
        <v>0</v>
      </c>
      <c r="FQ17" s="122">
        <v>430461.12150446675</v>
      </c>
      <c r="FR17" s="122">
        <v>0</v>
      </c>
      <c r="FS17" s="122">
        <v>443498.49405571329</v>
      </c>
      <c r="FT17" s="122">
        <v>0</v>
      </c>
      <c r="FU17" s="122">
        <v>445388.24325596885</v>
      </c>
      <c r="FV17" s="122">
        <v>0</v>
      </c>
      <c r="FW17" s="122">
        <v>431167.99674979126</v>
      </c>
      <c r="FX17" s="122">
        <v>0</v>
      </c>
      <c r="FY17" s="122">
        <v>450125.74102234561</v>
      </c>
      <c r="FZ17" s="122">
        <v>0</v>
      </c>
      <c r="GA17" s="122">
        <v>455318.09261867538</v>
      </c>
      <c r="GB17" s="122">
        <v>0</v>
      </c>
      <c r="GC17" s="122">
        <v>289346.28084351931</v>
      </c>
      <c r="GD17" s="122">
        <v>0</v>
      </c>
      <c r="GE17" s="122">
        <v>368032.44359327439</v>
      </c>
      <c r="GF17" s="122">
        <v>0</v>
      </c>
      <c r="GG17" s="122">
        <v>406508.67406853801</v>
      </c>
      <c r="GH17" s="122">
        <v>0</v>
      </c>
      <c r="GI17" s="122">
        <v>375090.15961298568</v>
      </c>
      <c r="GJ17" s="122">
        <v>0</v>
      </c>
      <c r="GK17" s="122">
        <v>389609.00196639029</v>
      </c>
      <c r="GL17" s="122">
        <v>0</v>
      </c>
      <c r="GM17" s="122">
        <v>418968.11931489862</v>
      </c>
      <c r="GN17" s="122">
        <v>0</v>
      </c>
      <c r="GO17" s="122">
        <v>388030.56813912565</v>
      </c>
      <c r="GP17" s="122">
        <v>0</v>
      </c>
      <c r="GQ17" s="122">
        <v>406396.75752502872</v>
      </c>
      <c r="GR17" s="122">
        <v>0</v>
      </c>
      <c r="GS17" s="122">
        <v>323367.69654357608</v>
      </c>
      <c r="GT17" s="122">
        <v>0</v>
      </c>
      <c r="GU17" s="122">
        <v>310451.44513948885</v>
      </c>
      <c r="GV17" s="122">
        <v>0</v>
      </c>
      <c r="GW17" s="122">
        <v>324538.19893112889</v>
      </c>
      <c r="GX17" s="122">
        <v>0</v>
      </c>
      <c r="GY17" s="122">
        <v>378161.20403758984</v>
      </c>
      <c r="GZ17" s="122">
        <v>0</v>
      </c>
      <c r="HA17" s="122">
        <v>328841.1831641391</v>
      </c>
      <c r="HB17" s="122">
        <v>0</v>
      </c>
      <c r="HC17" s="122">
        <v>337667.97393611219</v>
      </c>
      <c r="HD17" s="122">
        <v>0</v>
      </c>
      <c r="HE17" s="122">
        <v>360956.80964642944</v>
      </c>
      <c r="HF17" s="122">
        <v>0</v>
      </c>
      <c r="HG17" s="122">
        <v>351865.62821467215</v>
      </c>
      <c r="HH17" s="122">
        <v>0</v>
      </c>
      <c r="HI17" s="122">
        <v>355548.16192710673</v>
      </c>
      <c r="HJ17" s="122">
        <v>0</v>
      </c>
      <c r="HK17" s="122">
        <v>372315.60133924242</v>
      </c>
      <c r="HL17" s="122">
        <v>0</v>
      </c>
      <c r="HM17" s="122">
        <v>352371.10456827271</v>
      </c>
      <c r="HN17" s="122">
        <v>0</v>
      </c>
      <c r="HO17" s="122">
        <v>366508.53651186847</v>
      </c>
      <c r="HP17" s="122">
        <v>0</v>
      </c>
      <c r="HQ17" s="122">
        <v>392654.582848583</v>
      </c>
      <c r="HR17" s="122">
        <v>0</v>
      </c>
      <c r="HS17" s="122">
        <v>381737.57646865729</v>
      </c>
      <c r="HT17" s="122">
        <v>0</v>
      </c>
      <c r="HU17" s="122">
        <v>399944.62298370979</v>
      </c>
      <c r="HV17" s="122">
        <v>0</v>
      </c>
      <c r="HW17" s="122">
        <v>518314.48944265058</v>
      </c>
      <c r="HX17" s="122">
        <v>0</v>
      </c>
      <c r="HY17" s="122">
        <v>406311.34187025274</v>
      </c>
    </row>
    <row r="18" spans="2:233" x14ac:dyDescent="0.55000000000000004">
      <c r="B18" s="21">
        <v>6.1</v>
      </c>
      <c r="C18" s="28" t="s">
        <v>668</v>
      </c>
      <c r="D18" s="122">
        <v>0</v>
      </c>
      <c r="E18" s="122">
        <v>72085.124871650711</v>
      </c>
      <c r="F18" s="122">
        <v>0</v>
      </c>
      <c r="G18" s="122">
        <v>95170.811488746593</v>
      </c>
      <c r="H18" s="122">
        <v>0</v>
      </c>
      <c r="I18" s="122">
        <v>135293.86336727289</v>
      </c>
      <c r="J18" s="122">
        <v>0</v>
      </c>
      <c r="K18" s="122">
        <v>156449.57572834109</v>
      </c>
      <c r="L18" s="122">
        <v>0</v>
      </c>
      <c r="M18" s="122">
        <v>183465.20612755683</v>
      </c>
      <c r="N18" s="122">
        <v>0</v>
      </c>
      <c r="O18" s="122">
        <v>232620.40092045415</v>
      </c>
      <c r="P18" s="122">
        <v>0</v>
      </c>
      <c r="Q18" s="122">
        <v>147302.51285418018</v>
      </c>
      <c r="R18" s="122">
        <v>0</v>
      </c>
      <c r="S18" s="122">
        <v>149265.91979310429</v>
      </c>
      <c r="T18" s="122">
        <v>0</v>
      </c>
      <c r="U18" s="122">
        <v>156343.2422219858</v>
      </c>
      <c r="V18" s="122">
        <v>0</v>
      </c>
      <c r="W18" s="122">
        <v>147260.83901892038</v>
      </c>
      <c r="X18" s="122">
        <v>0</v>
      </c>
      <c r="Y18" s="122">
        <v>147377.49582904539</v>
      </c>
      <c r="Z18" s="122">
        <v>0</v>
      </c>
      <c r="AA18" s="122">
        <v>152187.1827090357</v>
      </c>
      <c r="AB18" s="122">
        <v>0</v>
      </c>
      <c r="AC18" s="122">
        <v>153332.35801738847</v>
      </c>
      <c r="AD18" s="122">
        <v>0</v>
      </c>
      <c r="AE18" s="122">
        <v>150808.51504187283</v>
      </c>
      <c r="AF18" s="122">
        <v>0</v>
      </c>
      <c r="AG18" s="122">
        <v>146816.8488665371</v>
      </c>
      <c r="AH18" s="122">
        <v>0</v>
      </c>
      <c r="AI18" s="122">
        <v>151587.63975440222</v>
      </c>
      <c r="AJ18" s="122">
        <v>0</v>
      </c>
      <c r="AK18" s="122">
        <v>158014.39728113214</v>
      </c>
      <c r="AL18" s="122">
        <v>0</v>
      </c>
      <c r="AM18" s="122">
        <v>183465.20612755683</v>
      </c>
      <c r="AN18" s="122">
        <v>0</v>
      </c>
      <c r="AO18" s="122">
        <v>160838.10095019967</v>
      </c>
      <c r="AP18" s="122">
        <v>0</v>
      </c>
      <c r="AQ18" s="122">
        <v>173231.68587118498</v>
      </c>
      <c r="AR18" s="122">
        <v>0</v>
      </c>
      <c r="AS18" s="122">
        <v>176615.23811963518</v>
      </c>
      <c r="AT18" s="122">
        <v>0</v>
      </c>
      <c r="AU18" s="122">
        <v>167318.90549745486</v>
      </c>
      <c r="AV18" s="122">
        <v>0</v>
      </c>
      <c r="AW18" s="122">
        <v>172189.88089558447</v>
      </c>
      <c r="AX18" s="122">
        <v>0</v>
      </c>
      <c r="AY18" s="122">
        <v>181413.19645234689</v>
      </c>
      <c r="AZ18" s="122">
        <v>0</v>
      </c>
      <c r="BA18" s="122">
        <v>178058.53535961831</v>
      </c>
      <c r="BB18" s="122">
        <v>0</v>
      </c>
      <c r="BC18" s="122">
        <v>185026.22327253391</v>
      </c>
      <c r="BD18" s="122">
        <v>0</v>
      </c>
      <c r="BE18" s="122">
        <v>195402.40210597595</v>
      </c>
      <c r="BF18" s="122">
        <v>0</v>
      </c>
      <c r="BG18" s="122">
        <v>197117.73921688588</v>
      </c>
      <c r="BH18" s="122">
        <v>0</v>
      </c>
      <c r="BI18" s="122">
        <v>201260.90532930385</v>
      </c>
      <c r="BJ18" s="122">
        <v>0</v>
      </c>
      <c r="BK18" s="122">
        <v>232620.40092045415</v>
      </c>
      <c r="BL18" s="122">
        <v>0</v>
      </c>
      <c r="BM18" s="122">
        <v>188942.02047941289</v>
      </c>
      <c r="BN18" s="122">
        <v>0</v>
      </c>
      <c r="BO18" s="122">
        <v>193345.22359910473</v>
      </c>
      <c r="BP18" s="122">
        <v>0</v>
      </c>
      <c r="BQ18" s="122">
        <v>194119.75601001366</v>
      </c>
      <c r="BR18" s="122">
        <v>0</v>
      </c>
      <c r="BS18" s="122">
        <v>188281.07021906759</v>
      </c>
      <c r="BT18" s="122">
        <v>0</v>
      </c>
      <c r="BU18" s="122">
        <v>223728.96309774587</v>
      </c>
      <c r="BV18" s="122">
        <v>0</v>
      </c>
      <c r="BW18" s="122">
        <v>227073.21454890928</v>
      </c>
      <c r="BX18" s="122">
        <v>0</v>
      </c>
      <c r="BY18" s="122">
        <v>231751.49695307712</v>
      </c>
      <c r="BZ18" s="122">
        <v>0</v>
      </c>
      <c r="CA18" s="122">
        <v>225357.33439212255</v>
      </c>
      <c r="CB18" s="122">
        <v>0</v>
      </c>
      <c r="CC18" s="122">
        <v>232013.26208056213</v>
      </c>
      <c r="CD18" s="122">
        <v>0</v>
      </c>
      <c r="CE18" s="122">
        <v>236797.45856833455</v>
      </c>
      <c r="CF18" s="122">
        <v>0</v>
      </c>
      <c r="CG18" s="122">
        <v>252657.73158488155</v>
      </c>
      <c r="CH18" s="122">
        <v>0</v>
      </c>
      <c r="CI18" s="122">
        <v>283757.47665017634</v>
      </c>
      <c r="CJ18" s="122">
        <v>0</v>
      </c>
      <c r="CK18" s="122">
        <v>223839.57048031152</v>
      </c>
      <c r="CL18" s="122">
        <v>0</v>
      </c>
      <c r="CM18" s="122">
        <v>221698.43205862492</v>
      </c>
      <c r="CN18" s="122">
        <v>0</v>
      </c>
      <c r="CO18" s="122">
        <v>239157.53281508741</v>
      </c>
      <c r="CP18" s="122">
        <v>0</v>
      </c>
      <c r="CQ18" s="122">
        <v>224855.5041460908</v>
      </c>
      <c r="CR18" s="122">
        <v>0</v>
      </c>
      <c r="CS18" s="122">
        <v>235830.04852441634</v>
      </c>
      <c r="CT18" s="122">
        <v>0</v>
      </c>
      <c r="CU18" s="122">
        <v>257027.32597424564</v>
      </c>
      <c r="CV18" s="122">
        <v>0</v>
      </c>
      <c r="CW18" s="122">
        <v>245097.70766964991</v>
      </c>
      <c r="CX18" s="122">
        <v>0</v>
      </c>
      <c r="CY18" s="122">
        <v>256771.52381419658</v>
      </c>
      <c r="CZ18" s="122">
        <v>0</v>
      </c>
      <c r="DA18" s="122">
        <v>266994.2631687863</v>
      </c>
      <c r="DB18" s="122">
        <v>0</v>
      </c>
      <c r="DC18" s="122">
        <v>276093.75918133394</v>
      </c>
      <c r="DD18" s="122">
        <v>0</v>
      </c>
      <c r="DE18" s="122">
        <v>288769.23930809461</v>
      </c>
      <c r="DF18" s="122">
        <v>0</v>
      </c>
      <c r="DG18" s="122">
        <v>361765.64513645531</v>
      </c>
      <c r="DH18" s="122">
        <v>0</v>
      </c>
      <c r="DI18" s="122">
        <v>268205.79971299216</v>
      </c>
      <c r="DJ18" s="122">
        <v>0</v>
      </c>
      <c r="DK18" s="122">
        <v>266561.39824906207</v>
      </c>
      <c r="DL18" s="122">
        <v>0</v>
      </c>
      <c r="DM18" s="122">
        <v>326763.03277399973</v>
      </c>
      <c r="DN18" s="122">
        <v>0</v>
      </c>
      <c r="DO18" s="122">
        <v>283274.93364826753</v>
      </c>
      <c r="DP18" s="122">
        <v>0</v>
      </c>
      <c r="DQ18" s="122">
        <v>302640.99351678917</v>
      </c>
      <c r="DR18" s="122">
        <v>0</v>
      </c>
      <c r="DS18" s="122">
        <v>331175.30614966957</v>
      </c>
      <c r="DT18" s="122">
        <v>0</v>
      </c>
      <c r="DU18" s="122">
        <v>320171.2872547009</v>
      </c>
      <c r="DV18" s="122">
        <v>0</v>
      </c>
      <c r="DW18" s="122">
        <v>328293.5790899967</v>
      </c>
      <c r="DX18" s="122">
        <v>0</v>
      </c>
      <c r="DY18" s="122">
        <v>344225.40886349307</v>
      </c>
      <c r="DZ18" s="122">
        <v>0</v>
      </c>
      <c r="EA18" s="122">
        <v>334253.73245814588</v>
      </c>
      <c r="EB18" s="122">
        <v>0</v>
      </c>
      <c r="EC18" s="122">
        <v>354846.5049967285</v>
      </c>
      <c r="ED18" s="122">
        <v>0</v>
      </c>
      <c r="EE18" s="122">
        <v>454310.2107701003</v>
      </c>
      <c r="EF18" s="122">
        <v>0</v>
      </c>
      <c r="EG18" s="122">
        <v>326561.60166516196</v>
      </c>
      <c r="EH18" s="122">
        <v>0</v>
      </c>
      <c r="EI18" s="122">
        <v>329884.66097599571</v>
      </c>
      <c r="EJ18" s="122">
        <v>0</v>
      </c>
      <c r="EK18" s="122">
        <v>333964.67346161063</v>
      </c>
      <c r="EL18" s="122">
        <v>0</v>
      </c>
      <c r="EM18" s="122">
        <v>305124.22244955011</v>
      </c>
      <c r="EN18" s="122">
        <v>0</v>
      </c>
      <c r="EO18" s="122">
        <v>311222.457107344</v>
      </c>
      <c r="EP18" s="122">
        <v>0</v>
      </c>
      <c r="EQ18" s="122">
        <v>384464.87215117371</v>
      </c>
      <c r="ER18" s="122">
        <v>0</v>
      </c>
      <c r="ES18" s="122">
        <v>374293.42704316165</v>
      </c>
      <c r="ET18" s="122">
        <v>0</v>
      </c>
      <c r="EU18" s="122">
        <v>385280.90697435662</v>
      </c>
      <c r="EV18" s="122">
        <v>0</v>
      </c>
      <c r="EW18" s="122">
        <v>403273.52080314804</v>
      </c>
      <c r="EX18" s="122">
        <v>0</v>
      </c>
      <c r="EY18" s="122">
        <v>389705.95126683818</v>
      </c>
      <c r="EZ18" s="122">
        <v>0</v>
      </c>
      <c r="FA18" s="122">
        <v>407416.53046658332</v>
      </c>
      <c r="FB18" s="122">
        <v>0</v>
      </c>
      <c r="FC18" s="122">
        <v>420949.80523572594</v>
      </c>
      <c r="FD18" s="122">
        <v>0</v>
      </c>
      <c r="FE18" s="122">
        <v>331602.42559540953</v>
      </c>
      <c r="FF18" s="122">
        <v>0</v>
      </c>
      <c r="FG18" s="122">
        <v>361159.93615634774</v>
      </c>
      <c r="FH18" s="122">
        <v>0</v>
      </c>
      <c r="FI18" s="122">
        <v>359464.07783683285</v>
      </c>
      <c r="FJ18" s="122">
        <v>0</v>
      </c>
      <c r="FK18" s="122">
        <v>350956.14048145118</v>
      </c>
      <c r="FL18" s="122">
        <v>0</v>
      </c>
      <c r="FM18" s="122">
        <v>370462.57121687999</v>
      </c>
      <c r="FN18" s="122">
        <v>0</v>
      </c>
      <c r="FO18" s="122">
        <v>362532.09234970686</v>
      </c>
      <c r="FP18" s="122">
        <v>0</v>
      </c>
      <c r="FQ18" s="122">
        <v>387810.93368228123</v>
      </c>
      <c r="FR18" s="122">
        <v>0</v>
      </c>
      <c r="FS18" s="122">
        <v>402658.17999890778</v>
      </c>
      <c r="FT18" s="122">
        <v>0</v>
      </c>
      <c r="FU18" s="122">
        <v>405440.87670312694</v>
      </c>
      <c r="FV18" s="122">
        <v>0</v>
      </c>
      <c r="FW18" s="122">
        <v>390832.87578231836</v>
      </c>
      <c r="FX18" s="122">
        <v>0</v>
      </c>
      <c r="FY18" s="122">
        <v>409913.95851182245</v>
      </c>
      <c r="FZ18" s="122">
        <v>0</v>
      </c>
      <c r="GA18" s="122">
        <v>415281.74479061243</v>
      </c>
      <c r="GB18" s="122">
        <v>0</v>
      </c>
      <c r="GC18" s="122">
        <v>248611.138756865</v>
      </c>
      <c r="GD18" s="122">
        <v>0</v>
      </c>
      <c r="GE18" s="122">
        <v>327012.46587948798</v>
      </c>
      <c r="GF18" s="122">
        <v>0</v>
      </c>
      <c r="GG18" s="122">
        <v>366366.21179900772</v>
      </c>
      <c r="GH18" s="122">
        <v>0</v>
      </c>
      <c r="GI18" s="122">
        <v>335606.86887925537</v>
      </c>
      <c r="GJ18" s="122">
        <v>0</v>
      </c>
      <c r="GK18" s="122">
        <v>351267.78237629001</v>
      </c>
      <c r="GL18" s="122">
        <v>0</v>
      </c>
      <c r="GM18" s="122">
        <v>378483.12935096829</v>
      </c>
      <c r="GN18" s="122">
        <v>0</v>
      </c>
      <c r="GO18" s="122">
        <v>349961.57328358333</v>
      </c>
      <c r="GP18" s="122">
        <v>0</v>
      </c>
      <c r="GQ18" s="122">
        <v>369603.34410288843</v>
      </c>
      <c r="GR18" s="122">
        <v>0</v>
      </c>
      <c r="GS18" s="122">
        <v>285991.79305275372</v>
      </c>
      <c r="GT18" s="122">
        <v>0</v>
      </c>
      <c r="GU18" s="122">
        <v>273567.90261798288</v>
      </c>
      <c r="GV18" s="122">
        <v>0</v>
      </c>
      <c r="GW18" s="122">
        <v>287968.5203356921</v>
      </c>
      <c r="GX18" s="122">
        <v>0</v>
      </c>
      <c r="GY18" s="122">
        <v>340942.74982923386</v>
      </c>
      <c r="GZ18" s="122">
        <v>0</v>
      </c>
      <c r="HA18" s="122">
        <v>290733.36799132306</v>
      </c>
      <c r="HB18" s="122">
        <v>0</v>
      </c>
      <c r="HC18" s="122">
        <v>299793.49930043623</v>
      </c>
      <c r="HD18" s="122">
        <v>0</v>
      </c>
      <c r="HE18" s="122">
        <v>321584.16610496346</v>
      </c>
      <c r="HF18" s="122">
        <v>0</v>
      </c>
      <c r="HG18" s="122">
        <v>312395.31381337618</v>
      </c>
      <c r="HH18" s="122">
        <v>0</v>
      </c>
      <c r="HI18" s="122">
        <v>314474.23505302076</v>
      </c>
      <c r="HJ18" s="122">
        <v>0</v>
      </c>
      <c r="HK18" s="122">
        <v>332924.00830318645</v>
      </c>
      <c r="HL18" s="122">
        <v>0</v>
      </c>
      <c r="HM18" s="122">
        <v>312812.39702360675</v>
      </c>
      <c r="HN18" s="122">
        <v>0</v>
      </c>
      <c r="HO18" s="122">
        <v>324894.55806885666</v>
      </c>
      <c r="HP18" s="122">
        <v>0</v>
      </c>
      <c r="HQ18" s="122">
        <v>350854.94155243121</v>
      </c>
      <c r="HR18" s="122">
        <v>0</v>
      </c>
      <c r="HS18" s="122">
        <v>339735.86700233549</v>
      </c>
      <c r="HT18" s="122">
        <v>0</v>
      </c>
      <c r="HU18" s="122">
        <v>356067.66610379377</v>
      </c>
      <c r="HV18" s="122">
        <v>0</v>
      </c>
      <c r="HW18" s="122">
        <v>477031.54445499828</v>
      </c>
      <c r="HX18" s="122">
        <v>0</v>
      </c>
      <c r="HY18" s="122">
        <v>364781.92386445845</v>
      </c>
    </row>
    <row r="19" spans="2:233" x14ac:dyDescent="0.55000000000000004">
      <c r="B19" s="21">
        <v>6.2</v>
      </c>
      <c r="C19" s="28" t="s">
        <v>669</v>
      </c>
      <c r="D19" s="122">
        <v>0</v>
      </c>
      <c r="E19" s="122">
        <v>8564.1562516700014</v>
      </c>
      <c r="F19" s="122">
        <v>0</v>
      </c>
      <c r="G19" s="122">
        <v>10266.608418559999</v>
      </c>
      <c r="H19" s="122">
        <v>0</v>
      </c>
      <c r="I19" s="122">
        <v>11774.434517020009</v>
      </c>
      <c r="J19" s="122">
        <v>0</v>
      </c>
      <c r="K19" s="122">
        <v>15137.075356450496</v>
      </c>
      <c r="L19" s="122">
        <v>0</v>
      </c>
      <c r="M19" s="122">
        <v>20602.831625808518</v>
      </c>
      <c r="N19" s="122">
        <v>0</v>
      </c>
      <c r="O19" s="122">
        <v>22181.326710251487</v>
      </c>
      <c r="P19" s="122">
        <v>0</v>
      </c>
      <c r="Q19" s="122">
        <v>16099.741384571858</v>
      </c>
      <c r="R19" s="122">
        <v>0</v>
      </c>
      <c r="S19" s="122">
        <v>17067.766857335002</v>
      </c>
      <c r="T19" s="122">
        <v>0</v>
      </c>
      <c r="U19" s="122">
        <v>17007.758590902398</v>
      </c>
      <c r="V19" s="122">
        <v>0</v>
      </c>
      <c r="W19" s="122">
        <v>16819.005307714699</v>
      </c>
      <c r="X19" s="122">
        <v>0</v>
      </c>
      <c r="Y19" s="122">
        <v>16863.614596039901</v>
      </c>
      <c r="Z19" s="122">
        <v>0</v>
      </c>
      <c r="AA19" s="122">
        <v>17738.762554928508</v>
      </c>
      <c r="AB19" s="122">
        <v>0</v>
      </c>
      <c r="AC19" s="122">
        <v>16788.791485974165</v>
      </c>
      <c r="AD19" s="122">
        <v>0</v>
      </c>
      <c r="AE19" s="122">
        <v>17589.04092604481</v>
      </c>
      <c r="AF19" s="122">
        <v>0</v>
      </c>
      <c r="AG19" s="122">
        <v>17992.006149639998</v>
      </c>
      <c r="AH19" s="122">
        <v>0</v>
      </c>
      <c r="AI19" s="122">
        <v>17724.8107341</v>
      </c>
      <c r="AJ19" s="122">
        <v>0</v>
      </c>
      <c r="AK19" s="122">
        <v>17903.70792497959</v>
      </c>
      <c r="AL19" s="122">
        <v>0</v>
      </c>
      <c r="AM19" s="122">
        <v>20602.831625808518</v>
      </c>
      <c r="AN19" s="122">
        <v>0</v>
      </c>
      <c r="AO19" s="122">
        <v>22326.557032983026</v>
      </c>
      <c r="AP19" s="122">
        <v>0</v>
      </c>
      <c r="AQ19" s="122">
        <v>23595.777587423123</v>
      </c>
      <c r="AR19" s="122">
        <v>0</v>
      </c>
      <c r="AS19" s="122">
        <v>23588.721868234701</v>
      </c>
      <c r="AT19" s="122">
        <v>0</v>
      </c>
      <c r="AU19" s="122">
        <v>22777.2012026185</v>
      </c>
      <c r="AV19" s="122">
        <v>0</v>
      </c>
      <c r="AW19" s="122">
        <v>24016.074834336596</v>
      </c>
      <c r="AX19" s="122">
        <v>0</v>
      </c>
      <c r="AY19" s="122">
        <v>22929.374348533322</v>
      </c>
      <c r="AZ19" s="122">
        <v>0</v>
      </c>
      <c r="BA19" s="122">
        <v>21983.914520336271</v>
      </c>
      <c r="BB19" s="122">
        <v>0</v>
      </c>
      <c r="BC19" s="122">
        <v>21578.364892831822</v>
      </c>
      <c r="BD19" s="122">
        <v>0</v>
      </c>
      <c r="BE19" s="122">
        <v>21635.422175750002</v>
      </c>
      <c r="BF19" s="122">
        <v>0</v>
      </c>
      <c r="BG19" s="122">
        <v>21785.650720498503</v>
      </c>
      <c r="BH19" s="122">
        <v>0</v>
      </c>
      <c r="BI19" s="122">
        <v>21650.985146289597</v>
      </c>
      <c r="BJ19" s="122">
        <v>0</v>
      </c>
      <c r="BK19" s="122">
        <v>22181.326710251487</v>
      </c>
      <c r="BL19" s="122">
        <v>0</v>
      </c>
      <c r="BM19" s="122">
        <v>22090.568610753202</v>
      </c>
      <c r="BN19" s="122">
        <v>0</v>
      </c>
      <c r="BO19" s="122">
        <v>23155.4544437857</v>
      </c>
      <c r="BP19" s="122">
        <v>0</v>
      </c>
      <c r="BQ19" s="122">
        <v>23965.588260774235</v>
      </c>
      <c r="BR19" s="122">
        <v>0</v>
      </c>
      <c r="BS19" s="122">
        <v>23633.448319437091</v>
      </c>
      <c r="BT19" s="122">
        <v>0</v>
      </c>
      <c r="BU19" s="122">
        <v>23239.178975827581</v>
      </c>
      <c r="BV19" s="122">
        <v>0</v>
      </c>
      <c r="BW19" s="122">
        <v>22581.338651194099</v>
      </c>
      <c r="BX19" s="122">
        <v>0</v>
      </c>
      <c r="BY19" s="122">
        <v>22321.228112382603</v>
      </c>
      <c r="BZ19" s="122">
        <v>0</v>
      </c>
      <c r="CA19" s="122">
        <v>24643.900166129133</v>
      </c>
      <c r="CB19" s="122">
        <v>0</v>
      </c>
      <c r="CC19" s="122">
        <v>22814.170102350636</v>
      </c>
      <c r="CD19" s="122">
        <v>0</v>
      </c>
      <c r="CE19" s="122">
        <v>23028.756329379226</v>
      </c>
      <c r="CF19" s="122">
        <v>0</v>
      </c>
      <c r="CG19" s="122">
        <v>23926.530938403463</v>
      </c>
      <c r="CH19" s="122">
        <v>0</v>
      </c>
      <c r="CI19" s="122">
        <v>23251.66990875902</v>
      </c>
      <c r="CJ19" s="122">
        <v>0</v>
      </c>
      <c r="CK19" s="122">
        <v>24057.088301590342</v>
      </c>
      <c r="CL19" s="122">
        <v>0</v>
      </c>
      <c r="CM19" s="122">
        <v>25585.950475413501</v>
      </c>
      <c r="CN19" s="122">
        <v>0</v>
      </c>
      <c r="CO19" s="122">
        <v>25464.936003303505</v>
      </c>
      <c r="CP19" s="122">
        <v>0</v>
      </c>
      <c r="CQ19" s="122">
        <v>25207.659866627211</v>
      </c>
      <c r="CR19" s="122">
        <v>0</v>
      </c>
      <c r="CS19" s="122">
        <v>26262.884456505759</v>
      </c>
      <c r="CT19" s="122">
        <v>0</v>
      </c>
      <c r="CU19" s="122">
        <v>25307.322946124397</v>
      </c>
      <c r="CV19" s="122">
        <v>0</v>
      </c>
      <c r="CW19" s="122">
        <v>25520.858805321117</v>
      </c>
      <c r="CX19" s="122">
        <v>0</v>
      </c>
      <c r="CY19" s="122">
        <v>26003.881793853496</v>
      </c>
      <c r="CZ19" s="122">
        <v>0</v>
      </c>
      <c r="DA19" s="122">
        <v>25030.849087123504</v>
      </c>
      <c r="DB19" s="122">
        <v>0</v>
      </c>
      <c r="DC19" s="122">
        <v>24229.820338176625</v>
      </c>
      <c r="DD19" s="122">
        <v>0</v>
      </c>
      <c r="DE19" s="122">
        <v>23598.29171582538</v>
      </c>
      <c r="DF19" s="122">
        <v>0</v>
      </c>
      <c r="DG19" s="122">
        <v>23727.255245718105</v>
      </c>
      <c r="DH19" s="122">
        <v>0</v>
      </c>
      <c r="DI19" s="122">
        <v>24725.940112083499</v>
      </c>
      <c r="DJ19" s="122">
        <v>0</v>
      </c>
      <c r="DK19" s="122">
        <v>25064.314872713501</v>
      </c>
      <c r="DL19" s="122">
        <v>0</v>
      </c>
      <c r="DM19" s="122">
        <v>26320.394646167675</v>
      </c>
      <c r="DN19" s="122">
        <v>0</v>
      </c>
      <c r="DO19" s="122">
        <v>26734.48181067903</v>
      </c>
      <c r="DP19" s="122">
        <v>0</v>
      </c>
      <c r="DQ19" s="122">
        <v>28553.065812023127</v>
      </c>
      <c r="DR19" s="122">
        <v>0</v>
      </c>
      <c r="DS19" s="122">
        <v>30803.986843436407</v>
      </c>
      <c r="DT19" s="122">
        <v>0</v>
      </c>
      <c r="DU19" s="122">
        <v>31654.692432598142</v>
      </c>
      <c r="DV19" s="122">
        <v>0</v>
      </c>
      <c r="DW19" s="122">
        <v>31662.64031958659</v>
      </c>
      <c r="DX19" s="122">
        <v>0</v>
      </c>
      <c r="DY19" s="122">
        <v>31680.576784937588</v>
      </c>
      <c r="DZ19" s="122">
        <v>0</v>
      </c>
      <c r="EA19" s="122">
        <v>31821.726807622497</v>
      </c>
      <c r="EB19" s="122">
        <v>0</v>
      </c>
      <c r="EC19" s="122">
        <v>31433.593658754817</v>
      </c>
      <c r="ED19" s="122">
        <v>0</v>
      </c>
      <c r="EE19" s="122">
        <v>32625.040939737399</v>
      </c>
      <c r="EF19" s="122">
        <v>0</v>
      </c>
      <c r="EG19" s="122">
        <v>32312.880089586823</v>
      </c>
      <c r="EH19" s="122">
        <v>0</v>
      </c>
      <c r="EI19" s="122">
        <v>33594.996849945768</v>
      </c>
      <c r="EJ19" s="122">
        <v>0</v>
      </c>
      <c r="EK19" s="122">
        <v>34853.022028475738</v>
      </c>
      <c r="EL19" s="122">
        <v>0</v>
      </c>
      <c r="EM19" s="122">
        <v>35884.196149819581</v>
      </c>
      <c r="EN19" s="122">
        <v>0</v>
      </c>
      <c r="EO19" s="122">
        <v>34086.015947933498</v>
      </c>
      <c r="EP19" s="122">
        <v>0</v>
      </c>
      <c r="EQ19" s="122">
        <v>36016.831976155503</v>
      </c>
      <c r="ER19" s="122">
        <v>0</v>
      </c>
      <c r="ES19" s="122">
        <v>39603.489883864706</v>
      </c>
      <c r="ET19" s="122">
        <v>0</v>
      </c>
      <c r="EU19" s="122">
        <v>44756.166989651043</v>
      </c>
      <c r="EV19" s="122">
        <v>0</v>
      </c>
      <c r="EW19" s="122">
        <v>49267.669047926393</v>
      </c>
      <c r="EX19" s="122">
        <v>0</v>
      </c>
      <c r="EY19" s="122">
        <v>50788.120165241504</v>
      </c>
      <c r="EZ19" s="122">
        <v>0</v>
      </c>
      <c r="FA19" s="122">
        <v>52081.11296350148</v>
      </c>
      <c r="FB19" s="122">
        <v>0</v>
      </c>
      <c r="FC19" s="122">
        <v>52636.174296604913</v>
      </c>
      <c r="FD19" s="122">
        <v>0</v>
      </c>
      <c r="FE19" s="122">
        <v>53471.109170615491</v>
      </c>
      <c r="FF19" s="122">
        <v>0</v>
      </c>
      <c r="FG19" s="122">
        <v>54521.707000577197</v>
      </c>
      <c r="FH19" s="122">
        <v>0</v>
      </c>
      <c r="FI19" s="122">
        <v>50091.069175125493</v>
      </c>
      <c r="FJ19" s="122">
        <v>0</v>
      </c>
      <c r="FK19" s="122">
        <v>45877.670285975495</v>
      </c>
      <c r="FL19" s="122">
        <v>0</v>
      </c>
      <c r="FM19" s="122">
        <v>43880.333029225505</v>
      </c>
      <c r="FN19" s="122">
        <v>0</v>
      </c>
      <c r="FO19" s="122">
        <v>40086.504920615502</v>
      </c>
      <c r="FP19" s="122">
        <v>0</v>
      </c>
      <c r="FQ19" s="122">
        <v>39836.825325395497</v>
      </c>
      <c r="FR19" s="122">
        <v>0</v>
      </c>
      <c r="FS19" s="122">
        <v>40177.361160745495</v>
      </c>
      <c r="FT19" s="122">
        <v>0</v>
      </c>
      <c r="FU19" s="122">
        <v>39393.476420051898</v>
      </c>
      <c r="FV19" s="122">
        <v>0</v>
      </c>
      <c r="FW19" s="122">
        <v>39755.117334892901</v>
      </c>
      <c r="FX19" s="122">
        <v>0</v>
      </c>
      <c r="FY19" s="122">
        <v>39762.299961572891</v>
      </c>
      <c r="FZ19" s="122">
        <v>0</v>
      </c>
      <c r="GA19" s="122">
        <v>39354.119120422896</v>
      </c>
      <c r="GB19" s="122">
        <v>0</v>
      </c>
      <c r="GC19" s="122">
        <v>39838.337756274297</v>
      </c>
      <c r="GD19" s="122">
        <v>0</v>
      </c>
      <c r="GE19" s="122">
        <v>39716.6712446163</v>
      </c>
      <c r="GF19" s="122">
        <v>0</v>
      </c>
      <c r="GG19" s="122">
        <v>39114.582957790299</v>
      </c>
      <c r="GH19" s="122">
        <v>0</v>
      </c>
      <c r="GI19" s="122">
        <v>38484.562488380296</v>
      </c>
      <c r="GJ19" s="122">
        <v>0</v>
      </c>
      <c r="GK19" s="122">
        <v>37528.423671450299</v>
      </c>
      <c r="GL19" s="122">
        <v>0</v>
      </c>
      <c r="GM19" s="122">
        <v>37622.919413780299</v>
      </c>
      <c r="GN19" s="122">
        <v>0</v>
      </c>
      <c r="GO19" s="122">
        <v>36458.607866802296</v>
      </c>
      <c r="GP19" s="122">
        <v>0</v>
      </c>
      <c r="GQ19" s="122">
        <v>35822.2419448703</v>
      </c>
      <c r="GR19" s="122">
        <v>0</v>
      </c>
      <c r="GS19" s="122">
        <v>36282.204720222304</v>
      </c>
      <c r="GT19" s="122">
        <v>0</v>
      </c>
      <c r="GU19" s="122">
        <v>36202.128612516004</v>
      </c>
      <c r="GV19" s="122">
        <v>0</v>
      </c>
      <c r="GW19" s="122">
        <v>35909.099849126789</v>
      </c>
      <c r="GX19" s="122">
        <v>0</v>
      </c>
      <c r="GY19" s="122">
        <v>36582.24984730599</v>
      </c>
      <c r="GZ19" s="122">
        <v>0</v>
      </c>
      <c r="HA19" s="122">
        <v>37394.704156186002</v>
      </c>
      <c r="HB19" s="122">
        <v>0</v>
      </c>
      <c r="HC19" s="122">
        <v>37074.671794135938</v>
      </c>
      <c r="HD19" s="122">
        <v>0</v>
      </c>
      <c r="HE19" s="122">
        <v>38040.337674046001</v>
      </c>
      <c r="HF19" s="122">
        <v>0</v>
      </c>
      <c r="HG19" s="122">
        <v>38722.019478296002</v>
      </c>
      <c r="HH19" s="122">
        <v>0</v>
      </c>
      <c r="HI19" s="122">
        <v>39055.112000876012</v>
      </c>
      <c r="HJ19" s="122">
        <v>0</v>
      </c>
      <c r="HK19" s="122">
        <v>38720.896110665984</v>
      </c>
      <c r="HL19" s="122">
        <v>0</v>
      </c>
      <c r="HM19" s="122">
        <v>38701.196175746001</v>
      </c>
      <c r="HN19" s="122">
        <v>0</v>
      </c>
      <c r="HO19" s="122">
        <v>40160.09331122179</v>
      </c>
      <c r="HP19" s="122">
        <v>0</v>
      </c>
      <c r="HQ19" s="122">
        <v>41070.074419181794</v>
      </c>
      <c r="HR19" s="122">
        <v>0</v>
      </c>
      <c r="HS19" s="122">
        <v>41209.236398011795</v>
      </c>
      <c r="HT19" s="122">
        <v>0</v>
      </c>
      <c r="HU19" s="122">
        <v>42512.682835666012</v>
      </c>
      <c r="HV19" s="122">
        <v>0</v>
      </c>
      <c r="HW19" s="122">
        <v>39974.05386409229</v>
      </c>
      <c r="HX19" s="122">
        <v>0</v>
      </c>
      <c r="HY19" s="122">
        <v>40537.588400584296</v>
      </c>
    </row>
    <row r="20" spans="2:233" x14ac:dyDescent="0.55000000000000004">
      <c r="B20" s="21">
        <v>6.3</v>
      </c>
      <c r="C20" s="28" t="s">
        <v>666</v>
      </c>
      <c r="D20" s="122">
        <v>0</v>
      </c>
      <c r="E20" s="122">
        <v>893.80046870499996</v>
      </c>
      <c r="F20" s="122">
        <v>0</v>
      </c>
      <c r="G20" s="122">
        <v>1027.2236089599999</v>
      </c>
      <c r="H20" s="122">
        <v>0</v>
      </c>
      <c r="I20" s="122">
        <v>2162.9347691399998</v>
      </c>
      <c r="J20" s="122">
        <v>0</v>
      </c>
      <c r="K20" s="122">
        <v>2897.2611380599997</v>
      </c>
      <c r="L20" s="122">
        <v>0</v>
      </c>
      <c r="M20" s="122">
        <v>2365.9726617099996</v>
      </c>
      <c r="N20" s="122">
        <v>0</v>
      </c>
      <c r="O20" s="122">
        <v>1590.7311749100284</v>
      </c>
      <c r="P20" s="122">
        <v>0</v>
      </c>
      <c r="Q20" s="122">
        <v>3070.9233413699999</v>
      </c>
      <c r="R20" s="122">
        <v>0</v>
      </c>
      <c r="S20" s="122">
        <v>3067.7748971299993</v>
      </c>
      <c r="T20" s="122">
        <v>0</v>
      </c>
      <c r="U20" s="122">
        <v>3937.2004084600012</v>
      </c>
      <c r="V20" s="122">
        <v>0</v>
      </c>
      <c r="W20" s="122">
        <v>3643.9251993545004</v>
      </c>
      <c r="X20" s="122">
        <v>0</v>
      </c>
      <c r="Y20" s="122">
        <v>2384.2900641269598</v>
      </c>
      <c r="Z20" s="122">
        <v>0</v>
      </c>
      <c r="AA20" s="122">
        <v>2541.2087053400001</v>
      </c>
      <c r="AB20" s="122">
        <v>0</v>
      </c>
      <c r="AC20" s="122">
        <v>2414.2979160999998</v>
      </c>
      <c r="AD20" s="122">
        <v>0</v>
      </c>
      <c r="AE20" s="122">
        <v>2942.8199383599999</v>
      </c>
      <c r="AF20" s="122">
        <v>0</v>
      </c>
      <c r="AG20" s="122">
        <v>1944.5050069600002</v>
      </c>
      <c r="AH20" s="122">
        <v>0</v>
      </c>
      <c r="AI20" s="122">
        <v>2123.2959180700004</v>
      </c>
      <c r="AJ20" s="122">
        <v>0</v>
      </c>
      <c r="AK20" s="122">
        <v>2251.0413507699996</v>
      </c>
      <c r="AL20" s="122">
        <v>0</v>
      </c>
      <c r="AM20" s="122">
        <v>2365.9726617099996</v>
      </c>
      <c r="AN20" s="122">
        <v>0</v>
      </c>
      <c r="AO20" s="122">
        <v>2411.1191182499997</v>
      </c>
      <c r="AP20" s="122">
        <v>0</v>
      </c>
      <c r="AQ20" s="122">
        <v>2644.1428429299999</v>
      </c>
      <c r="AR20" s="122">
        <v>0</v>
      </c>
      <c r="AS20" s="122">
        <v>2419.6099406399999</v>
      </c>
      <c r="AT20" s="122">
        <v>0</v>
      </c>
      <c r="AU20" s="122">
        <v>2199.2923960400003</v>
      </c>
      <c r="AV20" s="122">
        <v>0</v>
      </c>
      <c r="AW20" s="122">
        <v>3448.5781976799999</v>
      </c>
      <c r="AX20" s="122">
        <v>0</v>
      </c>
      <c r="AY20" s="122">
        <v>1558.2966588400002</v>
      </c>
      <c r="AZ20" s="122">
        <v>0</v>
      </c>
      <c r="BA20" s="122">
        <v>1298.2330843</v>
      </c>
      <c r="BB20" s="122">
        <v>0</v>
      </c>
      <c r="BC20" s="122">
        <v>1328.6923840999998</v>
      </c>
      <c r="BD20" s="122">
        <v>0</v>
      </c>
      <c r="BE20" s="122">
        <v>1512.26115024</v>
      </c>
      <c r="BF20" s="122">
        <v>0</v>
      </c>
      <c r="BG20" s="122">
        <v>1299.5407030300003</v>
      </c>
      <c r="BH20" s="122">
        <v>0</v>
      </c>
      <c r="BI20" s="122">
        <v>1178.499499173593</v>
      </c>
      <c r="BJ20" s="122">
        <v>0</v>
      </c>
      <c r="BK20" s="122">
        <v>1590.7311749100284</v>
      </c>
      <c r="BL20" s="122">
        <v>0</v>
      </c>
      <c r="BM20" s="122">
        <v>1246.4696275200001</v>
      </c>
      <c r="BN20" s="122">
        <v>0</v>
      </c>
      <c r="BO20" s="122">
        <v>1462.6649068199999</v>
      </c>
      <c r="BP20" s="122">
        <v>0</v>
      </c>
      <c r="BQ20" s="122">
        <v>5256.1095770400007</v>
      </c>
      <c r="BR20" s="122">
        <v>0</v>
      </c>
      <c r="BS20" s="122">
        <v>1716.1800215300002</v>
      </c>
      <c r="BT20" s="122">
        <v>0</v>
      </c>
      <c r="BU20" s="122">
        <v>1016.7456503099999</v>
      </c>
      <c r="BV20" s="122">
        <v>0</v>
      </c>
      <c r="BW20" s="122">
        <v>1675.0885412800001</v>
      </c>
      <c r="BX20" s="122">
        <v>0</v>
      </c>
      <c r="BY20" s="122">
        <v>1669.4588919199998</v>
      </c>
      <c r="BZ20" s="122">
        <v>0</v>
      </c>
      <c r="CA20" s="122">
        <v>1751.1270975699997</v>
      </c>
      <c r="CB20" s="122">
        <v>0</v>
      </c>
      <c r="CC20" s="122">
        <v>1834.43275451</v>
      </c>
      <c r="CD20" s="122">
        <v>0</v>
      </c>
      <c r="CE20" s="122">
        <v>1751.0856107300001</v>
      </c>
      <c r="CF20" s="122">
        <v>0</v>
      </c>
      <c r="CG20" s="122">
        <v>1383.1536395400001</v>
      </c>
      <c r="CH20" s="122">
        <v>0</v>
      </c>
      <c r="CI20" s="122">
        <v>1376.3769426000001</v>
      </c>
      <c r="CJ20" s="122">
        <v>0</v>
      </c>
      <c r="CK20" s="122">
        <v>1536.6452599200002</v>
      </c>
      <c r="CL20" s="122">
        <v>0</v>
      </c>
      <c r="CM20" s="122">
        <v>1429.1851223900001</v>
      </c>
      <c r="CN20" s="122">
        <v>0</v>
      </c>
      <c r="CO20" s="122">
        <v>1572.0532158199999</v>
      </c>
      <c r="CP20" s="122">
        <v>0</v>
      </c>
      <c r="CQ20" s="122">
        <v>1504.5104604800001</v>
      </c>
      <c r="CR20" s="122">
        <v>0</v>
      </c>
      <c r="CS20" s="122">
        <v>1915.1421372100001</v>
      </c>
      <c r="CT20" s="122">
        <v>0</v>
      </c>
      <c r="CU20" s="122">
        <v>2040.2096609499999</v>
      </c>
      <c r="CV20" s="122">
        <v>0</v>
      </c>
      <c r="CW20" s="122">
        <v>2067.6133010900003</v>
      </c>
      <c r="CX20" s="122">
        <v>0</v>
      </c>
      <c r="CY20" s="122">
        <v>2463.2900102400004</v>
      </c>
      <c r="CZ20" s="122">
        <v>0</v>
      </c>
      <c r="DA20" s="122">
        <v>1673.5020184600003</v>
      </c>
      <c r="DB20" s="122">
        <v>0</v>
      </c>
      <c r="DC20" s="122">
        <v>1414.52241439</v>
      </c>
      <c r="DD20" s="122">
        <v>0</v>
      </c>
      <c r="DE20" s="122">
        <v>2023.2495660900001</v>
      </c>
      <c r="DF20" s="122">
        <v>0</v>
      </c>
      <c r="DG20" s="122">
        <v>2115.4502869299999</v>
      </c>
      <c r="DH20" s="122">
        <v>0</v>
      </c>
      <c r="DI20" s="122">
        <v>2480.0280295099997</v>
      </c>
      <c r="DJ20" s="122">
        <v>0</v>
      </c>
      <c r="DK20" s="122">
        <v>2296.6450826</v>
      </c>
      <c r="DL20" s="122">
        <v>0</v>
      </c>
      <c r="DM20" s="122">
        <v>2336.7981837000002</v>
      </c>
      <c r="DN20" s="122">
        <v>0</v>
      </c>
      <c r="DO20" s="122">
        <v>2331.9517512774164</v>
      </c>
      <c r="DP20" s="122">
        <v>0</v>
      </c>
      <c r="DQ20" s="122">
        <v>2539.68313511</v>
      </c>
      <c r="DR20" s="122">
        <v>0</v>
      </c>
      <c r="DS20" s="122">
        <v>2330.7362443576803</v>
      </c>
      <c r="DT20" s="122">
        <v>0</v>
      </c>
      <c r="DU20" s="122">
        <v>2666.0527644400004</v>
      </c>
      <c r="DV20" s="122">
        <v>0</v>
      </c>
      <c r="DW20" s="122">
        <v>3084.2023710760914</v>
      </c>
      <c r="DX20" s="122">
        <v>0</v>
      </c>
      <c r="DY20" s="122">
        <v>2602.0712113599993</v>
      </c>
      <c r="DZ20" s="122">
        <v>0</v>
      </c>
      <c r="EA20" s="122">
        <v>2638.9042494099999</v>
      </c>
      <c r="EB20" s="122">
        <v>0</v>
      </c>
      <c r="EC20" s="122">
        <v>2362.82670151</v>
      </c>
      <c r="ED20" s="122">
        <v>0</v>
      </c>
      <c r="EE20" s="122">
        <v>2201.9611774999998</v>
      </c>
      <c r="EF20" s="122">
        <v>0</v>
      </c>
      <c r="EG20" s="122">
        <v>2639.0842976799995</v>
      </c>
      <c r="EH20" s="122">
        <v>0</v>
      </c>
      <c r="EI20" s="122">
        <v>2578.7318777399996</v>
      </c>
      <c r="EJ20" s="122">
        <v>0</v>
      </c>
      <c r="EK20" s="122">
        <v>2786.4577438300007</v>
      </c>
      <c r="EL20" s="122">
        <v>0</v>
      </c>
      <c r="EM20" s="122">
        <v>2609.5829951000005</v>
      </c>
      <c r="EN20" s="122">
        <v>0</v>
      </c>
      <c r="EO20" s="122">
        <v>2824.6284552999996</v>
      </c>
      <c r="EP20" s="122">
        <v>0</v>
      </c>
      <c r="EQ20" s="122">
        <v>2513.1981415800001</v>
      </c>
      <c r="ER20" s="122">
        <v>0</v>
      </c>
      <c r="ES20" s="122">
        <v>2666.0648034599999</v>
      </c>
      <c r="ET20" s="122">
        <v>0</v>
      </c>
      <c r="EU20" s="122">
        <v>3218.2596896499999</v>
      </c>
      <c r="EV20" s="122">
        <v>0</v>
      </c>
      <c r="EW20" s="122">
        <v>2696.7671404099997</v>
      </c>
      <c r="EX20" s="122">
        <v>0</v>
      </c>
      <c r="EY20" s="122">
        <v>3478.1772503999996</v>
      </c>
      <c r="EZ20" s="122">
        <v>0</v>
      </c>
      <c r="FA20" s="122">
        <v>2879.20870109</v>
      </c>
      <c r="FB20" s="122">
        <v>0</v>
      </c>
      <c r="FC20" s="122">
        <v>3090.6274002499999</v>
      </c>
      <c r="FD20" s="122">
        <v>0</v>
      </c>
      <c r="FE20" s="122">
        <v>2823.5411369524481</v>
      </c>
      <c r="FF20" s="122">
        <v>0</v>
      </c>
      <c r="FG20" s="122">
        <v>2804.3485738599993</v>
      </c>
      <c r="FH20" s="122">
        <v>0</v>
      </c>
      <c r="FI20" s="122">
        <v>2964.5370771899989</v>
      </c>
      <c r="FJ20" s="122">
        <v>0</v>
      </c>
      <c r="FK20" s="122">
        <v>2641.1241666944998</v>
      </c>
      <c r="FL20" s="122">
        <v>0</v>
      </c>
      <c r="FM20" s="122">
        <v>2877.49041313</v>
      </c>
      <c r="FN20" s="122">
        <v>0</v>
      </c>
      <c r="FO20" s="122">
        <v>3374.7695817800009</v>
      </c>
      <c r="FP20" s="122">
        <v>0</v>
      </c>
      <c r="FQ20" s="122">
        <v>2813.3624967899996</v>
      </c>
      <c r="FR20" s="122">
        <v>0</v>
      </c>
      <c r="FS20" s="122">
        <v>662.95289606000006</v>
      </c>
      <c r="FT20" s="122">
        <v>0</v>
      </c>
      <c r="FU20" s="122">
        <v>553.89013278999994</v>
      </c>
      <c r="FV20" s="122">
        <v>0</v>
      </c>
      <c r="FW20" s="122">
        <v>580.00363258000004</v>
      </c>
      <c r="FX20" s="122">
        <v>0</v>
      </c>
      <c r="FY20" s="122">
        <v>449.48254895023928</v>
      </c>
      <c r="FZ20" s="122">
        <v>0</v>
      </c>
      <c r="GA20" s="122">
        <v>682.22870764000004</v>
      </c>
      <c r="GB20" s="122">
        <v>0</v>
      </c>
      <c r="GC20" s="122">
        <v>896.80433038000001</v>
      </c>
      <c r="GD20" s="122">
        <v>0</v>
      </c>
      <c r="GE20" s="122">
        <v>1303.3064691700586</v>
      </c>
      <c r="GF20" s="122">
        <v>0</v>
      </c>
      <c r="GG20" s="122">
        <v>1027.87931174</v>
      </c>
      <c r="GH20" s="122">
        <v>0</v>
      </c>
      <c r="GI20" s="122">
        <v>998.72824534999995</v>
      </c>
      <c r="GJ20" s="122">
        <v>0</v>
      </c>
      <c r="GK20" s="122">
        <v>812.79591864999998</v>
      </c>
      <c r="GL20" s="122">
        <v>0</v>
      </c>
      <c r="GM20" s="122">
        <v>2862.0705501499997</v>
      </c>
      <c r="GN20" s="122">
        <v>0</v>
      </c>
      <c r="GO20" s="122">
        <v>1610.3869887400003</v>
      </c>
      <c r="GP20" s="122">
        <v>0</v>
      </c>
      <c r="GQ20" s="122">
        <v>971.17147727000008</v>
      </c>
      <c r="GR20" s="122">
        <v>0</v>
      </c>
      <c r="GS20" s="122">
        <v>1093.6987706000002</v>
      </c>
      <c r="GT20" s="122">
        <v>0</v>
      </c>
      <c r="GU20" s="122">
        <v>681.41390898999987</v>
      </c>
      <c r="GV20" s="122">
        <v>0</v>
      </c>
      <c r="GW20" s="122">
        <v>660.57874631000004</v>
      </c>
      <c r="GX20" s="122">
        <v>0</v>
      </c>
      <c r="GY20" s="122">
        <v>636.20436104999999</v>
      </c>
      <c r="GZ20" s="122">
        <v>0</v>
      </c>
      <c r="HA20" s="122">
        <v>713.11101662999999</v>
      </c>
      <c r="HB20" s="122">
        <v>0</v>
      </c>
      <c r="HC20" s="122">
        <v>799.80284153999992</v>
      </c>
      <c r="HD20" s="122">
        <v>0</v>
      </c>
      <c r="HE20" s="122">
        <v>1332.3058674199999</v>
      </c>
      <c r="HF20" s="122">
        <v>0</v>
      </c>
      <c r="HG20" s="122">
        <v>748.29492299999993</v>
      </c>
      <c r="HH20" s="122">
        <v>0</v>
      </c>
      <c r="HI20" s="122">
        <v>2018.8148732099999</v>
      </c>
      <c r="HJ20" s="122">
        <v>0</v>
      </c>
      <c r="HK20" s="122">
        <v>670.69692538999993</v>
      </c>
      <c r="HL20" s="122">
        <v>0</v>
      </c>
      <c r="HM20" s="122">
        <v>857.51136892</v>
      </c>
      <c r="HN20" s="122">
        <v>0</v>
      </c>
      <c r="HO20" s="122">
        <v>1453.8851317900001</v>
      </c>
      <c r="HP20" s="122">
        <v>0</v>
      </c>
      <c r="HQ20" s="122">
        <v>729.56687697000007</v>
      </c>
      <c r="HR20" s="122">
        <v>0</v>
      </c>
      <c r="HS20" s="122">
        <v>792.47306830999992</v>
      </c>
      <c r="HT20" s="122">
        <v>0</v>
      </c>
      <c r="HU20" s="122">
        <v>1364.2740442499996</v>
      </c>
      <c r="HV20" s="122">
        <v>0</v>
      </c>
      <c r="HW20" s="122">
        <v>1308.8911235599999</v>
      </c>
      <c r="HX20" s="122">
        <v>0</v>
      </c>
      <c r="HY20" s="122">
        <v>991.82960521000007</v>
      </c>
    </row>
    <row r="21" spans="2:233" x14ac:dyDescent="0.55000000000000004">
      <c r="B21" s="21"/>
      <c r="C21" s="304" t="s">
        <v>670</v>
      </c>
      <c r="D21" s="326">
        <v>5.246148331427225</v>
      </c>
      <c r="E21" s="326">
        <v>789013.76536232675</v>
      </c>
      <c r="F21" s="326">
        <v>4.1671376568505218</v>
      </c>
      <c r="G21" s="326">
        <v>1048367.8210662211</v>
      </c>
      <c r="H21" s="326">
        <v>3.943910302635119</v>
      </c>
      <c r="I21" s="326">
        <v>1358941.1451450041</v>
      </c>
      <c r="J21" s="326">
        <v>3.2796898732239383</v>
      </c>
      <c r="K21" s="326">
        <v>1624685.4827939128</v>
      </c>
      <c r="L21" s="326">
        <v>6.1523569312978204</v>
      </c>
      <c r="M21" s="326">
        <v>1998325.7879888387</v>
      </c>
      <c r="N21" s="326">
        <v>6.4852555214590986</v>
      </c>
      <c r="O21" s="326">
        <v>2390985.9447684702</v>
      </c>
      <c r="P21" s="326">
        <v>3.2907439896539237</v>
      </c>
      <c r="Q21" s="326">
        <v>1654836.1738681938</v>
      </c>
      <c r="R21" s="326">
        <v>3.2708025288080029</v>
      </c>
      <c r="S21" s="326">
        <v>1680656.7326731931</v>
      </c>
      <c r="T21" s="326">
        <v>3.3026379681796696</v>
      </c>
      <c r="U21" s="326">
        <v>1725024.6059117639</v>
      </c>
      <c r="V21" s="326">
        <v>3.4557359685252953</v>
      </c>
      <c r="W21" s="326">
        <v>1723411.528204954</v>
      </c>
      <c r="X21" s="326">
        <v>3.7444681154751134</v>
      </c>
      <c r="Y21" s="326">
        <v>1746005.3004283274</v>
      </c>
      <c r="Z21" s="326">
        <v>4.0182428493441336</v>
      </c>
      <c r="AA21" s="326">
        <v>1802340.2728027476</v>
      </c>
      <c r="AB21" s="326">
        <v>4.702043156180661</v>
      </c>
      <c r="AC21" s="326">
        <v>1835106.2714450059</v>
      </c>
      <c r="AD21" s="326">
        <v>5.0350209042423275</v>
      </c>
      <c r="AE21" s="326">
        <v>1839114.6857730744</v>
      </c>
      <c r="AF21" s="326">
        <v>5.0843628028065915</v>
      </c>
      <c r="AG21" s="326">
        <v>1843675.1269873437</v>
      </c>
      <c r="AH21" s="326">
        <v>5.5121091324898837</v>
      </c>
      <c r="AI21" s="326">
        <v>1850369.3167785027</v>
      </c>
      <c r="AJ21" s="326">
        <v>5.9106594141389719</v>
      </c>
      <c r="AK21" s="326">
        <v>1879163.6612842865</v>
      </c>
      <c r="AL21" s="326">
        <v>6.1523569312978204</v>
      </c>
      <c r="AM21" s="326">
        <v>1998325.7879888387</v>
      </c>
      <c r="AN21" s="326">
        <v>6.2510452802748127</v>
      </c>
      <c r="AO21" s="326">
        <v>2012084.4994343503</v>
      </c>
      <c r="AP21" s="326">
        <v>6.1907432772142119</v>
      </c>
      <c r="AQ21" s="326">
        <v>2031285.0290993024</v>
      </c>
      <c r="AR21" s="326">
        <v>6.1735077686700661</v>
      </c>
      <c r="AS21" s="326">
        <v>2055353.5153242184</v>
      </c>
      <c r="AT21" s="326">
        <v>6.0981099963992955</v>
      </c>
      <c r="AU21" s="326">
        <v>2050851.1278844445</v>
      </c>
      <c r="AV21" s="326">
        <v>6.1728712194188393</v>
      </c>
      <c r="AW21" s="326">
        <v>2087162.8353975227</v>
      </c>
      <c r="AX21" s="326">
        <v>6.2053748201330308</v>
      </c>
      <c r="AY21" s="326">
        <v>2118916.6916278396</v>
      </c>
      <c r="AZ21" s="326">
        <v>6.3792078001806285</v>
      </c>
      <c r="BA21" s="326">
        <v>2129006.9843055303</v>
      </c>
      <c r="BB21" s="326">
        <v>6.4499767676637481</v>
      </c>
      <c r="BC21" s="326">
        <v>2153675.5230484265</v>
      </c>
      <c r="BD21" s="326">
        <v>6.6412435274607677</v>
      </c>
      <c r="BE21" s="326">
        <v>2189796.5485690692</v>
      </c>
      <c r="BF21" s="326">
        <v>6.6100840639480261</v>
      </c>
      <c r="BG21" s="326">
        <v>2227161.7374275886</v>
      </c>
      <c r="BH21" s="326">
        <v>6.6112977698149447</v>
      </c>
      <c r="BI21" s="326">
        <v>2273074.5808639275</v>
      </c>
      <c r="BJ21" s="326">
        <v>6.4852555214590986</v>
      </c>
      <c r="BK21" s="326">
        <v>2390985.9447684702</v>
      </c>
      <c r="BL21" s="326">
        <v>6.3993076371430346</v>
      </c>
      <c r="BM21" s="326">
        <v>2376348.1634743605</v>
      </c>
      <c r="BN21" s="326">
        <v>6.3012124975867021</v>
      </c>
      <c r="BO21" s="326">
        <v>2417921.3991149412</v>
      </c>
      <c r="BP21" s="326">
        <v>6.5712583225164103</v>
      </c>
      <c r="BQ21" s="326">
        <v>2449637.7301863912</v>
      </c>
      <c r="BR21" s="326">
        <v>6.6051148890360176</v>
      </c>
      <c r="BS21" s="326">
        <v>2467163.0923111909</v>
      </c>
      <c r="BT21" s="326">
        <v>6.6161021257179744</v>
      </c>
      <c r="BU21" s="326">
        <v>2522277.3826630171</v>
      </c>
      <c r="BV21" s="326">
        <v>6.724331593083976</v>
      </c>
      <c r="BW21" s="326">
        <v>2557901.8218128267</v>
      </c>
      <c r="BX21" s="326">
        <v>6.6741839155534315</v>
      </c>
      <c r="BY21" s="326">
        <v>2573180.0128909019</v>
      </c>
      <c r="BZ21" s="326">
        <v>6.6185755122047922</v>
      </c>
      <c r="CA21" s="326">
        <v>2580396.0926118451</v>
      </c>
      <c r="CB21" s="326">
        <v>6.6710907987025889</v>
      </c>
      <c r="CC21" s="326">
        <v>2597086.5456512626</v>
      </c>
      <c r="CD21" s="326">
        <v>6.6725754491172795</v>
      </c>
      <c r="CE21" s="326">
        <v>2610076.6572748348</v>
      </c>
      <c r="CF21" s="326">
        <v>6.6352719667952442</v>
      </c>
      <c r="CG21" s="326">
        <v>2644220.6756405327</v>
      </c>
      <c r="CH21" s="326">
        <v>6.60176688176995</v>
      </c>
      <c r="CI21" s="326">
        <v>2764358.7138844016</v>
      </c>
      <c r="CJ21" s="326">
        <v>6.7657105159902322</v>
      </c>
      <c r="CK21" s="326">
        <v>2746075.5293409447</v>
      </c>
      <c r="CL21" s="326">
        <v>6.8</v>
      </c>
      <c r="CM21" s="326">
        <v>2761176.0198393469</v>
      </c>
      <c r="CN21" s="326">
        <v>6.7528365303814386</v>
      </c>
      <c r="CO21" s="326">
        <v>2851863.5052095344</v>
      </c>
      <c r="CP21" s="326">
        <v>6.812104227644717</v>
      </c>
      <c r="CQ21" s="326">
        <v>2859961.0150881279</v>
      </c>
      <c r="CR21" s="326">
        <v>6.8</v>
      </c>
      <c r="CS21" s="326">
        <v>2881719.8451230377</v>
      </c>
      <c r="CT21" s="326">
        <v>6.786162197889281</v>
      </c>
      <c r="CU21" s="326">
        <v>2932781.2243851577</v>
      </c>
      <c r="CV21" s="326">
        <v>6.78</v>
      </c>
      <c r="CW21" s="326">
        <v>2934410.5586041068</v>
      </c>
      <c r="CX21" s="326">
        <v>6.77</v>
      </c>
      <c r="CY21" s="326">
        <v>3007136.3352188789</v>
      </c>
      <c r="CZ21" s="326">
        <v>6.74</v>
      </c>
      <c r="DA21" s="326">
        <v>3051866.0939172567</v>
      </c>
      <c r="DB21" s="326">
        <v>6.4431100717597527</v>
      </c>
      <c r="DC21" s="326">
        <v>3082656.8709495855</v>
      </c>
      <c r="DD21" s="326">
        <v>6.1706504902350536</v>
      </c>
      <c r="DE21" s="326">
        <v>3145331.7320706462</v>
      </c>
      <c r="DF21" s="326">
        <v>6.0117202188965875</v>
      </c>
      <c r="DG21" s="326">
        <v>3365218.3054364501</v>
      </c>
      <c r="DH21" s="326">
        <v>5.77</v>
      </c>
      <c r="DI21" s="326">
        <v>3367802.8355087661</v>
      </c>
      <c r="DJ21" s="326">
        <v>5.61</v>
      </c>
      <c r="DK21" s="326">
        <v>3399388.7100692918</v>
      </c>
      <c r="DL21" s="326">
        <v>5.4485346781296711</v>
      </c>
      <c r="DM21" s="326">
        <v>3545562.3739246102</v>
      </c>
      <c r="DN21" s="326">
        <v>5.3083686809997035</v>
      </c>
      <c r="DO21" s="326">
        <v>3538214.3134462596</v>
      </c>
      <c r="DP21" s="326">
        <v>5.1433643034573233</v>
      </c>
      <c r="DQ21" s="326">
        <v>3604491.3282272778</v>
      </c>
      <c r="DR21" s="326">
        <v>5</v>
      </c>
      <c r="DS21" s="326">
        <v>3680991.1231198753</v>
      </c>
      <c r="DT21" s="326">
        <v>4.8643516895826258</v>
      </c>
      <c r="DU21" s="326">
        <v>3686814.2926851255</v>
      </c>
      <c r="DV21" s="326">
        <v>4.6756777421036286</v>
      </c>
      <c r="DW21" s="326">
        <v>3715311.5217689001</v>
      </c>
      <c r="DX21" s="326">
        <v>4.79</v>
      </c>
      <c r="DY21" s="326">
        <v>3815324.4318470689</v>
      </c>
      <c r="DZ21" s="326">
        <v>4.8141802093800887</v>
      </c>
      <c r="EA21" s="326">
        <v>3830527.1835985272</v>
      </c>
      <c r="EB21" s="326">
        <v>4.7183868094842252</v>
      </c>
      <c r="EC21" s="326">
        <v>3860255.4796765158</v>
      </c>
      <c r="ED21" s="326">
        <v>4.76</v>
      </c>
      <c r="EE21" s="326">
        <v>4082302.1009190022</v>
      </c>
      <c r="EF21" s="326">
        <v>4.76</v>
      </c>
      <c r="EG21" s="326">
        <v>3994046.6603179402</v>
      </c>
      <c r="EH21" s="326">
        <v>4.92</v>
      </c>
      <c r="EI21" s="326">
        <v>4024704.8322588103</v>
      </c>
      <c r="EJ21" s="326">
        <v>5.4272512703314533</v>
      </c>
      <c r="EK21" s="326">
        <v>4119704.6049919846</v>
      </c>
      <c r="EL21" s="326">
        <v>5.8</v>
      </c>
      <c r="EM21" s="326">
        <v>4110839.3782855533</v>
      </c>
      <c r="EN21" s="326">
        <v>6.24</v>
      </c>
      <c r="EO21" s="326">
        <v>4128523.6922491887</v>
      </c>
      <c r="EP21" s="326">
        <v>6.37</v>
      </c>
      <c r="EQ21" s="326">
        <v>4227325.3405098412</v>
      </c>
      <c r="ER21" s="326">
        <v>6.49</v>
      </c>
      <c r="ES21" s="326">
        <v>4216536.2983162319</v>
      </c>
      <c r="ET21" s="326">
        <v>6.93</v>
      </c>
      <c r="EU21" s="326">
        <v>4236593.5218753368</v>
      </c>
      <c r="EV21" s="326">
        <v>7.11</v>
      </c>
      <c r="EW21" s="326">
        <v>4278946.4899512716</v>
      </c>
      <c r="EX21" s="326">
        <v>7.25</v>
      </c>
      <c r="EY21" s="326">
        <v>4261444.815458823</v>
      </c>
      <c r="EZ21" s="326">
        <v>7.34</v>
      </c>
      <c r="FA21" s="326">
        <v>4290113.9853319209</v>
      </c>
      <c r="FB21" s="326">
        <v>7.41</v>
      </c>
      <c r="FC21" s="326">
        <v>4417728.9726535939</v>
      </c>
      <c r="FD21" s="326">
        <v>7.64</v>
      </c>
      <c r="FE21" s="326">
        <v>4323938.1549238712</v>
      </c>
      <c r="FF21" s="326">
        <v>7.81</v>
      </c>
      <c r="FG21" s="326">
        <v>4375937.8937695427</v>
      </c>
      <c r="FH21" s="326">
        <v>8.16</v>
      </c>
      <c r="FI21" s="326">
        <v>4431219.6290690489</v>
      </c>
      <c r="FJ21" s="326">
        <v>8.32</v>
      </c>
      <c r="FK21" s="326">
        <v>4447035.4434394548</v>
      </c>
      <c r="FL21" s="326">
        <v>8.4600000000000009</v>
      </c>
      <c r="FM21" s="326">
        <v>4505032.7422504788</v>
      </c>
      <c r="FN21" s="326">
        <v>8.51</v>
      </c>
      <c r="FO21" s="326">
        <v>4258380.6287428793</v>
      </c>
      <c r="FP21" s="326">
        <v>8.4057994980988742</v>
      </c>
      <c r="FQ21" s="326">
        <v>4632756.3485760819</v>
      </c>
      <c r="FR21" s="326">
        <v>8.3699999999999992</v>
      </c>
      <c r="FS21" s="326">
        <v>4661325.8296397226</v>
      </c>
      <c r="FT21" s="326">
        <v>8.26</v>
      </c>
      <c r="FU21" s="326">
        <v>4722871.089338555</v>
      </c>
      <c r="FV21" s="326">
        <v>8.08</v>
      </c>
      <c r="FW21" s="326">
        <v>4730881.2367550554</v>
      </c>
      <c r="FX21" s="326">
        <v>7.99</v>
      </c>
      <c r="FY21" s="326">
        <v>4798146.9061843967</v>
      </c>
      <c r="FZ21" s="326">
        <v>7.8602755862174645</v>
      </c>
      <c r="GA21" s="326">
        <v>4975236.8528516097</v>
      </c>
      <c r="GB21" s="326">
        <v>8.004974352608123</v>
      </c>
      <c r="GC21" s="326">
        <v>4824743.1832535742</v>
      </c>
      <c r="GD21" s="326">
        <v>8.0629580350105545</v>
      </c>
      <c r="GE21" s="326">
        <v>4872644.3931503408</v>
      </c>
      <c r="GF21" s="326">
        <v>7.899868047397173</v>
      </c>
      <c r="GG21" s="326">
        <v>5106741.2061958034</v>
      </c>
      <c r="GH21" s="326">
        <v>7.7648574209079166</v>
      </c>
      <c r="GI21" s="326">
        <v>5107931.5754144322</v>
      </c>
      <c r="GJ21" s="326">
        <v>7.62</v>
      </c>
      <c r="GK21" s="326">
        <v>5205927.451820625</v>
      </c>
      <c r="GL21" s="326">
        <v>7.32</v>
      </c>
      <c r="GM21" s="326">
        <v>5305766.693999541</v>
      </c>
      <c r="GN21" s="326">
        <v>7.01</v>
      </c>
      <c r="GO21" s="326">
        <v>5320502.6985960575</v>
      </c>
      <c r="GP21" s="326">
        <v>6.7421096391547941</v>
      </c>
      <c r="GQ21" s="326">
        <v>5347581.5090424297</v>
      </c>
      <c r="GR21" s="326">
        <v>6.53</v>
      </c>
      <c r="GS21" s="326">
        <v>5317678.3353456501</v>
      </c>
      <c r="GT21" s="326">
        <v>6.35</v>
      </c>
      <c r="GU21" s="326">
        <v>5346517.9435808863</v>
      </c>
      <c r="GV21" s="326">
        <v>6.0618310242645999</v>
      </c>
      <c r="GW21" s="326">
        <v>5417776.4138360219</v>
      </c>
      <c r="GX21" s="326">
        <v>5.7731872039276091</v>
      </c>
      <c r="GY21" s="326">
        <v>5636943.9546413925</v>
      </c>
      <c r="GZ21" s="326">
        <v>5.6577825771861567</v>
      </c>
      <c r="HA21" s="326">
        <v>5595839.733217393</v>
      </c>
      <c r="HB21" s="326">
        <v>5.4833393185169639</v>
      </c>
      <c r="HC21" s="326">
        <v>5659688.2360988818</v>
      </c>
      <c r="HD21" s="326">
        <v>5.2373561538016666</v>
      </c>
      <c r="HE21" s="326">
        <v>5776412.8813393265</v>
      </c>
      <c r="HF21" s="326">
        <v>5.0129354574339917</v>
      </c>
      <c r="HG21" s="326">
        <v>5755378.2367334645</v>
      </c>
      <c r="HH21" s="326">
        <v>4.780908646976548</v>
      </c>
      <c r="HI21" s="326">
        <v>5787366.9523287285</v>
      </c>
      <c r="HJ21" s="326">
        <v>4.7521509335564662</v>
      </c>
      <c r="HK21" s="326">
        <v>5832504.4108378133</v>
      </c>
      <c r="HL21" s="326">
        <v>4.6222000684059878</v>
      </c>
      <c r="HM21" s="326">
        <v>5843665.8745268267</v>
      </c>
      <c r="HN21" s="326">
        <v>4.5399343175759643</v>
      </c>
      <c r="HO21" s="326">
        <v>5880816.1916619185</v>
      </c>
      <c r="HP21" s="326">
        <v>4.4499923840877784</v>
      </c>
      <c r="HQ21" s="326">
        <v>5964570.4308509687</v>
      </c>
      <c r="HR21" s="326">
        <v>4.3720316025386099</v>
      </c>
      <c r="HS21" s="326">
        <v>5988518.3666401803</v>
      </c>
      <c r="HT21" s="326">
        <v>4.2946961539083643</v>
      </c>
      <c r="HU21" s="326">
        <v>6102955.4627418537</v>
      </c>
      <c r="HV21" s="326">
        <v>4.1909426956063296</v>
      </c>
      <c r="HW21" s="326">
        <v>6380255.5457492275</v>
      </c>
      <c r="HX21" s="326">
        <v>4.015412981449491</v>
      </c>
      <c r="HY21" s="326">
        <v>6315950.2206873884</v>
      </c>
    </row>
    <row r="22" spans="2:233" x14ac:dyDescent="0.55000000000000004">
      <c r="CT22" s="34"/>
      <c r="CU22" s="196"/>
      <c r="CV22" s="34"/>
      <c r="CW22" s="196"/>
      <c r="CX22" s="34"/>
      <c r="CY22" s="196"/>
      <c r="CZ22" s="34"/>
      <c r="DA22" s="196"/>
      <c r="DB22" s="34"/>
      <c r="DC22" s="196"/>
      <c r="DD22" s="34"/>
      <c r="DE22" s="196"/>
      <c r="DF22" s="34"/>
      <c r="DG22" s="196"/>
      <c r="DH22" s="34"/>
      <c r="DI22" s="196"/>
      <c r="DJ22" s="34"/>
      <c r="DK22" s="196"/>
      <c r="DL22" s="34"/>
      <c r="DM22" s="196"/>
      <c r="DN22" s="34"/>
      <c r="DO22" s="196"/>
      <c r="DP22" s="34"/>
      <c r="DQ22" s="196"/>
      <c r="DR22" s="34"/>
      <c r="DS22" s="196"/>
      <c r="DT22" s="34"/>
      <c r="DU22" s="196"/>
      <c r="DV22" s="34"/>
      <c r="DW22" s="196"/>
      <c r="DY22" s="196"/>
      <c r="EA22" s="196"/>
      <c r="EC22" s="196"/>
      <c r="EE22" s="196"/>
      <c r="EG22" s="196"/>
      <c r="EI22" s="196"/>
      <c r="EK22" s="196"/>
      <c r="EM22" s="196"/>
      <c r="EO22" s="196"/>
      <c r="EQ22" s="196"/>
      <c r="ES22" s="196"/>
      <c r="EU22" s="196"/>
      <c r="EW22" s="196"/>
      <c r="EY22" s="196"/>
      <c r="FA22" s="196"/>
      <c r="FC22" s="196"/>
      <c r="FE22" s="196"/>
      <c r="FG22" s="196"/>
      <c r="FI22" s="196"/>
      <c r="FJ22" s="196"/>
      <c r="FK22" s="196"/>
      <c r="FM22" s="196"/>
      <c r="FN22" s="196"/>
      <c r="FO22" s="196"/>
      <c r="FQ22" s="196"/>
      <c r="FR22" s="196"/>
      <c r="FS22" s="196"/>
      <c r="FU22" s="196"/>
      <c r="FW22" s="196"/>
      <c r="FY22" s="196"/>
      <c r="GA22" s="196"/>
      <c r="GC22" s="196"/>
      <c r="GE22" s="196"/>
      <c r="GG22" s="196"/>
      <c r="GI22" s="196"/>
      <c r="GK22" s="196"/>
      <c r="GM22" s="196"/>
      <c r="GO22" s="196"/>
      <c r="GQ22" s="196"/>
      <c r="GS22" s="196"/>
      <c r="GU22" s="196"/>
      <c r="GW22" s="196"/>
      <c r="GY22" s="196"/>
      <c r="HA22" s="196"/>
      <c r="HC22" s="196"/>
      <c r="HE22" s="196"/>
      <c r="HG22" s="196"/>
      <c r="HI22" s="196"/>
      <c r="HK22" s="196"/>
      <c r="HM22" s="196"/>
      <c r="HO22" s="196"/>
      <c r="HQ22" s="196"/>
      <c r="HS22" s="196"/>
      <c r="HU22" s="196"/>
      <c r="HW22" s="196"/>
      <c r="HY22" s="196"/>
    </row>
    <row r="23" spans="2:233" x14ac:dyDescent="0.55000000000000004">
      <c r="B23" s="304" t="s">
        <v>671</v>
      </c>
      <c r="C23" s="28"/>
      <c r="D23" s="327"/>
      <c r="E23" s="327"/>
      <c r="F23" s="327"/>
      <c r="G23" s="327"/>
      <c r="H23" s="327"/>
      <c r="I23" s="327"/>
      <c r="J23" s="327"/>
      <c r="K23" s="327"/>
      <c r="L23" s="327"/>
      <c r="M23" s="327"/>
      <c r="N23" s="327"/>
      <c r="O23" s="327"/>
      <c r="P23" s="327"/>
      <c r="Q23" s="327"/>
      <c r="R23" s="327"/>
      <c r="S23" s="327"/>
      <c r="T23" s="327"/>
      <c r="U23" s="327"/>
      <c r="V23" s="327"/>
      <c r="W23" s="327"/>
      <c r="X23" s="327"/>
      <c r="Y23" s="327"/>
      <c r="Z23" s="327"/>
      <c r="AA23" s="327"/>
      <c r="AB23" s="327"/>
      <c r="AC23" s="327"/>
      <c r="AD23" s="327"/>
      <c r="AE23" s="327"/>
      <c r="AF23" s="327"/>
      <c r="AG23" s="327"/>
      <c r="AH23" s="327"/>
      <c r="AI23" s="327"/>
      <c r="AJ23" s="327"/>
      <c r="AK23" s="327"/>
      <c r="AL23" s="327"/>
      <c r="AM23" s="327"/>
      <c r="AN23" s="327"/>
      <c r="AO23" s="327"/>
      <c r="AP23" s="327"/>
      <c r="AQ23" s="327"/>
      <c r="AR23" s="327"/>
      <c r="AS23" s="327"/>
      <c r="AT23" s="327"/>
      <c r="AU23" s="327"/>
      <c r="AV23" s="327"/>
      <c r="AW23" s="327"/>
      <c r="AX23" s="327"/>
      <c r="AY23" s="327"/>
      <c r="AZ23" s="327"/>
      <c r="BA23" s="327"/>
      <c r="BB23" s="327"/>
      <c r="BC23" s="327"/>
      <c r="BD23" s="327"/>
      <c r="BE23" s="327"/>
      <c r="BF23" s="327"/>
      <c r="BG23" s="327"/>
      <c r="BH23" s="327"/>
      <c r="BI23" s="327"/>
      <c r="BJ23" s="327"/>
      <c r="BK23" s="327"/>
      <c r="BL23" s="327"/>
      <c r="BM23" s="327"/>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7"/>
      <c r="CY23" s="327"/>
      <c r="CZ23" s="327"/>
      <c r="DA23" s="327"/>
      <c r="DB23" s="327"/>
      <c r="DC23" s="327"/>
      <c r="DD23" s="327"/>
      <c r="DE23" s="327"/>
      <c r="DF23" s="327"/>
      <c r="DG23" s="327"/>
      <c r="DH23" s="327"/>
      <c r="DI23" s="327"/>
      <c r="DJ23" s="327"/>
      <c r="DK23" s="327"/>
      <c r="DL23" s="327"/>
      <c r="DM23" s="327"/>
      <c r="DN23" s="327"/>
      <c r="DO23" s="327"/>
      <c r="DP23" s="327"/>
      <c r="DQ23" s="327"/>
      <c r="DR23" s="327"/>
      <c r="DS23" s="327"/>
      <c r="DT23" s="327"/>
      <c r="DU23" s="327"/>
      <c r="DV23" s="327"/>
      <c r="DW23" s="327"/>
      <c r="DX23" s="327"/>
      <c r="DY23" s="327"/>
      <c r="DZ23" s="327"/>
      <c r="EA23" s="327"/>
      <c r="EB23" s="327"/>
      <c r="EC23" s="327"/>
      <c r="ED23" s="327"/>
      <c r="EE23" s="327"/>
      <c r="EF23" s="327"/>
      <c r="EG23" s="327"/>
      <c r="EH23" s="327"/>
      <c r="EI23" s="327"/>
      <c r="EJ23" s="327"/>
      <c r="EK23" s="327"/>
      <c r="EL23" s="327"/>
      <c r="EM23" s="327"/>
      <c r="EN23" s="327"/>
      <c r="EO23" s="327"/>
      <c r="EP23" s="327"/>
      <c r="EQ23" s="327"/>
      <c r="ER23" s="327"/>
      <c r="ES23" s="327"/>
      <c r="ET23" s="327"/>
      <c r="EU23" s="327"/>
      <c r="EV23" s="327"/>
      <c r="EW23" s="327"/>
      <c r="EX23" s="327"/>
      <c r="EY23" s="327"/>
      <c r="EZ23" s="327"/>
      <c r="FA23" s="327"/>
      <c r="FB23" s="327"/>
      <c r="FC23" s="327"/>
      <c r="FD23" s="327"/>
      <c r="FE23" s="327"/>
      <c r="FF23" s="327"/>
      <c r="FG23" s="327"/>
      <c r="FH23" s="327"/>
      <c r="FI23" s="327"/>
      <c r="FJ23" s="119"/>
      <c r="FK23" s="119"/>
      <c r="FL23" s="327"/>
      <c r="FM23" s="327"/>
      <c r="FN23" s="119"/>
      <c r="FO23" s="119"/>
      <c r="FP23" s="327"/>
      <c r="FQ23" s="327"/>
      <c r="FR23" s="119"/>
      <c r="FS23" s="119"/>
      <c r="FT23" s="327"/>
      <c r="FU23" s="327"/>
      <c r="FV23" s="327"/>
      <c r="FW23" s="327"/>
      <c r="FX23" s="327"/>
      <c r="FY23" s="327"/>
      <c r="FZ23" s="327"/>
      <c r="GA23" s="327"/>
      <c r="GB23" s="327"/>
      <c r="GC23" s="327"/>
      <c r="GD23" s="327"/>
      <c r="GE23" s="327"/>
      <c r="GF23" s="327"/>
      <c r="GG23" s="327"/>
      <c r="GH23" s="327"/>
      <c r="GI23" s="327"/>
      <c r="GJ23" s="327"/>
      <c r="GK23" s="327"/>
      <c r="GL23" s="327"/>
      <c r="GM23" s="327"/>
      <c r="GN23" s="327"/>
      <c r="GO23" s="327"/>
      <c r="GP23" s="327"/>
      <c r="GQ23" s="327"/>
      <c r="GR23" s="327"/>
      <c r="GS23" s="327"/>
      <c r="GT23" s="327"/>
      <c r="GU23" s="327"/>
      <c r="GV23" s="327"/>
      <c r="GW23" s="327"/>
      <c r="GX23" s="327"/>
      <c r="GY23" s="327"/>
      <c r="GZ23" s="327"/>
      <c r="HA23" s="327"/>
      <c r="HB23" s="327"/>
      <c r="HC23" s="327"/>
      <c r="HD23" s="327"/>
      <c r="HE23" s="327"/>
      <c r="HF23" s="327"/>
      <c r="HG23" s="327"/>
      <c r="HH23" s="327"/>
      <c r="HI23" s="327"/>
      <c r="HJ23" s="327"/>
      <c r="HK23" s="327"/>
      <c r="HL23" s="327"/>
      <c r="HM23" s="327"/>
      <c r="HN23" s="327"/>
      <c r="HO23" s="327"/>
      <c r="HP23" s="327"/>
      <c r="HQ23" s="327"/>
      <c r="HR23" s="327"/>
      <c r="HS23" s="327"/>
      <c r="HT23" s="327"/>
      <c r="HU23" s="327"/>
      <c r="HV23" s="327"/>
      <c r="HW23" s="327"/>
      <c r="HX23" s="327"/>
      <c r="HY23" s="327"/>
    </row>
    <row r="24" spans="2:233" s="262" customFormat="1" x14ac:dyDescent="0.55000000000000004">
      <c r="B24" s="328" t="s">
        <v>297</v>
      </c>
      <c r="C24" s="328" t="s">
        <v>653</v>
      </c>
      <c r="D24" s="321" t="s">
        <v>654</v>
      </c>
      <c r="E24" s="321" t="s">
        <v>655</v>
      </c>
      <c r="F24" s="321" t="s">
        <v>654</v>
      </c>
      <c r="G24" s="321" t="s">
        <v>655</v>
      </c>
      <c r="H24" s="321" t="s">
        <v>654</v>
      </c>
      <c r="I24" s="321" t="s">
        <v>655</v>
      </c>
      <c r="J24" s="321" t="s">
        <v>654</v>
      </c>
      <c r="K24" s="321" t="s">
        <v>655</v>
      </c>
      <c r="L24" s="322" t="s">
        <v>654</v>
      </c>
      <c r="M24" s="322" t="s">
        <v>655</v>
      </c>
      <c r="N24" s="322" t="s">
        <v>654</v>
      </c>
      <c r="O24" s="322" t="s">
        <v>655</v>
      </c>
      <c r="P24" s="329" t="s">
        <v>654</v>
      </c>
      <c r="Q24" s="321" t="s">
        <v>655</v>
      </c>
      <c r="R24" s="329" t="s">
        <v>654</v>
      </c>
      <c r="S24" s="321" t="s">
        <v>655</v>
      </c>
      <c r="T24" s="329" t="s">
        <v>654</v>
      </c>
      <c r="U24" s="321" t="s">
        <v>655</v>
      </c>
      <c r="V24" s="329" t="s">
        <v>654</v>
      </c>
      <c r="W24" s="321" t="s">
        <v>655</v>
      </c>
      <c r="X24" s="322" t="s">
        <v>654</v>
      </c>
      <c r="Y24" s="322" t="s">
        <v>655</v>
      </c>
      <c r="Z24" s="322" t="s">
        <v>654</v>
      </c>
      <c r="AA24" s="322" t="s">
        <v>655</v>
      </c>
      <c r="AB24" s="322" t="s">
        <v>654</v>
      </c>
      <c r="AC24" s="322" t="s">
        <v>655</v>
      </c>
      <c r="AD24" s="322" t="s">
        <v>654</v>
      </c>
      <c r="AE24" s="322" t="s">
        <v>655</v>
      </c>
      <c r="AF24" s="322" t="s">
        <v>654</v>
      </c>
      <c r="AG24" s="322" t="s">
        <v>655</v>
      </c>
      <c r="AH24" s="322" t="s">
        <v>654</v>
      </c>
      <c r="AI24" s="322" t="s">
        <v>655</v>
      </c>
      <c r="AJ24" s="322" t="s">
        <v>654</v>
      </c>
      <c r="AK24" s="322" t="s">
        <v>655</v>
      </c>
      <c r="AL24" s="322" t="s">
        <v>654</v>
      </c>
      <c r="AM24" s="322" t="s">
        <v>655</v>
      </c>
      <c r="AN24" s="322" t="s">
        <v>654</v>
      </c>
      <c r="AO24" s="322" t="s">
        <v>655</v>
      </c>
      <c r="AP24" s="322" t="s">
        <v>654</v>
      </c>
      <c r="AQ24" s="322" t="s">
        <v>655</v>
      </c>
      <c r="AR24" s="322" t="s">
        <v>654</v>
      </c>
      <c r="AS24" s="322" t="s">
        <v>655</v>
      </c>
      <c r="AT24" s="322" t="s">
        <v>654</v>
      </c>
      <c r="AU24" s="322" t="s">
        <v>655</v>
      </c>
      <c r="AV24" s="322" t="s">
        <v>654</v>
      </c>
      <c r="AW24" s="322" t="s">
        <v>655</v>
      </c>
      <c r="AX24" s="322" t="s">
        <v>654</v>
      </c>
      <c r="AY24" s="322" t="s">
        <v>655</v>
      </c>
      <c r="AZ24" s="322" t="s">
        <v>654</v>
      </c>
      <c r="BA24" s="322" t="s">
        <v>655</v>
      </c>
      <c r="BB24" s="322" t="s">
        <v>654</v>
      </c>
      <c r="BC24" s="322" t="s">
        <v>655</v>
      </c>
      <c r="BD24" s="322" t="s">
        <v>654</v>
      </c>
      <c r="BE24" s="322" t="s">
        <v>655</v>
      </c>
      <c r="BF24" s="322" t="s">
        <v>654</v>
      </c>
      <c r="BG24" s="322" t="s">
        <v>655</v>
      </c>
      <c r="BH24" s="322" t="s">
        <v>654</v>
      </c>
      <c r="BI24" s="322" t="s">
        <v>655</v>
      </c>
      <c r="BJ24" s="322" t="s">
        <v>654</v>
      </c>
      <c r="BK24" s="322" t="s">
        <v>655</v>
      </c>
      <c r="BL24" s="322" t="s">
        <v>654</v>
      </c>
      <c r="BM24" s="322" t="s">
        <v>655</v>
      </c>
      <c r="BN24" s="322" t="s">
        <v>654</v>
      </c>
      <c r="BO24" s="322" t="s">
        <v>655</v>
      </c>
      <c r="BP24" s="322" t="s">
        <v>654</v>
      </c>
      <c r="BQ24" s="322" t="s">
        <v>655</v>
      </c>
      <c r="BR24" s="322" t="s">
        <v>654</v>
      </c>
      <c r="BS24" s="322" t="s">
        <v>655</v>
      </c>
      <c r="BT24" s="322" t="s">
        <v>654</v>
      </c>
      <c r="BU24" s="322" t="s">
        <v>655</v>
      </c>
      <c r="BV24" s="322" t="s">
        <v>654</v>
      </c>
      <c r="BW24" s="322" t="s">
        <v>655</v>
      </c>
      <c r="BX24" s="322" t="s">
        <v>654</v>
      </c>
      <c r="BY24" s="322" t="s">
        <v>655</v>
      </c>
      <c r="BZ24" s="322" t="s">
        <v>654</v>
      </c>
      <c r="CA24" s="322" t="s">
        <v>655</v>
      </c>
      <c r="CB24" s="322" t="s">
        <v>654</v>
      </c>
      <c r="CC24" s="322" t="s">
        <v>655</v>
      </c>
      <c r="CD24" s="322" t="s">
        <v>654</v>
      </c>
      <c r="CE24" s="322" t="s">
        <v>655</v>
      </c>
      <c r="CF24" s="322" t="s">
        <v>654</v>
      </c>
      <c r="CG24" s="323" t="s">
        <v>655</v>
      </c>
      <c r="CH24" s="322" t="s">
        <v>654</v>
      </c>
      <c r="CI24" s="323" t="s">
        <v>655</v>
      </c>
      <c r="CJ24" s="322" t="s">
        <v>654</v>
      </c>
      <c r="CK24" s="323" t="s">
        <v>655</v>
      </c>
      <c r="CL24" s="322" t="s">
        <v>654</v>
      </c>
      <c r="CM24" s="323" t="s">
        <v>655</v>
      </c>
      <c r="CN24" s="322" t="s">
        <v>654</v>
      </c>
      <c r="CO24" s="323" t="s">
        <v>655</v>
      </c>
      <c r="CP24" s="322" t="s">
        <v>654</v>
      </c>
      <c r="CQ24" s="323" t="s">
        <v>655</v>
      </c>
      <c r="CR24" s="322" t="s">
        <v>654</v>
      </c>
      <c r="CS24" s="323" t="s">
        <v>655</v>
      </c>
      <c r="CT24" s="322" t="s">
        <v>654</v>
      </c>
      <c r="CU24" s="323" t="s">
        <v>655</v>
      </c>
      <c r="CV24" s="322" t="s">
        <v>654</v>
      </c>
      <c r="CW24" s="323" t="s">
        <v>655</v>
      </c>
      <c r="CX24" s="322" t="s">
        <v>654</v>
      </c>
      <c r="CY24" s="323" t="s">
        <v>655</v>
      </c>
      <c r="CZ24" s="322" t="s">
        <v>654</v>
      </c>
      <c r="DA24" s="323" t="s">
        <v>655</v>
      </c>
      <c r="DB24" s="322" t="s">
        <v>654</v>
      </c>
      <c r="DC24" s="323" t="s">
        <v>655</v>
      </c>
      <c r="DD24" s="322" t="s">
        <v>654</v>
      </c>
      <c r="DE24" s="323" t="s">
        <v>655</v>
      </c>
      <c r="DF24" s="322" t="s">
        <v>654</v>
      </c>
      <c r="DG24" s="323" t="s">
        <v>655</v>
      </c>
      <c r="DH24" s="322" t="s">
        <v>654</v>
      </c>
      <c r="DI24" s="323" t="s">
        <v>655</v>
      </c>
      <c r="DJ24" s="322" t="s">
        <v>654</v>
      </c>
      <c r="DK24" s="323" t="s">
        <v>655</v>
      </c>
      <c r="DL24" s="322" t="s">
        <v>654</v>
      </c>
      <c r="DM24" s="323" t="s">
        <v>655</v>
      </c>
      <c r="DN24" s="322" t="s">
        <v>654</v>
      </c>
      <c r="DO24" s="323" t="s">
        <v>655</v>
      </c>
      <c r="DP24" s="322" t="s">
        <v>654</v>
      </c>
      <c r="DQ24" s="323" t="s">
        <v>655</v>
      </c>
      <c r="DR24" s="322" t="s">
        <v>654</v>
      </c>
      <c r="DS24" s="323" t="s">
        <v>655</v>
      </c>
      <c r="DT24" s="322" t="s">
        <v>654</v>
      </c>
      <c r="DU24" s="323" t="s">
        <v>655</v>
      </c>
      <c r="DV24" s="322" t="s">
        <v>654</v>
      </c>
      <c r="DW24" s="323" t="s">
        <v>655</v>
      </c>
      <c r="DX24" s="322" t="s">
        <v>654</v>
      </c>
      <c r="DY24" s="323" t="s">
        <v>655</v>
      </c>
      <c r="DZ24" s="322" t="s">
        <v>654</v>
      </c>
      <c r="EA24" s="323" t="s">
        <v>655</v>
      </c>
      <c r="EB24" s="322" t="s">
        <v>654</v>
      </c>
      <c r="EC24" s="323" t="s">
        <v>655</v>
      </c>
      <c r="ED24" s="322" t="s">
        <v>654</v>
      </c>
      <c r="EE24" s="323" t="s">
        <v>655</v>
      </c>
      <c r="EF24" s="322" t="s">
        <v>654</v>
      </c>
      <c r="EG24" s="323" t="s">
        <v>655</v>
      </c>
      <c r="EH24" s="322" t="s">
        <v>654</v>
      </c>
      <c r="EI24" s="323" t="s">
        <v>655</v>
      </c>
      <c r="EJ24" s="322" t="s">
        <v>654</v>
      </c>
      <c r="EK24" s="323" t="s">
        <v>655</v>
      </c>
      <c r="EL24" s="322" t="s">
        <v>654</v>
      </c>
      <c r="EM24" s="323" t="s">
        <v>655</v>
      </c>
      <c r="EN24" s="322" t="s">
        <v>654</v>
      </c>
      <c r="EO24" s="323" t="s">
        <v>655</v>
      </c>
      <c r="EP24" s="322" t="s">
        <v>654</v>
      </c>
      <c r="EQ24" s="323" t="s">
        <v>655</v>
      </c>
      <c r="ER24" s="322" t="s">
        <v>654</v>
      </c>
      <c r="ES24" s="323" t="s">
        <v>655</v>
      </c>
      <c r="ET24" s="322" t="s">
        <v>654</v>
      </c>
      <c r="EU24" s="323" t="s">
        <v>655</v>
      </c>
      <c r="EV24" s="322" t="s">
        <v>654</v>
      </c>
      <c r="EW24" s="323" t="s">
        <v>655</v>
      </c>
      <c r="EX24" s="322" t="s">
        <v>654</v>
      </c>
      <c r="EY24" s="323" t="s">
        <v>655</v>
      </c>
      <c r="EZ24" s="322" t="s">
        <v>654</v>
      </c>
      <c r="FA24" s="323" t="s">
        <v>655</v>
      </c>
      <c r="FB24" s="322" t="s">
        <v>654</v>
      </c>
      <c r="FC24" s="323" t="s">
        <v>655</v>
      </c>
      <c r="FD24" s="322" t="s">
        <v>654</v>
      </c>
      <c r="FE24" s="323" t="s">
        <v>655</v>
      </c>
      <c r="FF24" s="322" t="s">
        <v>654</v>
      </c>
      <c r="FG24" s="323" t="s">
        <v>655</v>
      </c>
      <c r="FH24" s="322" t="s">
        <v>654</v>
      </c>
      <c r="FI24" s="323" t="s">
        <v>655</v>
      </c>
      <c r="FJ24" s="323" t="s">
        <v>654</v>
      </c>
      <c r="FK24" s="323" t="s">
        <v>655</v>
      </c>
      <c r="FL24" s="322" t="s">
        <v>654</v>
      </c>
      <c r="FM24" s="323" t="s">
        <v>655</v>
      </c>
      <c r="FN24" s="323" t="s">
        <v>654</v>
      </c>
      <c r="FO24" s="323" t="s">
        <v>655</v>
      </c>
      <c r="FP24" s="322" t="s">
        <v>654</v>
      </c>
      <c r="FQ24" s="323" t="s">
        <v>655</v>
      </c>
      <c r="FR24" s="323" t="s">
        <v>654</v>
      </c>
      <c r="FS24" s="323" t="s">
        <v>655</v>
      </c>
      <c r="FT24" s="323" t="s">
        <v>654</v>
      </c>
      <c r="FU24" s="323" t="s">
        <v>655</v>
      </c>
      <c r="FV24" s="323" t="s">
        <v>654</v>
      </c>
      <c r="FW24" s="323" t="s">
        <v>655</v>
      </c>
      <c r="FX24" s="323" t="s">
        <v>654</v>
      </c>
      <c r="FY24" s="323" t="s">
        <v>655</v>
      </c>
      <c r="FZ24" s="323" t="s">
        <v>654</v>
      </c>
      <c r="GA24" s="323" t="s">
        <v>655</v>
      </c>
      <c r="GB24" s="323" t="s">
        <v>654</v>
      </c>
      <c r="GC24" s="323" t="s">
        <v>655</v>
      </c>
      <c r="GD24" s="323" t="s">
        <v>654</v>
      </c>
      <c r="GE24" s="323" t="s">
        <v>655</v>
      </c>
      <c r="GF24" s="323" t="s">
        <v>654</v>
      </c>
      <c r="GG24" s="323" t="s">
        <v>655</v>
      </c>
      <c r="GH24" s="323" t="s">
        <v>654</v>
      </c>
      <c r="GI24" s="323" t="s">
        <v>655</v>
      </c>
      <c r="GJ24" s="323" t="s">
        <v>654</v>
      </c>
      <c r="GK24" s="323" t="s">
        <v>655</v>
      </c>
      <c r="GL24" s="323" t="s">
        <v>654</v>
      </c>
      <c r="GM24" s="323" t="s">
        <v>655</v>
      </c>
      <c r="GN24" s="323" t="s">
        <v>654</v>
      </c>
      <c r="GO24" s="323" t="s">
        <v>655</v>
      </c>
      <c r="GP24" s="323" t="s">
        <v>654</v>
      </c>
      <c r="GQ24" s="323" t="s">
        <v>655</v>
      </c>
      <c r="GR24" s="323" t="s">
        <v>654</v>
      </c>
      <c r="GS24" s="323" t="s">
        <v>655</v>
      </c>
      <c r="GT24" s="323" t="s">
        <v>654</v>
      </c>
      <c r="GU24" s="323" t="s">
        <v>655</v>
      </c>
      <c r="GV24" s="323" t="s">
        <v>654</v>
      </c>
      <c r="GW24" s="323" t="s">
        <v>655</v>
      </c>
      <c r="GX24" s="323" t="s">
        <v>654</v>
      </c>
      <c r="GY24" s="323" t="s">
        <v>655</v>
      </c>
      <c r="GZ24" s="323" t="s">
        <v>654</v>
      </c>
      <c r="HA24" s="323" t="s">
        <v>655</v>
      </c>
      <c r="HB24" s="323" t="s">
        <v>654</v>
      </c>
      <c r="HC24" s="323" t="s">
        <v>655</v>
      </c>
      <c r="HD24" s="323" t="s">
        <v>654</v>
      </c>
      <c r="HE24" s="323" t="s">
        <v>655</v>
      </c>
      <c r="HF24" s="323" t="s">
        <v>654</v>
      </c>
      <c r="HG24" s="323" t="s">
        <v>655</v>
      </c>
      <c r="HH24" s="323" t="s">
        <v>654</v>
      </c>
      <c r="HI24" s="323" t="s">
        <v>655</v>
      </c>
      <c r="HJ24" s="323" t="s">
        <v>654</v>
      </c>
      <c r="HK24" s="323" t="s">
        <v>655</v>
      </c>
      <c r="HL24" s="323" t="s">
        <v>654</v>
      </c>
      <c r="HM24" s="323" t="s">
        <v>655</v>
      </c>
      <c r="HN24" s="323" t="s">
        <v>654</v>
      </c>
      <c r="HO24" s="323" t="s">
        <v>655</v>
      </c>
      <c r="HP24" s="323" t="s">
        <v>654</v>
      </c>
      <c r="HQ24" s="323" t="s">
        <v>655</v>
      </c>
      <c r="HR24" s="323" t="s">
        <v>654</v>
      </c>
      <c r="HS24" s="323" t="s">
        <v>655</v>
      </c>
      <c r="HT24" s="323" t="s">
        <v>654</v>
      </c>
      <c r="HU24" s="323" t="s">
        <v>655</v>
      </c>
      <c r="HV24" s="323" t="s">
        <v>654</v>
      </c>
      <c r="HW24" s="323" t="s">
        <v>655</v>
      </c>
      <c r="HX24" s="323" t="s">
        <v>654</v>
      </c>
      <c r="HY24" s="323" t="s">
        <v>655</v>
      </c>
    </row>
    <row r="25" spans="2:233" x14ac:dyDescent="0.55000000000000004">
      <c r="B25" s="21">
        <v>1</v>
      </c>
      <c r="C25" s="324" t="s">
        <v>244</v>
      </c>
      <c r="D25" s="122">
        <v>11.708616355692763</v>
      </c>
      <c r="E25" s="122">
        <v>15487.11955566715</v>
      </c>
      <c r="F25" s="122">
        <v>11.31157381258166</v>
      </c>
      <c r="G25" s="122">
        <v>33982.477447894737</v>
      </c>
      <c r="H25" s="122">
        <v>9.7075203034535367</v>
      </c>
      <c r="I25" s="122">
        <v>46901.774960177499</v>
      </c>
      <c r="J25" s="122">
        <v>10.406174701776314</v>
      </c>
      <c r="K25" s="122">
        <v>57366.947365246997</v>
      </c>
      <c r="L25" s="122">
        <v>11.112566104664674</v>
      </c>
      <c r="M25" s="122">
        <v>73310.665511143132</v>
      </c>
      <c r="N25" s="122">
        <v>12.464460751981891</v>
      </c>
      <c r="O25" s="122">
        <v>95936.044972391144</v>
      </c>
      <c r="P25" s="122">
        <v>10.357704837572919</v>
      </c>
      <c r="Q25" s="122">
        <v>59611.177424467031</v>
      </c>
      <c r="R25" s="122">
        <v>10.271384689910173</v>
      </c>
      <c r="S25" s="122">
        <v>61841.441890072034</v>
      </c>
      <c r="T25" s="122">
        <v>9.9021282154672026</v>
      </c>
      <c r="U25" s="122">
        <v>63232.882733353028</v>
      </c>
      <c r="V25" s="122">
        <v>10.487660520587621</v>
      </c>
      <c r="W25" s="122">
        <v>62209.92726967614</v>
      </c>
      <c r="X25" s="122">
        <v>10.559553464214396</v>
      </c>
      <c r="Y25" s="122">
        <v>63626.743355871076</v>
      </c>
      <c r="Z25" s="122">
        <v>10.372064358675953</v>
      </c>
      <c r="AA25" s="122">
        <v>64498.546931529119</v>
      </c>
      <c r="AB25" s="122">
        <v>10.310016535757345</v>
      </c>
      <c r="AC25" s="122">
        <v>66089.904966413378</v>
      </c>
      <c r="AD25" s="122">
        <v>10.955250172401128</v>
      </c>
      <c r="AE25" s="122">
        <v>66333.178446639591</v>
      </c>
      <c r="AF25" s="122">
        <v>11.139854790109249</v>
      </c>
      <c r="AG25" s="122">
        <v>68608.212638480967</v>
      </c>
      <c r="AH25" s="122">
        <v>11.130752279297996</v>
      </c>
      <c r="AI25" s="122">
        <v>68960.551551039112</v>
      </c>
      <c r="AJ25" s="122">
        <v>11.648877753856171</v>
      </c>
      <c r="AK25" s="122">
        <v>70716.60989814905</v>
      </c>
      <c r="AL25" s="122">
        <v>11.112566104664674</v>
      </c>
      <c r="AM25" s="122">
        <v>73310.665511143132</v>
      </c>
      <c r="AN25" s="122">
        <v>11.562146744420907</v>
      </c>
      <c r="AO25" s="122">
        <v>73228.993238303054</v>
      </c>
      <c r="AP25" s="122">
        <v>11.905727649531096</v>
      </c>
      <c r="AQ25" s="122">
        <v>74361.507920321077</v>
      </c>
      <c r="AR25" s="122">
        <v>11.023478798937534</v>
      </c>
      <c r="AS25" s="122">
        <v>78526.325455184124</v>
      </c>
      <c r="AT25" s="122">
        <v>11.548207889855032</v>
      </c>
      <c r="AU25" s="122">
        <v>79181.644272537131</v>
      </c>
      <c r="AV25" s="122">
        <v>11.487838276566491</v>
      </c>
      <c r="AW25" s="122">
        <v>81944.652625265095</v>
      </c>
      <c r="AX25" s="122">
        <v>11.967772225301468</v>
      </c>
      <c r="AY25" s="122">
        <v>85053.847065342095</v>
      </c>
      <c r="AZ25" s="122">
        <v>12.011992157196982</v>
      </c>
      <c r="BA25" s="122">
        <v>86677.737210436127</v>
      </c>
      <c r="BB25" s="122">
        <v>12.058227426290371</v>
      </c>
      <c r="BC25" s="122">
        <v>90022.071011915075</v>
      </c>
      <c r="BD25" s="122">
        <v>12.180200724471462</v>
      </c>
      <c r="BE25" s="122">
        <v>91691.01873238229</v>
      </c>
      <c r="BF25" s="122">
        <v>12.323617128772357</v>
      </c>
      <c r="BG25" s="122">
        <v>93149.574187184073</v>
      </c>
      <c r="BH25" s="122">
        <v>12.452133752208278</v>
      </c>
      <c r="BI25" s="122">
        <v>93080.96946315105</v>
      </c>
      <c r="BJ25" s="122">
        <v>12.464460751981891</v>
      </c>
      <c r="BK25" s="122">
        <v>95936.044972391144</v>
      </c>
      <c r="BL25" s="122">
        <v>12.425808261532167</v>
      </c>
      <c r="BM25" s="122">
        <v>99693.846333595153</v>
      </c>
      <c r="BN25" s="122">
        <v>12.458321741566838</v>
      </c>
      <c r="BO25" s="122">
        <v>109056.9956217501</v>
      </c>
      <c r="BP25" s="122">
        <v>12.544052429293947</v>
      </c>
      <c r="BQ25" s="122">
        <v>112334.29351763136</v>
      </c>
      <c r="BR25" s="122">
        <v>12.476736810260929</v>
      </c>
      <c r="BS25" s="122">
        <v>112674.99932327215</v>
      </c>
      <c r="BT25" s="122">
        <v>12.499456964053948</v>
      </c>
      <c r="BU25" s="122">
        <v>115413.71679118919</v>
      </c>
      <c r="BV25" s="122">
        <v>12.514584776794418</v>
      </c>
      <c r="BW25" s="122">
        <v>119507.04469737509</v>
      </c>
      <c r="BX25" s="122">
        <v>12.089417510090747</v>
      </c>
      <c r="BY25" s="122">
        <v>120321.66323712107</v>
      </c>
      <c r="BZ25" s="122">
        <v>12.085552285389381</v>
      </c>
      <c r="CA25" s="122">
        <v>122591.16838159252</v>
      </c>
      <c r="CB25" s="122">
        <v>12.173439774113811</v>
      </c>
      <c r="CC25" s="122">
        <v>125182.67670654604</v>
      </c>
      <c r="CD25" s="122">
        <v>12.103512125082993</v>
      </c>
      <c r="CE25" s="122">
        <v>127785.83937984996</v>
      </c>
      <c r="CF25" s="122">
        <v>12.005575868886444</v>
      </c>
      <c r="CG25" s="122">
        <v>125371.032781567</v>
      </c>
      <c r="CH25" s="122">
        <v>11.474742427573188</v>
      </c>
      <c r="CI25" s="122">
        <v>130561.64992564649</v>
      </c>
      <c r="CJ25" s="122">
        <v>11.669611201475252</v>
      </c>
      <c r="CK25" s="122">
        <v>130972.11563886006</v>
      </c>
      <c r="CL25" s="122">
        <v>11.54592722849895</v>
      </c>
      <c r="CM25" s="122">
        <v>132056.5520651128</v>
      </c>
      <c r="CN25" s="122">
        <v>11.487002551957788</v>
      </c>
      <c r="CO25" s="122">
        <v>134590.80849085451</v>
      </c>
      <c r="CP25" s="122">
        <v>11.55097354690977</v>
      </c>
      <c r="CQ25" s="122">
        <v>137150.25362848799</v>
      </c>
      <c r="CR25" s="122">
        <v>11.481336745038073</v>
      </c>
      <c r="CS25" s="122">
        <v>143771.80235364704</v>
      </c>
      <c r="CT25" s="122">
        <v>11.38359021016827</v>
      </c>
      <c r="CU25" s="122">
        <v>150535.17349208554</v>
      </c>
      <c r="CV25" s="122">
        <v>11.225819419512137</v>
      </c>
      <c r="CW25" s="122">
        <v>152056.13077798847</v>
      </c>
      <c r="CX25" s="122">
        <v>11.264711654820195</v>
      </c>
      <c r="CY25" s="122">
        <v>156286.38760523568</v>
      </c>
      <c r="CZ25" s="122">
        <v>11.28572445991704</v>
      </c>
      <c r="DA25" s="122">
        <v>157719.10150420715</v>
      </c>
      <c r="DB25" s="122">
        <v>10.94537907818585</v>
      </c>
      <c r="DC25" s="122">
        <v>156832.55596741123</v>
      </c>
      <c r="DD25" s="122">
        <v>10.718561661545136</v>
      </c>
      <c r="DE25" s="122">
        <v>155869.47763927968</v>
      </c>
      <c r="DF25" s="122">
        <v>10.367191068477837</v>
      </c>
      <c r="DG25" s="122">
        <v>163056.24005253392</v>
      </c>
      <c r="DH25" s="122">
        <v>9.8324647199652162</v>
      </c>
      <c r="DI25" s="122">
        <v>160733.96097377749</v>
      </c>
      <c r="DJ25" s="122">
        <v>9.7263328863770724</v>
      </c>
      <c r="DK25" s="122">
        <v>165256.92206617462</v>
      </c>
      <c r="DL25" s="122">
        <v>9.4866408331084813</v>
      </c>
      <c r="DM25" s="122">
        <v>175365.85694130068</v>
      </c>
      <c r="DN25" s="122">
        <v>9.1291837424129305</v>
      </c>
      <c r="DO25" s="122">
        <v>177720.04402434814</v>
      </c>
      <c r="DP25" s="122">
        <v>8.9697962483423961</v>
      </c>
      <c r="DQ25" s="122">
        <v>185964.12350821804</v>
      </c>
      <c r="DR25" s="122">
        <v>8.6862683985223921</v>
      </c>
      <c r="DS25" s="122">
        <v>198746.30506238711</v>
      </c>
      <c r="DT25" s="122">
        <v>8.2965245111956261</v>
      </c>
      <c r="DU25" s="122">
        <v>209405.82629511299</v>
      </c>
      <c r="DV25" s="122">
        <v>8.2099151443442437</v>
      </c>
      <c r="DW25" s="122">
        <v>214939.18935001196</v>
      </c>
      <c r="DX25" s="122">
        <v>8.1561629326109752</v>
      </c>
      <c r="DY25" s="122">
        <v>226342.12932813115</v>
      </c>
      <c r="DZ25" s="122">
        <v>7.978723822935649</v>
      </c>
      <c r="EA25" s="122">
        <v>229954.00005554</v>
      </c>
      <c r="EB25" s="122">
        <v>7.9660076167258564</v>
      </c>
      <c r="EC25" s="122">
        <v>231354.17956261797</v>
      </c>
      <c r="ED25" s="122">
        <v>7.9321751481918739</v>
      </c>
      <c r="EE25" s="122">
        <v>236866.23540937947</v>
      </c>
      <c r="EF25" s="122">
        <v>7.9581150771341278</v>
      </c>
      <c r="EG25" s="122">
        <v>240578.5227694246</v>
      </c>
      <c r="EH25" s="122">
        <v>8.0285698362894529</v>
      </c>
      <c r="EI25" s="122">
        <v>249461.13342202347</v>
      </c>
      <c r="EJ25" s="122">
        <v>8.0507889648558475</v>
      </c>
      <c r="EK25" s="122">
        <v>258295.84405165212</v>
      </c>
      <c r="EL25" s="122">
        <v>8.4098571199315462</v>
      </c>
      <c r="EM25" s="122">
        <v>261449.96814683787</v>
      </c>
      <c r="EN25" s="122">
        <v>8.6568355957391336</v>
      </c>
      <c r="EO25" s="122">
        <v>266424.52994692547</v>
      </c>
      <c r="EP25" s="122">
        <v>8.7779766764964666</v>
      </c>
      <c r="EQ25" s="122">
        <v>269314.18824608845</v>
      </c>
      <c r="ER25" s="122">
        <v>9.4941319773694666</v>
      </c>
      <c r="ES25" s="122">
        <v>276304.78893996688</v>
      </c>
      <c r="ET25" s="122">
        <v>9.6374519481826191</v>
      </c>
      <c r="EU25" s="122">
        <v>284409.11682245595</v>
      </c>
      <c r="EV25" s="122">
        <v>9.7406055704273182</v>
      </c>
      <c r="EW25" s="122">
        <v>287555.00232862303</v>
      </c>
      <c r="EX25" s="122">
        <v>10.332339898520718</v>
      </c>
      <c r="EY25" s="122">
        <v>293179.79045782186</v>
      </c>
      <c r="EZ25" s="122">
        <v>10.367355537461313</v>
      </c>
      <c r="FA25" s="122">
        <v>296975.458765733</v>
      </c>
      <c r="FB25" s="122">
        <v>10.404353168358309</v>
      </c>
      <c r="FC25" s="122">
        <v>299322.85404379497</v>
      </c>
      <c r="FD25" s="122">
        <v>10.748102257811494</v>
      </c>
      <c r="FE25" s="122">
        <v>300791.91787198285</v>
      </c>
      <c r="FF25" s="122">
        <v>10.832893226163016</v>
      </c>
      <c r="FG25" s="122">
        <v>297653.99956635293</v>
      </c>
      <c r="FH25" s="122">
        <v>10.961563044404164</v>
      </c>
      <c r="FI25" s="122">
        <v>302920.65627595299</v>
      </c>
      <c r="FJ25" s="122">
        <v>11.483324147536353</v>
      </c>
      <c r="FK25" s="122">
        <v>307716.50836748298</v>
      </c>
      <c r="FL25" s="122">
        <v>11.615131866516402</v>
      </c>
      <c r="FM25" s="122">
        <v>311115.09185524925</v>
      </c>
      <c r="FN25" s="122">
        <v>11.732553619451604</v>
      </c>
      <c r="FO25" s="122">
        <v>316480.34218614741</v>
      </c>
      <c r="FP25" s="122">
        <v>12.244839384803022</v>
      </c>
      <c r="FQ25" s="122">
        <v>324602.81287155155</v>
      </c>
      <c r="FR25" s="122">
        <v>12.197179392679868</v>
      </c>
      <c r="FS25" s="122">
        <v>327296.73137328558</v>
      </c>
      <c r="FT25" s="122">
        <v>12.090457042016681</v>
      </c>
      <c r="FU25" s="122">
        <v>329112.50866942637</v>
      </c>
      <c r="FV25" s="122">
        <v>11.939744987946277</v>
      </c>
      <c r="FW25" s="122">
        <v>331320.7680909764</v>
      </c>
      <c r="FX25" s="122">
        <v>11.751313130520575</v>
      </c>
      <c r="FY25" s="122">
        <v>328671.83206212998</v>
      </c>
      <c r="FZ25" s="122">
        <v>11.49926644887997</v>
      </c>
      <c r="GA25" s="122">
        <v>320631.41489451635</v>
      </c>
      <c r="GB25" s="122">
        <v>9.2555016725462043</v>
      </c>
      <c r="GC25" s="122">
        <v>326949.67590481718</v>
      </c>
      <c r="GD25" s="122">
        <v>11.404998956863231</v>
      </c>
      <c r="GE25" s="122">
        <v>324006.44225418463</v>
      </c>
      <c r="GF25" s="122">
        <v>11.436046763252383</v>
      </c>
      <c r="GG25" s="122">
        <v>326839.22388640954</v>
      </c>
      <c r="GH25" s="122">
        <v>11.507530029242282</v>
      </c>
      <c r="GI25" s="122">
        <v>320920.85097629327</v>
      </c>
      <c r="GJ25" s="122">
        <v>11.388324565426709</v>
      </c>
      <c r="GK25" s="122">
        <v>322838.57475119445</v>
      </c>
      <c r="GL25" s="122">
        <v>10.839223283141987</v>
      </c>
      <c r="GM25" s="122">
        <v>327065.926811677</v>
      </c>
      <c r="GN25" s="122">
        <v>10.621023109549389</v>
      </c>
      <c r="GO25" s="122">
        <v>325881.05297303945</v>
      </c>
      <c r="GP25" s="122">
        <v>10.294632596093265</v>
      </c>
      <c r="GQ25" s="122">
        <v>323587.65498144901</v>
      </c>
      <c r="GR25" s="122">
        <v>10.029752994412044</v>
      </c>
      <c r="GS25" s="122">
        <v>323476.34187627892</v>
      </c>
      <c r="GT25" s="122">
        <v>9.8081004721681602</v>
      </c>
      <c r="GU25" s="122">
        <v>321279.51577630034</v>
      </c>
      <c r="GV25" s="122">
        <v>9.633991547989714</v>
      </c>
      <c r="GW25" s="122">
        <v>322487.77537397877</v>
      </c>
      <c r="GX25" s="122">
        <v>9.3904150540662492</v>
      </c>
      <c r="GY25" s="122">
        <v>322187.21994263236</v>
      </c>
      <c r="GZ25" s="122">
        <v>9.2523024022298479</v>
      </c>
      <c r="HA25" s="122">
        <v>321931.82439409971</v>
      </c>
      <c r="HB25" s="122">
        <v>9.0125738852251001</v>
      </c>
      <c r="HC25" s="122">
        <v>321060.81265686569</v>
      </c>
      <c r="HD25" s="122">
        <v>8.6227232242092224</v>
      </c>
      <c r="HE25" s="122">
        <v>321092.02078597533</v>
      </c>
      <c r="HF25" s="122">
        <v>8.4723651484360687</v>
      </c>
      <c r="HG25" s="122">
        <v>318973.41573912831</v>
      </c>
      <c r="HH25" s="122">
        <v>8.3832718033170188</v>
      </c>
      <c r="HI25" s="122">
        <v>316878.39385404391</v>
      </c>
      <c r="HJ25" s="122">
        <v>8.1643455111577925</v>
      </c>
      <c r="HK25" s="122">
        <v>317657.9032560357</v>
      </c>
      <c r="HL25" s="122">
        <v>8.0185264813226578</v>
      </c>
      <c r="HM25" s="122">
        <v>316207.97013761854</v>
      </c>
      <c r="HN25" s="122">
        <v>7.8533116488165469</v>
      </c>
      <c r="HO25" s="122">
        <v>312683.14563857607</v>
      </c>
      <c r="HP25" s="122">
        <v>7.0684374044627374</v>
      </c>
      <c r="HQ25" s="122">
        <v>316151.36646602076</v>
      </c>
      <c r="HR25" s="122">
        <v>7.552494194957811</v>
      </c>
      <c r="HS25" s="122">
        <v>315041.99526131107</v>
      </c>
      <c r="HT25" s="122">
        <v>7.4029129386892736</v>
      </c>
      <c r="HU25" s="122">
        <v>320822.89682946313</v>
      </c>
      <c r="HV25" s="122">
        <v>7.3678179130005246</v>
      </c>
      <c r="HW25" s="122">
        <v>313407.39833564468</v>
      </c>
      <c r="HX25" s="122">
        <v>7.2669209207885554</v>
      </c>
      <c r="HY25" s="122">
        <v>309185.96681176621</v>
      </c>
    </row>
    <row r="26" spans="2:233" x14ac:dyDescent="0.55000000000000004">
      <c r="B26" s="21">
        <v>2</v>
      </c>
      <c r="C26" s="324" t="s">
        <v>245</v>
      </c>
      <c r="D26" s="122">
        <v>12.974698265246092</v>
      </c>
      <c r="E26" s="122">
        <v>64.010100500000007</v>
      </c>
      <c r="F26" s="122">
        <v>11.512486439722457</v>
      </c>
      <c r="G26" s="122">
        <v>599.74045162999971</v>
      </c>
      <c r="H26" s="122">
        <v>10.050227617653658</v>
      </c>
      <c r="I26" s="122">
        <v>1030.5536482399996</v>
      </c>
      <c r="J26" s="122">
        <v>9.8373841330984302</v>
      </c>
      <c r="K26" s="122">
        <v>1499.73236632</v>
      </c>
      <c r="L26" s="122">
        <v>11.359985829634894</v>
      </c>
      <c r="M26" s="122">
        <v>1996.5878720799997</v>
      </c>
      <c r="N26" s="122">
        <v>12.162235603216939</v>
      </c>
      <c r="O26" s="122">
        <v>2307.0972764799985</v>
      </c>
      <c r="P26" s="122">
        <v>9.8584330681476047</v>
      </c>
      <c r="Q26" s="122">
        <v>1525.1914901900002</v>
      </c>
      <c r="R26" s="122">
        <v>9.8042053636728159</v>
      </c>
      <c r="S26" s="122">
        <v>1561.60993067</v>
      </c>
      <c r="T26" s="122">
        <v>9.7739352075802994</v>
      </c>
      <c r="U26" s="122">
        <v>1653.2770964399995</v>
      </c>
      <c r="V26" s="122">
        <v>9.763784585523771</v>
      </c>
      <c r="W26" s="122">
        <v>1691.0945468799998</v>
      </c>
      <c r="X26" s="122">
        <v>9.7960885494781333</v>
      </c>
      <c r="Y26" s="122">
        <v>1721.8910217299997</v>
      </c>
      <c r="Z26" s="122">
        <v>10.026633264747002</v>
      </c>
      <c r="AA26" s="122">
        <v>1736.0624425199999</v>
      </c>
      <c r="AB26" s="122">
        <v>10.376695535000731</v>
      </c>
      <c r="AC26" s="122">
        <v>1762.6000949599998</v>
      </c>
      <c r="AD26" s="122">
        <v>10.555077810788113</v>
      </c>
      <c r="AE26" s="122">
        <v>1804.5839569199995</v>
      </c>
      <c r="AF26" s="122">
        <v>10.619291877679402</v>
      </c>
      <c r="AG26" s="122">
        <v>1846.3828897199999</v>
      </c>
      <c r="AH26" s="122">
        <v>10.619621230812641</v>
      </c>
      <c r="AI26" s="122">
        <v>1880.77329945</v>
      </c>
      <c r="AJ26" s="122">
        <v>11.17981134788227</v>
      </c>
      <c r="AK26" s="122">
        <v>1919.2173195099997</v>
      </c>
      <c r="AL26" s="122">
        <v>11.359985829634894</v>
      </c>
      <c r="AM26" s="122">
        <v>1996.5878720799997</v>
      </c>
      <c r="AN26" s="122">
        <v>11.383100142605521</v>
      </c>
      <c r="AO26" s="122">
        <v>2009.1860305199998</v>
      </c>
      <c r="AP26" s="122">
        <v>11.379064600799609</v>
      </c>
      <c r="AQ26" s="122">
        <v>2020.0221230499994</v>
      </c>
      <c r="AR26" s="122">
        <v>11.188660802302868</v>
      </c>
      <c r="AS26" s="122">
        <v>2076.5801121599993</v>
      </c>
      <c r="AT26" s="122">
        <v>11.376966358082429</v>
      </c>
      <c r="AU26" s="122">
        <v>2081.7329314999993</v>
      </c>
      <c r="AV26" s="122">
        <v>11.284753966385928</v>
      </c>
      <c r="AW26" s="122">
        <v>2152.6349312099992</v>
      </c>
      <c r="AX26" s="122">
        <v>11.871466567562436</v>
      </c>
      <c r="AY26" s="122">
        <v>2204.5889369999995</v>
      </c>
      <c r="AZ26" s="122">
        <v>11.970136034766114</v>
      </c>
      <c r="BA26" s="122">
        <v>2308.4786609899993</v>
      </c>
      <c r="BB26" s="122">
        <v>12.06297295919965</v>
      </c>
      <c r="BC26" s="122">
        <v>2390.3172711799994</v>
      </c>
      <c r="BD26" s="122">
        <v>12.074204240321144</v>
      </c>
      <c r="BE26" s="122">
        <v>2290.4941084000002</v>
      </c>
      <c r="BF26" s="122">
        <v>12.17014776179494</v>
      </c>
      <c r="BG26" s="122">
        <v>2232.1407338600002</v>
      </c>
      <c r="BH26" s="122">
        <v>12.230954273936305</v>
      </c>
      <c r="BI26" s="122">
        <v>2257.0145243499992</v>
      </c>
      <c r="BJ26" s="122">
        <v>12.162235603216939</v>
      </c>
      <c r="BK26" s="122">
        <v>2307.0972764799985</v>
      </c>
      <c r="BL26" s="122">
        <v>12.146830615839256</v>
      </c>
      <c r="BM26" s="122">
        <v>2480.9573468799995</v>
      </c>
      <c r="BN26" s="122">
        <v>12.053676801961185</v>
      </c>
      <c r="BO26" s="122">
        <v>2616.9432416799996</v>
      </c>
      <c r="BP26" s="122">
        <v>12.070899253271337</v>
      </c>
      <c r="BQ26" s="122">
        <v>2701.1063169699987</v>
      </c>
      <c r="BR26" s="122">
        <v>11.945486049392128</v>
      </c>
      <c r="BS26" s="122">
        <v>2697.1321833800002</v>
      </c>
      <c r="BT26" s="122">
        <v>11.938054875633405</v>
      </c>
      <c r="BU26" s="122">
        <v>2763.2964564499998</v>
      </c>
      <c r="BV26" s="122">
        <v>11.834634026112635</v>
      </c>
      <c r="BW26" s="122">
        <v>2698.3974318799992</v>
      </c>
      <c r="BX26" s="122">
        <v>11.532588322052439</v>
      </c>
      <c r="BY26" s="122">
        <v>2922.5103454399987</v>
      </c>
      <c r="BZ26" s="122">
        <v>11.467469422438906</v>
      </c>
      <c r="CA26" s="122">
        <v>3173.9119531300003</v>
      </c>
      <c r="CB26" s="122">
        <v>11.528722824166101</v>
      </c>
      <c r="CC26" s="122">
        <v>3269.60707895</v>
      </c>
      <c r="CD26" s="122">
        <v>11.407533301277297</v>
      </c>
      <c r="CE26" s="122">
        <v>3284.0583613099993</v>
      </c>
      <c r="CF26" s="122">
        <v>11.266829442435817</v>
      </c>
      <c r="CG26" s="122">
        <v>3347.0241927900001</v>
      </c>
      <c r="CH26" s="122">
        <v>11.033423223328406</v>
      </c>
      <c r="CI26" s="122">
        <v>3426.7213669299995</v>
      </c>
      <c r="CJ26" s="122">
        <v>10.769102414575816</v>
      </c>
      <c r="CK26" s="122">
        <v>3538.3263562799998</v>
      </c>
      <c r="CL26" s="122">
        <v>10.620206287878613</v>
      </c>
      <c r="CM26" s="122">
        <v>3839.3957982000002</v>
      </c>
      <c r="CN26" s="122">
        <v>10.65989697720414</v>
      </c>
      <c r="CO26" s="122">
        <v>4018.0125844599988</v>
      </c>
      <c r="CP26" s="122">
        <v>10.717581170893345</v>
      </c>
      <c r="CQ26" s="122">
        <v>4040.3101408599996</v>
      </c>
      <c r="CR26" s="122">
        <v>10.716661619936316</v>
      </c>
      <c r="CS26" s="122">
        <v>4095.5344627500003</v>
      </c>
      <c r="CT26" s="122">
        <v>10.632612104287988</v>
      </c>
      <c r="CU26" s="122">
        <v>4194.8924881000003</v>
      </c>
      <c r="CV26" s="122">
        <v>10.604247965204888</v>
      </c>
      <c r="CW26" s="122">
        <v>4300.1809601999994</v>
      </c>
      <c r="CX26" s="122">
        <v>10.580647389873047</v>
      </c>
      <c r="CY26" s="122">
        <v>4494.9667164700004</v>
      </c>
      <c r="CZ26" s="122">
        <v>10.572098421841234</v>
      </c>
      <c r="DA26" s="122">
        <v>4539.6093168999978</v>
      </c>
      <c r="DB26" s="122">
        <v>10.345256568285704</v>
      </c>
      <c r="DC26" s="122">
        <v>4552.6325394300002</v>
      </c>
      <c r="DD26" s="122">
        <v>10.278278133209644</v>
      </c>
      <c r="DE26" s="122">
        <v>4559.0121835699993</v>
      </c>
      <c r="DF26" s="122">
        <v>9.9460236700169116</v>
      </c>
      <c r="DG26" s="122">
        <v>4751.4408563099987</v>
      </c>
      <c r="DH26" s="122">
        <v>9.3716219817806987</v>
      </c>
      <c r="DI26" s="122">
        <v>4634.6480072125551</v>
      </c>
      <c r="DJ26" s="122">
        <v>9.2031626810410874</v>
      </c>
      <c r="DK26" s="122">
        <v>4641.4736642199996</v>
      </c>
      <c r="DL26" s="122">
        <v>8.9676069977920783</v>
      </c>
      <c r="DM26" s="122">
        <v>4818.2600740199987</v>
      </c>
      <c r="DN26" s="122">
        <v>8.8190859473809056</v>
      </c>
      <c r="DO26" s="122">
        <v>5003.869736990001</v>
      </c>
      <c r="DP26" s="122">
        <v>8.5911491153966217</v>
      </c>
      <c r="DQ26" s="122">
        <v>5136.44828538</v>
      </c>
      <c r="DR26" s="122">
        <v>8.1469780343538822</v>
      </c>
      <c r="DS26" s="122">
        <v>5495.7924631200012</v>
      </c>
      <c r="DT26" s="122">
        <v>8.0328513240393935</v>
      </c>
      <c r="DU26" s="122">
        <v>5707.3695611899993</v>
      </c>
      <c r="DV26" s="122">
        <v>7.8596281988556447</v>
      </c>
      <c r="DW26" s="122">
        <v>6069.9381241899991</v>
      </c>
      <c r="DX26" s="122">
        <v>7.8916282086968677</v>
      </c>
      <c r="DY26" s="122">
        <v>6731.079812240001</v>
      </c>
      <c r="DZ26" s="122">
        <v>7.5489711688840098</v>
      </c>
      <c r="EA26" s="122">
        <v>7179.51072045</v>
      </c>
      <c r="EB26" s="122">
        <v>7.5410796102539672</v>
      </c>
      <c r="EC26" s="122">
        <v>7341.569158899998</v>
      </c>
      <c r="ED26" s="122">
        <v>7.4168249537904769</v>
      </c>
      <c r="EE26" s="122">
        <v>7816.9661804890002</v>
      </c>
      <c r="EF26" s="122">
        <v>7.4724385310863415</v>
      </c>
      <c r="EG26" s="122">
        <v>8296.0075836789983</v>
      </c>
      <c r="EH26" s="122">
        <v>7.5459852941987391</v>
      </c>
      <c r="EI26" s="122">
        <v>9051.9180559889974</v>
      </c>
      <c r="EJ26" s="122">
        <v>7.5262344581229392</v>
      </c>
      <c r="EK26" s="122">
        <v>9560.3958330190017</v>
      </c>
      <c r="EL26" s="122">
        <v>7.8272097338425723</v>
      </c>
      <c r="EM26" s="122">
        <v>9824.8967561789996</v>
      </c>
      <c r="EN26" s="122">
        <v>7.8155534632858368</v>
      </c>
      <c r="EO26" s="122">
        <v>10129.837556549001</v>
      </c>
      <c r="EP26" s="122">
        <v>8.0012341645148286</v>
      </c>
      <c r="EQ26" s="122">
        <v>10330.233468078999</v>
      </c>
      <c r="ER26" s="122">
        <v>8.7278382590922821</v>
      </c>
      <c r="ES26" s="122">
        <v>10631.266329038999</v>
      </c>
      <c r="ET26" s="122">
        <v>8.8018231378451244</v>
      </c>
      <c r="EU26" s="122">
        <v>11002.603903498999</v>
      </c>
      <c r="EV26" s="122">
        <v>8.950779487513989</v>
      </c>
      <c r="EW26" s="122">
        <v>11137.479255698003</v>
      </c>
      <c r="EX26" s="122">
        <v>9.5836992207017158</v>
      </c>
      <c r="EY26" s="122">
        <v>11484.271489440001</v>
      </c>
      <c r="EZ26" s="122">
        <v>9.5949947201124726</v>
      </c>
      <c r="FA26" s="122">
        <v>11589.115528659999</v>
      </c>
      <c r="FB26" s="122">
        <v>9.6901059869258557</v>
      </c>
      <c r="FC26" s="122">
        <v>11665.59899303</v>
      </c>
      <c r="FD26" s="122">
        <v>9.8955930419508267</v>
      </c>
      <c r="FE26" s="122">
        <v>11872.058500550002</v>
      </c>
      <c r="FF26" s="122">
        <v>9.9595448536967091</v>
      </c>
      <c r="FG26" s="122">
        <v>11876.631716609998</v>
      </c>
      <c r="FH26" s="122">
        <v>10.126457698059916</v>
      </c>
      <c r="FI26" s="122">
        <v>11992.203563159999</v>
      </c>
      <c r="FJ26" s="122">
        <v>10.691971403446157</v>
      </c>
      <c r="FK26" s="122">
        <v>12071.438474379998</v>
      </c>
      <c r="FL26" s="122">
        <v>10.499023293764804</v>
      </c>
      <c r="FM26" s="122">
        <v>12072.032930809997</v>
      </c>
      <c r="FN26" s="122">
        <v>10.512283821214131</v>
      </c>
      <c r="FO26" s="122">
        <v>12221.291673199999</v>
      </c>
      <c r="FP26" s="122">
        <v>11.023165125180284</v>
      </c>
      <c r="FQ26" s="122">
        <v>12603.167993499997</v>
      </c>
      <c r="FR26" s="122">
        <v>10.958812339452713</v>
      </c>
      <c r="FS26" s="122">
        <v>12703.36530698</v>
      </c>
      <c r="FT26" s="122">
        <v>10.974110679671208</v>
      </c>
      <c r="FU26" s="122">
        <v>12441.24567805</v>
      </c>
      <c r="FV26" s="122">
        <v>10.780945343503813</v>
      </c>
      <c r="FW26" s="122">
        <v>12775.080383860002</v>
      </c>
      <c r="FX26" s="122">
        <v>10.705963766636771</v>
      </c>
      <c r="FY26" s="122">
        <v>13219.399555920001</v>
      </c>
      <c r="FZ26" s="122">
        <v>10.378197627828854</v>
      </c>
      <c r="GA26" s="122">
        <v>12820.792908929996</v>
      </c>
      <c r="GB26" s="122">
        <v>9.7890308439995142</v>
      </c>
      <c r="GC26" s="122">
        <v>13521.434645210002</v>
      </c>
      <c r="GD26" s="122">
        <v>10.489778018705888</v>
      </c>
      <c r="GE26" s="122">
        <v>13897.80204651</v>
      </c>
      <c r="GF26" s="122">
        <v>10.553635536312752</v>
      </c>
      <c r="GG26" s="122">
        <v>13975.65197336</v>
      </c>
      <c r="GH26" s="122">
        <v>10.511117716162465</v>
      </c>
      <c r="GI26" s="122">
        <v>13956.73675976</v>
      </c>
      <c r="GJ26" s="122">
        <v>10.449147286312432</v>
      </c>
      <c r="GK26" s="122">
        <v>14066.976774549998</v>
      </c>
      <c r="GL26" s="122">
        <v>10.184679092782329</v>
      </c>
      <c r="GM26" s="122">
        <v>14155.993167549999</v>
      </c>
      <c r="GN26" s="122">
        <v>9.9982436265583683</v>
      </c>
      <c r="GO26" s="122">
        <v>14214.402265079998</v>
      </c>
      <c r="GP26" s="122">
        <v>9.5801264186610062</v>
      </c>
      <c r="GQ26" s="122">
        <v>14339.225864459999</v>
      </c>
      <c r="GR26" s="122">
        <v>9.2655494240909224</v>
      </c>
      <c r="GS26" s="122">
        <v>14483.025751479998</v>
      </c>
      <c r="GT26" s="122">
        <v>9.1415968765693485</v>
      </c>
      <c r="GU26" s="122">
        <v>14543.581014151599</v>
      </c>
      <c r="GV26" s="122">
        <v>8.9971791416717313</v>
      </c>
      <c r="GW26" s="122">
        <v>14579.223174109997</v>
      </c>
      <c r="GX26" s="122">
        <v>8.897690430506799</v>
      </c>
      <c r="GY26" s="122">
        <v>14393.660662269996</v>
      </c>
      <c r="GZ26" s="122">
        <v>8.8109948190467495</v>
      </c>
      <c r="HA26" s="122">
        <v>14372.27555509</v>
      </c>
      <c r="HB26" s="122">
        <v>8.5814742567069917</v>
      </c>
      <c r="HC26" s="122">
        <v>14421.3704470024</v>
      </c>
      <c r="HD26" s="122">
        <v>8.3697471271582113</v>
      </c>
      <c r="HE26" s="122">
        <v>14446.418696162395</v>
      </c>
      <c r="HF26" s="122">
        <v>8.2215940849830851</v>
      </c>
      <c r="HG26" s="122">
        <v>14397.800856059997</v>
      </c>
      <c r="HH26" s="122">
        <v>8.1046506636749651</v>
      </c>
      <c r="HI26" s="122">
        <v>14638.754915282401</v>
      </c>
      <c r="HJ26" s="122">
        <v>7.9051584647304631</v>
      </c>
      <c r="HK26" s="122">
        <v>14775.461216621652</v>
      </c>
      <c r="HL26" s="122">
        <v>7.7461356708458968</v>
      </c>
      <c r="HM26" s="122">
        <v>14792.905845760002</v>
      </c>
      <c r="HN26" s="122">
        <v>7.6182635016323976</v>
      </c>
      <c r="HO26" s="122">
        <v>14936.510243709999</v>
      </c>
      <c r="HP26" s="122">
        <v>7.2684151166280628</v>
      </c>
      <c r="HQ26" s="122">
        <v>14956.544722350001</v>
      </c>
      <c r="HR26" s="122">
        <v>7.3729197627123639</v>
      </c>
      <c r="HS26" s="122">
        <v>14888.496920611598</v>
      </c>
      <c r="HT26" s="122">
        <v>7.2793508555549415</v>
      </c>
      <c r="HU26" s="122">
        <v>14943.309687895147</v>
      </c>
      <c r="HV26" s="122">
        <v>7.2173468600677451</v>
      </c>
      <c r="HW26" s="122">
        <v>14575.316828636738</v>
      </c>
      <c r="HX26" s="122">
        <v>7.1449390093088185</v>
      </c>
      <c r="HY26" s="122">
        <v>14444.637117477598</v>
      </c>
    </row>
    <row r="27" spans="2:233" x14ac:dyDescent="0.55000000000000004">
      <c r="B27" s="21">
        <v>3</v>
      </c>
      <c r="C27" s="28" t="s">
        <v>246</v>
      </c>
      <c r="D27" s="122">
        <v>12.14519850820022</v>
      </c>
      <c r="E27" s="122">
        <v>2519.9816882099994</v>
      </c>
      <c r="F27" s="122">
        <v>10.914511630574294</v>
      </c>
      <c r="G27" s="122">
        <v>2699.6637245549996</v>
      </c>
      <c r="H27" s="122">
        <v>10.823289239376884</v>
      </c>
      <c r="I27" s="122">
        <v>2672.82495384</v>
      </c>
      <c r="J27" s="122">
        <v>8.564536195009758</v>
      </c>
      <c r="K27" s="122">
        <v>2906.1463219500001</v>
      </c>
      <c r="L27" s="122">
        <v>11.263711854785425</v>
      </c>
      <c r="M27" s="122">
        <v>3467.8326367039999</v>
      </c>
      <c r="N27" s="122">
        <v>12.923553730868631</v>
      </c>
      <c r="O27" s="122">
        <v>3835.4437057000005</v>
      </c>
      <c r="P27" s="122">
        <v>8.4069045163256426</v>
      </c>
      <c r="Q27" s="122">
        <v>2990.8856834095</v>
      </c>
      <c r="R27" s="122">
        <v>8.278109439969608</v>
      </c>
      <c r="S27" s="122">
        <v>3127.5174957295003</v>
      </c>
      <c r="T27" s="122">
        <v>8.3585598502878504</v>
      </c>
      <c r="U27" s="122">
        <v>3142.5230180800008</v>
      </c>
      <c r="V27" s="122">
        <v>8.7044726286051688</v>
      </c>
      <c r="W27" s="122">
        <v>3084.6386128499998</v>
      </c>
      <c r="X27" s="122">
        <v>9.0139018346039119</v>
      </c>
      <c r="Y27" s="122">
        <v>2821.6669421000001</v>
      </c>
      <c r="Z27" s="122">
        <v>9.4108321803305337</v>
      </c>
      <c r="AA27" s="122">
        <v>2750.58549894</v>
      </c>
      <c r="AB27" s="122">
        <v>10.018173155835532</v>
      </c>
      <c r="AC27" s="122">
        <v>2815.2647724499989</v>
      </c>
      <c r="AD27" s="122">
        <v>10.60461887025747</v>
      </c>
      <c r="AE27" s="122">
        <v>2914.2605874200003</v>
      </c>
      <c r="AF27" s="122">
        <v>10.623406446708184</v>
      </c>
      <c r="AG27" s="122">
        <v>3105.3196273040007</v>
      </c>
      <c r="AH27" s="122">
        <v>10.233056958931078</v>
      </c>
      <c r="AI27" s="122">
        <v>3160.3678197899999</v>
      </c>
      <c r="AJ27" s="122">
        <v>11.133516920875847</v>
      </c>
      <c r="AK27" s="122">
        <v>3139.8803571774997</v>
      </c>
      <c r="AL27" s="122">
        <v>11.263711854785425</v>
      </c>
      <c r="AM27" s="122">
        <v>3467.8326367039999</v>
      </c>
      <c r="AN27" s="122">
        <v>11.736579260430897</v>
      </c>
      <c r="AO27" s="122">
        <v>3535.810120906001</v>
      </c>
      <c r="AP27" s="122">
        <v>11.693492137615314</v>
      </c>
      <c r="AQ27" s="122">
        <v>3433.4125656739998</v>
      </c>
      <c r="AR27" s="122">
        <v>10.697955202778704</v>
      </c>
      <c r="AS27" s="122">
        <v>3603.2613820029992</v>
      </c>
      <c r="AT27" s="122">
        <v>11.459731495292214</v>
      </c>
      <c r="AU27" s="122">
        <v>3568.3949087199999</v>
      </c>
      <c r="AV27" s="122">
        <v>11.06973878020826</v>
      </c>
      <c r="AW27" s="122">
        <v>4074.2337720899995</v>
      </c>
      <c r="AX27" s="122">
        <v>11.187426762915056</v>
      </c>
      <c r="AY27" s="122">
        <v>4187.0313749879997</v>
      </c>
      <c r="AZ27" s="122">
        <v>11.025201394679891</v>
      </c>
      <c r="BA27" s="122">
        <v>4724.5992196940006</v>
      </c>
      <c r="BB27" s="122">
        <v>12.112858627400984</v>
      </c>
      <c r="BC27" s="122">
        <v>3852.8336265349994</v>
      </c>
      <c r="BD27" s="122">
        <v>12.067966800041345</v>
      </c>
      <c r="BE27" s="122">
        <v>3750.2192496700009</v>
      </c>
      <c r="BF27" s="122">
        <v>12.878030101478748</v>
      </c>
      <c r="BG27" s="122">
        <v>4410.1124884800001</v>
      </c>
      <c r="BH27" s="122">
        <v>12.854845081312758</v>
      </c>
      <c r="BI27" s="122">
        <v>4025.3851463000005</v>
      </c>
      <c r="BJ27" s="122">
        <v>12.923553730868631</v>
      </c>
      <c r="BK27" s="122">
        <v>3835.4437057000005</v>
      </c>
      <c r="BL27" s="122">
        <v>12.651120008734864</v>
      </c>
      <c r="BM27" s="122">
        <v>3795.0718675000007</v>
      </c>
      <c r="BN27" s="122">
        <v>12.536847898371501</v>
      </c>
      <c r="BO27" s="122">
        <v>4301.3192552610008</v>
      </c>
      <c r="BP27" s="122">
        <v>12.200464973949833</v>
      </c>
      <c r="BQ27" s="122">
        <v>4440.015579251999</v>
      </c>
      <c r="BR27" s="122">
        <v>12.201655115897134</v>
      </c>
      <c r="BS27" s="122">
        <v>4435.2085758260009</v>
      </c>
      <c r="BT27" s="122">
        <v>12.388699433426371</v>
      </c>
      <c r="BU27" s="122">
        <v>4697.7765963600013</v>
      </c>
      <c r="BV27" s="122">
        <v>12.367182325170605</v>
      </c>
      <c r="BW27" s="122">
        <v>4383.3839557875008</v>
      </c>
      <c r="BX27" s="122">
        <v>11.976894299044679</v>
      </c>
      <c r="BY27" s="122">
        <v>4850.8243951315008</v>
      </c>
      <c r="BZ27" s="122">
        <v>11.737678821194828</v>
      </c>
      <c r="CA27" s="122">
        <v>5183.1796736394999</v>
      </c>
      <c r="CB27" s="122">
        <v>11.996924739497182</v>
      </c>
      <c r="CC27" s="122">
        <v>5929.6153110660007</v>
      </c>
      <c r="CD27" s="122">
        <v>11.685562111474887</v>
      </c>
      <c r="CE27" s="122">
        <v>5688.4992797329996</v>
      </c>
      <c r="CF27" s="122">
        <v>11.657027208531174</v>
      </c>
      <c r="CG27" s="122">
        <v>5819.6878408700004</v>
      </c>
      <c r="CH27" s="122">
        <v>11.909632781101266</v>
      </c>
      <c r="CI27" s="122">
        <v>5733.8283933499997</v>
      </c>
      <c r="CJ27" s="122">
        <v>11.840497117894984</v>
      </c>
      <c r="CK27" s="122">
        <v>5655.6374869699994</v>
      </c>
      <c r="CL27" s="122">
        <v>11.811846363434046</v>
      </c>
      <c r="CM27" s="122">
        <v>6169.8315361388286</v>
      </c>
      <c r="CN27" s="122">
        <v>11.750234376074317</v>
      </c>
      <c r="CO27" s="122">
        <v>6363.8437414056198</v>
      </c>
      <c r="CP27" s="122">
        <v>12.165089209051096</v>
      </c>
      <c r="CQ27" s="122">
        <v>5435.02884533</v>
      </c>
      <c r="CR27" s="122">
        <v>12.094868661182339</v>
      </c>
      <c r="CS27" s="122">
        <v>5392.0089951569998</v>
      </c>
      <c r="CT27" s="122">
        <v>11.686401854695488</v>
      </c>
      <c r="CU27" s="122">
        <v>5945.809410840001</v>
      </c>
      <c r="CV27" s="122">
        <v>11.720285265815471</v>
      </c>
      <c r="CW27" s="122">
        <v>5922.0182572800004</v>
      </c>
      <c r="CX27" s="122">
        <v>11.786688693244351</v>
      </c>
      <c r="CY27" s="122">
        <v>4711.65480226</v>
      </c>
      <c r="CZ27" s="122">
        <v>11.727126031498855</v>
      </c>
      <c r="DA27" s="122">
        <v>4722.1595996000015</v>
      </c>
      <c r="DB27" s="122">
        <v>11.770916084412629</v>
      </c>
      <c r="DC27" s="122">
        <v>4474.364555248485</v>
      </c>
      <c r="DD27" s="122">
        <v>11.232784474906376</v>
      </c>
      <c r="DE27" s="122">
        <v>4413.393745095449</v>
      </c>
      <c r="DF27" s="122">
        <v>10.865517994752024</v>
      </c>
      <c r="DG27" s="122">
        <v>5180.1354930686794</v>
      </c>
      <c r="DH27" s="122">
        <v>11.097228614488685</v>
      </c>
      <c r="DI27" s="122">
        <v>5199.4397232800002</v>
      </c>
      <c r="DJ27" s="122">
        <v>10.487222775659905</v>
      </c>
      <c r="DK27" s="122">
        <v>5372.9542324431795</v>
      </c>
      <c r="DL27" s="122">
        <v>10.151015211847108</v>
      </c>
      <c r="DM27" s="122">
        <v>5758.3391217557255</v>
      </c>
      <c r="DN27" s="122">
        <v>9.9398630921626481</v>
      </c>
      <c r="DO27" s="122">
        <v>5884.5078184599988</v>
      </c>
      <c r="DP27" s="122">
        <v>9.8317271805887927</v>
      </c>
      <c r="DQ27" s="122">
        <v>5585.7443419598821</v>
      </c>
      <c r="DR27" s="122">
        <v>9.1091453391861084</v>
      </c>
      <c r="DS27" s="122">
        <v>5991.2449027999983</v>
      </c>
      <c r="DT27" s="122">
        <v>8.7157049073490729</v>
      </c>
      <c r="DU27" s="122">
        <v>6347.335777549999</v>
      </c>
      <c r="DV27" s="122">
        <v>8.7062713653315118</v>
      </c>
      <c r="DW27" s="122">
        <v>6348.6938983239761</v>
      </c>
      <c r="DX27" s="122">
        <v>8.7318343672559848</v>
      </c>
      <c r="DY27" s="122">
        <v>6769.4850796900009</v>
      </c>
      <c r="DZ27" s="122">
        <v>8.5363837010818635</v>
      </c>
      <c r="EA27" s="122">
        <v>6694.6387744700023</v>
      </c>
      <c r="EB27" s="122">
        <v>8.4570285864247943</v>
      </c>
      <c r="EC27" s="122">
        <v>6642.4413839000008</v>
      </c>
      <c r="ED27" s="122">
        <v>8.4344133564218886</v>
      </c>
      <c r="EE27" s="122">
        <v>6683.0004433699987</v>
      </c>
      <c r="EF27" s="122">
        <v>8.4354961084633615</v>
      </c>
      <c r="EG27" s="122">
        <v>7011.6832199900009</v>
      </c>
      <c r="EH27" s="122">
        <v>8.5395746538956381</v>
      </c>
      <c r="EI27" s="122">
        <v>6937.2542642500011</v>
      </c>
      <c r="EJ27" s="122">
        <v>8.5821777299706739</v>
      </c>
      <c r="EK27" s="122">
        <v>7503.9837925800011</v>
      </c>
      <c r="EL27" s="122">
        <v>8.8677478759143291</v>
      </c>
      <c r="EM27" s="122">
        <v>7605.1631369100005</v>
      </c>
      <c r="EN27" s="122">
        <v>8.9195161289288958</v>
      </c>
      <c r="EO27" s="122">
        <v>7907.5455473600005</v>
      </c>
      <c r="EP27" s="122">
        <v>9.0898073326182427</v>
      </c>
      <c r="EQ27" s="122">
        <v>7859.2676849500012</v>
      </c>
      <c r="ER27" s="122">
        <v>9.7593297839966731</v>
      </c>
      <c r="ES27" s="122">
        <v>8066.0646343399994</v>
      </c>
      <c r="ET27" s="122">
        <v>9.8917894644219775</v>
      </c>
      <c r="EU27" s="122">
        <v>8142.7492141500006</v>
      </c>
      <c r="EV27" s="122">
        <v>10.114502782409593</v>
      </c>
      <c r="EW27" s="122">
        <v>8063.5844351799997</v>
      </c>
      <c r="EX27" s="122">
        <v>11.171192611831511</v>
      </c>
      <c r="EY27" s="122">
        <v>7960.2523363500013</v>
      </c>
      <c r="EZ27" s="122">
        <v>11.252491900095421</v>
      </c>
      <c r="FA27" s="122">
        <v>8147.2504659200013</v>
      </c>
      <c r="FB27" s="122">
        <v>11.171086206011896</v>
      </c>
      <c r="FC27" s="122">
        <v>8386.0145430999983</v>
      </c>
      <c r="FD27" s="122">
        <v>11.32192678404442</v>
      </c>
      <c r="FE27" s="122">
        <v>8628.6211576599999</v>
      </c>
      <c r="FF27" s="122">
        <v>11.338085291036494</v>
      </c>
      <c r="FG27" s="122">
        <v>8889.8099846399982</v>
      </c>
      <c r="FH27" s="122">
        <v>11.414549985121742</v>
      </c>
      <c r="FI27" s="122">
        <v>9382.7744657899984</v>
      </c>
      <c r="FJ27" s="122">
        <v>11.824466053296248</v>
      </c>
      <c r="FK27" s="122">
        <v>9518.3417517300004</v>
      </c>
      <c r="FL27" s="122">
        <v>11.812997304932066</v>
      </c>
      <c r="FM27" s="122">
        <v>9771.8689235099973</v>
      </c>
      <c r="FN27" s="122">
        <v>12.017221163694643</v>
      </c>
      <c r="FO27" s="122">
        <v>10585.185109589997</v>
      </c>
      <c r="FP27" s="122">
        <v>12.166749652317753</v>
      </c>
      <c r="FQ27" s="122">
        <v>10725.243522339997</v>
      </c>
      <c r="FR27" s="122">
        <v>12.620416937428942</v>
      </c>
      <c r="FS27" s="122">
        <v>11192.586891899999</v>
      </c>
      <c r="FT27" s="122">
        <v>12.522790852304675</v>
      </c>
      <c r="FU27" s="122">
        <v>11092.07676545</v>
      </c>
      <c r="FV27" s="122">
        <v>12.470961891148228</v>
      </c>
      <c r="FW27" s="122">
        <v>10163.999257289997</v>
      </c>
      <c r="FX27" s="122">
        <v>12.442838799583951</v>
      </c>
      <c r="FY27" s="122">
        <v>10652.770226459998</v>
      </c>
      <c r="FZ27" s="122">
        <v>11.913772924635618</v>
      </c>
      <c r="GA27" s="122">
        <v>10937.257191930006</v>
      </c>
      <c r="GB27" s="122">
        <v>12.216431127821371</v>
      </c>
      <c r="GC27" s="122">
        <v>11882.503294220005</v>
      </c>
      <c r="GD27" s="122">
        <v>12.492531426462458</v>
      </c>
      <c r="GE27" s="122">
        <v>9685.3560731400012</v>
      </c>
      <c r="GF27" s="122">
        <v>11.323261135820481</v>
      </c>
      <c r="GG27" s="122">
        <v>10383.820481280003</v>
      </c>
      <c r="GH27" s="122">
        <v>12.283046874282595</v>
      </c>
      <c r="GI27" s="122">
        <v>10811.067753300002</v>
      </c>
      <c r="GJ27" s="122">
        <v>12.168775371103601</v>
      </c>
      <c r="GK27" s="122">
        <v>11283.66939293</v>
      </c>
      <c r="GL27" s="122">
        <v>11.971374351379376</v>
      </c>
      <c r="GM27" s="122">
        <v>11300.316262360002</v>
      </c>
      <c r="GN27" s="122">
        <v>11.43155221972672</v>
      </c>
      <c r="GO27" s="122">
        <v>11430.930565590004</v>
      </c>
      <c r="GP27" s="122">
        <v>11.13185133485929</v>
      </c>
      <c r="GQ27" s="122">
        <v>11289.413067440006</v>
      </c>
      <c r="GR27" s="122">
        <v>10.735905801840845</v>
      </c>
      <c r="GS27" s="122">
        <v>11719.665757680001</v>
      </c>
      <c r="GT27" s="122">
        <v>10.535691626475508</v>
      </c>
      <c r="GU27" s="122">
        <v>11662.388710470002</v>
      </c>
      <c r="GV27" s="122">
        <v>10.317228379375953</v>
      </c>
      <c r="GW27" s="122">
        <v>11404.375029510002</v>
      </c>
      <c r="GX27" s="122">
        <v>10.185692402533085</v>
      </c>
      <c r="GY27" s="122">
        <v>11432.13370025</v>
      </c>
      <c r="GZ27" s="122">
        <v>10.023462934510766</v>
      </c>
      <c r="HA27" s="122">
        <v>11505.779922930002</v>
      </c>
      <c r="HB27" s="122">
        <v>9.5225275908659537</v>
      </c>
      <c r="HC27" s="122">
        <v>12962.295049810002</v>
      </c>
      <c r="HD27" s="122">
        <v>9.0900311239287976</v>
      </c>
      <c r="HE27" s="122">
        <v>13313.329641480001</v>
      </c>
      <c r="HF27" s="122">
        <v>8.7384763328679664</v>
      </c>
      <c r="HG27" s="122">
        <v>13523.89521796</v>
      </c>
      <c r="HH27" s="122">
        <v>8.7564393960175018</v>
      </c>
      <c r="HI27" s="122">
        <v>9787.4437508999999</v>
      </c>
      <c r="HJ27" s="122">
        <v>8.5213250977190942</v>
      </c>
      <c r="HK27" s="122">
        <v>9654.6411052229214</v>
      </c>
      <c r="HL27" s="122">
        <v>8.3335084186969528</v>
      </c>
      <c r="HM27" s="122">
        <v>10329.112804030001</v>
      </c>
      <c r="HN27" s="122">
        <v>8.0944099994845509</v>
      </c>
      <c r="HO27" s="122">
        <v>10761.685509320001</v>
      </c>
      <c r="HP27" s="122">
        <v>7.7079443709830606</v>
      </c>
      <c r="HQ27" s="122">
        <v>10815.585470269998</v>
      </c>
      <c r="HR27" s="122">
        <v>7.6557294392514113</v>
      </c>
      <c r="HS27" s="122">
        <v>11127.825389149999</v>
      </c>
      <c r="HT27" s="122">
        <v>7.6015893462057669</v>
      </c>
      <c r="HU27" s="122">
        <v>10835.43466309</v>
      </c>
      <c r="HV27" s="122">
        <v>7.5879657968166443</v>
      </c>
      <c r="HW27" s="122">
        <v>11128.608617369999</v>
      </c>
      <c r="HX27" s="122">
        <v>7.4768035567669733</v>
      </c>
      <c r="HY27" s="122">
        <v>10649.645515390001</v>
      </c>
    </row>
    <row r="28" spans="2:233" ht="31.35" x14ac:dyDescent="0.55000000000000004">
      <c r="B28" s="325">
        <v>4</v>
      </c>
      <c r="C28" s="330" t="s">
        <v>672</v>
      </c>
      <c r="D28" s="122">
        <v>11.330759268664281</v>
      </c>
      <c r="E28" s="122">
        <v>44691.356392641501</v>
      </c>
      <c r="F28" s="122">
        <v>9.6693913471290767</v>
      </c>
      <c r="G28" s="122">
        <v>57138.707538340117</v>
      </c>
      <c r="H28" s="122">
        <v>9.3362627703498955</v>
      </c>
      <c r="I28" s="122">
        <v>70017.77116857002</v>
      </c>
      <c r="J28" s="122">
        <v>8.2499581673604965</v>
      </c>
      <c r="K28" s="122">
        <v>86822.223310416492</v>
      </c>
      <c r="L28" s="122">
        <v>10.851239693128727</v>
      </c>
      <c r="M28" s="122">
        <v>108358.59705367994</v>
      </c>
      <c r="N28" s="122">
        <v>12.081081830268927</v>
      </c>
      <c r="O28" s="122">
        <v>119749.95642358054</v>
      </c>
      <c r="P28" s="122">
        <v>8.3247681325271774</v>
      </c>
      <c r="Q28" s="122">
        <v>88099.910538482</v>
      </c>
      <c r="R28" s="122">
        <v>8.1489376194389909</v>
      </c>
      <c r="S28" s="122">
        <v>88734.915690373993</v>
      </c>
      <c r="T28" s="122">
        <v>8.1000003762348118</v>
      </c>
      <c r="U28" s="122">
        <v>88938.212476246976</v>
      </c>
      <c r="V28" s="122">
        <v>8.4506941241176872</v>
      </c>
      <c r="W28" s="122">
        <v>87504.427525244013</v>
      </c>
      <c r="X28" s="122">
        <v>8.6896473853771745</v>
      </c>
      <c r="Y28" s="122">
        <v>89434.577984769508</v>
      </c>
      <c r="Z28" s="122">
        <v>9.0175744782442084</v>
      </c>
      <c r="AA28" s="122">
        <v>92705.616021904498</v>
      </c>
      <c r="AB28" s="122">
        <v>9.5932856063620147</v>
      </c>
      <c r="AC28" s="122">
        <v>103943.84147147583</v>
      </c>
      <c r="AD28" s="122">
        <v>10.082523394883747</v>
      </c>
      <c r="AE28" s="122">
        <v>104228.51414706995</v>
      </c>
      <c r="AF28" s="122">
        <v>10.370019748136871</v>
      </c>
      <c r="AG28" s="122">
        <v>104897.35958742139</v>
      </c>
      <c r="AH28" s="122">
        <v>10.160198802269962</v>
      </c>
      <c r="AI28" s="122">
        <v>107392.76708202441</v>
      </c>
      <c r="AJ28" s="122">
        <v>10.856882064329644</v>
      </c>
      <c r="AK28" s="122">
        <v>106059.76339359549</v>
      </c>
      <c r="AL28" s="122">
        <v>10.851239693128727</v>
      </c>
      <c r="AM28" s="122">
        <v>108358.59705367994</v>
      </c>
      <c r="AN28" s="122">
        <v>11.087345912102398</v>
      </c>
      <c r="AO28" s="122">
        <v>106699.78904997482</v>
      </c>
      <c r="AP28" s="122">
        <v>11.312963209179467</v>
      </c>
      <c r="AQ28" s="122">
        <v>104199.75544738879</v>
      </c>
      <c r="AR28" s="122">
        <v>10.6402966758943</v>
      </c>
      <c r="AS28" s="122">
        <v>104312.70617459882</v>
      </c>
      <c r="AT28" s="122">
        <v>11.255913446537866</v>
      </c>
      <c r="AU28" s="122">
        <v>104860.14585278448</v>
      </c>
      <c r="AV28" s="122">
        <v>10.786498632655876</v>
      </c>
      <c r="AW28" s="122">
        <v>106633.71433335653</v>
      </c>
      <c r="AX28" s="122">
        <v>11.330083728771006</v>
      </c>
      <c r="AY28" s="122">
        <v>111788.8234989785</v>
      </c>
      <c r="AZ28" s="122">
        <v>11.464291031412079</v>
      </c>
      <c r="BA28" s="122">
        <v>114723.22959329248</v>
      </c>
      <c r="BB28" s="122">
        <v>11.529539710511576</v>
      </c>
      <c r="BC28" s="122">
        <v>112618.58026178881</v>
      </c>
      <c r="BD28" s="122">
        <v>11.758371748570207</v>
      </c>
      <c r="BE28" s="122">
        <v>105378.9373274785</v>
      </c>
      <c r="BF28" s="122">
        <v>11.959146107574256</v>
      </c>
      <c r="BG28" s="122">
        <v>115181.64690301992</v>
      </c>
      <c r="BH28" s="122">
        <v>12.123511177237846</v>
      </c>
      <c r="BI28" s="122">
        <v>104852.11162820853</v>
      </c>
      <c r="BJ28" s="122">
        <v>12.081081830268927</v>
      </c>
      <c r="BK28" s="122">
        <v>119749.95642358054</v>
      </c>
      <c r="BL28" s="122">
        <v>12.235008315837689</v>
      </c>
      <c r="BM28" s="122">
        <v>110543.64645958449</v>
      </c>
      <c r="BN28" s="122">
        <v>12.081215656194122</v>
      </c>
      <c r="BO28" s="122">
        <v>121004.20669327851</v>
      </c>
      <c r="BP28" s="122">
        <v>12.307514975094483</v>
      </c>
      <c r="BQ28" s="122">
        <v>123968.83051474849</v>
      </c>
      <c r="BR28" s="122">
        <v>12.200045210155968</v>
      </c>
      <c r="BS28" s="122">
        <v>123942.30123190749</v>
      </c>
      <c r="BT28" s="122">
        <v>12.275608854823044</v>
      </c>
      <c r="BU28" s="122">
        <v>127319.97676093849</v>
      </c>
      <c r="BV28" s="122">
        <v>12.221369641872796</v>
      </c>
      <c r="BW28" s="122">
        <v>130259.07722936002</v>
      </c>
      <c r="BX28" s="122">
        <v>11.916205142420297</v>
      </c>
      <c r="BY28" s="122">
        <v>132429.0497826325</v>
      </c>
      <c r="BZ28" s="122">
        <v>12.007701587800829</v>
      </c>
      <c r="CA28" s="122">
        <v>130732.53222295904</v>
      </c>
      <c r="CB28" s="122">
        <v>11.846134803790545</v>
      </c>
      <c r="CC28" s="122">
        <v>133007.09177768553</v>
      </c>
      <c r="CD28" s="122">
        <v>11.894312864526272</v>
      </c>
      <c r="CE28" s="122">
        <v>130238.20928748163</v>
      </c>
      <c r="CF28" s="122">
        <v>11.78248924326104</v>
      </c>
      <c r="CG28" s="122">
        <v>128244.50740419893</v>
      </c>
      <c r="CH28" s="122">
        <v>11.834886932626636</v>
      </c>
      <c r="CI28" s="122">
        <v>127479.59343683682</v>
      </c>
      <c r="CJ28" s="122">
        <v>11.754219120677924</v>
      </c>
      <c r="CK28" s="122">
        <v>127019.24919651476</v>
      </c>
      <c r="CL28" s="122">
        <v>11.579840130761143</v>
      </c>
      <c r="CM28" s="122">
        <v>128841.43844936461</v>
      </c>
      <c r="CN28" s="122">
        <v>11.491199510598864</v>
      </c>
      <c r="CO28" s="122">
        <v>128254.60545159808</v>
      </c>
      <c r="CP28" s="122">
        <v>11.646534152681378</v>
      </c>
      <c r="CQ28" s="122">
        <v>126887.13499449946</v>
      </c>
      <c r="CR28" s="122">
        <v>11.613260821014052</v>
      </c>
      <c r="CS28" s="122">
        <v>130540.27563628051</v>
      </c>
      <c r="CT28" s="122">
        <v>11.590369918407484</v>
      </c>
      <c r="CU28" s="122">
        <v>134955.49781394601</v>
      </c>
      <c r="CV28" s="122">
        <v>11.260070517810165</v>
      </c>
      <c r="CW28" s="122">
        <v>136268.01083801297</v>
      </c>
      <c r="CX28" s="122">
        <v>11.389446791305417</v>
      </c>
      <c r="CY28" s="122">
        <v>136575.97253698105</v>
      </c>
      <c r="CZ28" s="122">
        <v>11.274098101557158</v>
      </c>
      <c r="DA28" s="122">
        <v>136137.202445893</v>
      </c>
      <c r="DB28" s="122">
        <v>11.256288603815674</v>
      </c>
      <c r="DC28" s="122">
        <v>135768.70952684351</v>
      </c>
      <c r="DD28" s="122">
        <v>11.06863577068669</v>
      </c>
      <c r="DE28" s="122">
        <v>135873.85226917852</v>
      </c>
      <c r="DF28" s="122">
        <v>10.88617593007336</v>
      </c>
      <c r="DG28" s="122">
        <v>142758.63382848882</v>
      </c>
      <c r="DH28" s="122">
        <v>10.011359383444223</v>
      </c>
      <c r="DI28" s="122">
        <v>138786.45103770253</v>
      </c>
      <c r="DJ28" s="122">
        <v>9.7385957794759417</v>
      </c>
      <c r="DK28" s="122">
        <v>142120.99258990874</v>
      </c>
      <c r="DL28" s="122">
        <v>9.5871356703795207</v>
      </c>
      <c r="DM28" s="122">
        <v>143788.57937900993</v>
      </c>
      <c r="DN28" s="122">
        <v>9.1005919429313842</v>
      </c>
      <c r="DO28" s="122">
        <v>143706.12279920548</v>
      </c>
      <c r="DP28" s="122">
        <v>9.2353913112778478</v>
      </c>
      <c r="DQ28" s="122">
        <v>145597.93113204543</v>
      </c>
      <c r="DR28" s="122">
        <v>8.9377865572399795</v>
      </c>
      <c r="DS28" s="122">
        <v>150508.5633054965</v>
      </c>
      <c r="DT28" s="122">
        <v>8.6148593724497626</v>
      </c>
      <c r="DU28" s="122">
        <v>153645.38428925892</v>
      </c>
      <c r="DV28" s="122">
        <v>8.5043024596922887</v>
      </c>
      <c r="DW28" s="122">
        <v>156955.8692170438</v>
      </c>
      <c r="DX28" s="122">
        <v>8.4418785313765188</v>
      </c>
      <c r="DY28" s="122">
        <v>162138.42170559758</v>
      </c>
      <c r="DZ28" s="122">
        <v>8.2889842392741571</v>
      </c>
      <c r="EA28" s="122">
        <v>162865.79405173153</v>
      </c>
      <c r="EB28" s="122">
        <v>8.1912442433535482</v>
      </c>
      <c r="EC28" s="122">
        <v>166381.2900862745</v>
      </c>
      <c r="ED28" s="122">
        <v>8.1922177483331531</v>
      </c>
      <c r="EE28" s="122">
        <v>166896.63153549749</v>
      </c>
      <c r="EF28" s="122">
        <v>8.1678376372524539</v>
      </c>
      <c r="EG28" s="122">
        <v>170869.27729112445</v>
      </c>
      <c r="EH28" s="122">
        <v>8.2678833251580528</v>
      </c>
      <c r="EI28" s="122">
        <v>174968.72736639198</v>
      </c>
      <c r="EJ28" s="122">
        <v>8.2629448040508162</v>
      </c>
      <c r="EK28" s="122">
        <v>175620.86214769643</v>
      </c>
      <c r="EL28" s="122">
        <v>8.7864554405817721</v>
      </c>
      <c r="EM28" s="122">
        <v>174847.7833761324</v>
      </c>
      <c r="EN28" s="122">
        <v>8.9941586710004238</v>
      </c>
      <c r="EO28" s="122">
        <v>183298.57301524249</v>
      </c>
      <c r="EP28" s="122">
        <v>9.1218278628418918</v>
      </c>
      <c r="EQ28" s="122">
        <v>194101.43524023893</v>
      </c>
      <c r="ER28" s="122">
        <v>10.115590094922473</v>
      </c>
      <c r="ES28" s="122">
        <v>200286.15158372896</v>
      </c>
      <c r="ET28" s="122">
        <v>10.246068668390517</v>
      </c>
      <c r="EU28" s="122">
        <v>207142.3246365645</v>
      </c>
      <c r="EV28" s="122">
        <v>10.480261040663898</v>
      </c>
      <c r="EW28" s="122">
        <v>207889.59512419443</v>
      </c>
      <c r="EX28" s="122">
        <v>11.289826528304271</v>
      </c>
      <c r="EY28" s="122">
        <v>211393.93394117441</v>
      </c>
      <c r="EZ28" s="122">
        <v>11.360222066440311</v>
      </c>
      <c r="FA28" s="122">
        <v>212612.25060859454</v>
      </c>
      <c r="FB28" s="122">
        <v>11.369695388238288</v>
      </c>
      <c r="FC28" s="122">
        <v>215693.93163405446</v>
      </c>
      <c r="FD28" s="122">
        <v>11.848704209233171</v>
      </c>
      <c r="FE28" s="122">
        <v>217986.61679495449</v>
      </c>
      <c r="FF28" s="122">
        <v>11.946531570747057</v>
      </c>
      <c r="FG28" s="122">
        <v>216614.46828418458</v>
      </c>
      <c r="FH28" s="122">
        <v>12.055783350733478</v>
      </c>
      <c r="FI28" s="122">
        <v>219849.23769027455</v>
      </c>
      <c r="FJ28" s="122">
        <v>12.652965287811172</v>
      </c>
      <c r="FK28" s="122">
        <v>225515.86974524453</v>
      </c>
      <c r="FL28" s="122">
        <v>12.69775556582859</v>
      </c>
      <c r="FM28" s="122">
        <v>227409.53214896444</v>
      </c>
      <c r="FN28" s="122">
        <v>12.512603002002988</v>
      </c>
      <c r="FO28" s="122">
        <v>236602.15296791049</v>
      </c>
      <c r="FP28" s="122">
        <v>13.316081826246373</v>
      </c>
      <c r="FQ28" s="122">
        <v>238379.92842352038</v>
      </c>
      <c r="FR28" s="122">
        <v>13.321302064189744</v>
      </c>
      <c r="FS28" s="122">
        <v>230022.48907584051</v>
      </c>
      <c r="FT28" s="122">
        <v>13.15783239555493</v>
      </c>
      <c r="FU28" s="122">
        <v>233932.52585578052</v>
      </c>
      <c r="FV28" s="122">
        <v>12.890225231458956</v>
      </c>
      <c r="FW28" s="122">
        <v>235041.1378588207</v>
      </c>
      <c r="FX28" s="122">
        <v>12.700788576443211</v>
      </c>
      <c r="FY28" s="122">
        <v>235320.1163053615</v>
      </c>
      <c r="FZ28" s="122">
        <v>12.398042160204984</v>
      </c>
      <c r="GA28" s="122">
        <v>224510.13461287148</v>
      </c>
      <c r="GB28" s="122">
        <v>12.065762811760992</v>
      </c>
      <c r="GC28" s="122">
        <v>235894.77246336162</v>
      </c>
      <c r="GD28" s="122">
        <v>12.177452355313868</v>
      </c>
      <c r="GE28" s="122">
        <v>238976.09326531351</v>
      </c>
      <c r="GF28" s="122">
        <v>12.05250138286339</v>
      </c>
      <c r="GG28" s="122">
        <v>239391.37660814557</v>
      </c>
      <c r="GH28" s="122">
        <v>12.086431761430841</v>
      </c>
      <c r="GI28" s="122">
        <v>239294.35423000556</v>
      </c>
      <c r="GJ28" s="122">
        <v>11.972770212111197</v>
      </c>
      <c r="GK28" s="122">
        <v>242588.44011525557</v>
      </c>
      <c r="GL28" s="122">
        <v>11.553196364160742</v>
      </c>
      <c r="GM28" s="122">
        <v>251696.60630945564</v>
      </c>
      <c r="GN28" s="122">
        <v>11.373020132487811</v>
      </c>
      <c r="GO28" s="122">
        <v>253823.51688105566</v>
      </c>
      <c r="GP28" s="122">
        <v>10.963948944131873</v>
      </c>
      <c r="GQ28" s="122">
        <v>252428.5183105655</v>
      </c>
      <c r="GR28" s="122">
        <v>10.6973605735626</v>
      </c>
      <c r="GS28" s="122">
        <v>255161.10894643763</v>
      </c>
      <c r="GT28" s="122">
        <v>10.412302809746432</v>
      </c>
      <c r="GU28" s="122">
        <v>253578.38569710526</v>
      </c>
      <c r="GV28" s="122">
        <v>10.152172570163218</v>
      </c>
      <c r="GW28" s="122">
        <v>253999.22642568251</v>
      </c>
      <c r="GX28" s="122">
        <v>9.8663002546210627</v>
      </c>
      <c r="GY28" s="122">
        <v>256118.28590990594</v>
      </c>
      <c r="GZ28" s="122">
        <v>9.5930581400507027</v>
      </c>
      <c r="HA28" s="122">
        <v>256225.85507612568</v>
      </c>
      <c r="HB28" s="122">
        <v>9.3531895864836692</v>
      </c>
      <c r="HC28" s="122">
        <v>255936.07192351497</v>
      </c>
      <c r="HD28" s="122">
        <v>9.1873245630833633</v>
      </c>
      <c r="HE28" s="122">
        <v>257212.35893166877</v>
      </c>
      <c r="HF28" s="122">
        <v>8.8950226635573149</v>
      </c>
      <c r="HG28" s="122">
        <v>258449.27667171624</v>
      </c>
      <c r="HH28" s="122">
        <v>8.7033803360594515</v>
      </c>
      <c r="HI28" s="122">
        <v>255507.85677829612</v>
      </c>
      <c r="HJ28" s="122">
        <v>8.4846440682653324</v>
      </c>
      <c r="HK28" s="122">
        <v>260556.21589319047</v>
      </c>
      <c r="HL28" s="122">
        <v>8.1872360320350364</v>
      </c>
      <c r="HM28" s="122">
        <v>262227.74962352251</v>
      </c>
      <c r="HN28" s="122">
        <v>7.9773711979953683</v>
      </c>
      <c r="HO28" s="122">
        <v>273046.85128089995</v>
      </c>
      <c r="HP28" s="122">
        <v>7.7493574397592422</v>
      </c>
      <c r="HQ28" s="122">
        <v>275635.5511109301</v>
      </c>
      <c r="HR28" s="122">
        <v>7.7004819423163049</v>
      </c>
      <c r="HS28" s="122">
        <v>281142.67157008348</v>
      </c>
      <c r="HT28" s="122">
        <v>7.5788483182278066</v>
      </c>
      <c r="HU28" s="122">
        <v>281206.28328064393</v>
      </c>
      <c r="HV28" s="122">
        <v>7.4911553114534737</v>
      </c>
      <c r="HW28" s="122">
        <v>287162.47976724838</v>
      </c>
      <c r="HX28" s="122">
        <v>7.3895957221293447</v>
      </c>
      <c r="HY28" s="122">
        <v>286888.95857728476</v>
      </c>
    </row>
    <row r="29" spans="2:233" x14ac:dyDescent="0.55000000000000004">
      <c r="B29" s="21">
        <v>5</v>
      </c>
      <c r="C29" s="28" t="s">
        <v>673</v>
      </c>
      <c r="D29" s="122">
        <v>11.63232299939229</v>
      </c>
      <c r="E29" s="122">
        <v>95602.051294764489</v>
      </c>
      <c r="F29" s="122">
        <v>9.5534250333285886</v>
      </c>
      <c r="G29" s="122">
        <v>123830.71851885697</v>
      </c>
      <c r="H29" s="122">
        <v>9.0350214130592423</v>
      </c>
      <c r="I29" s="122">
        <v>146439.43991156001</v>
      </c>
      <c r="J29" s="122">
        <v>8.1492884985692822</v>
      </c>
      <c r="K29" s="122">
        <v>160559.01095850705</v>
      </c>
      <c r="L29" s="122">
        <v>10.75023642321529</v>
      </c>
      <c r="M29" s="122">
        <v>198529.20798605005</v>
      </c>
      <c r="N29" s="122">
        <v>12.140684621949191</v>
      </c>
      <c r="O29" s="122">
        <v>237457.38584493793</v>
      </c>
      <c r="P29" s="122">
        <v>8.2895419321148243</v>
      </c>
      <c r="Q29" s="122">
        <v>164379.07596279451</v>
      </c>
      <c r="R29" s="122">
        <v>8.0752966201424758</v>
      </c>
      <c r="S29" s="122">
        <v>169478.54659539403</v>
      </c>
      <c r="T29" s="122">
        <v>7.896233508761882</v>
      </c>
      <c r="U29" s="122">
        <v>173831.18827435203</v>
      </c>
      <c r="V29" s="122">
        <v>8.2339841816745398</v>
      </c>
      <c r="W29" s="122">
        <v>178083.32654008697</v>
      </c>
      <c r="X29" s="122">
        <v>8.5126879517659066</v>
      </c>
      <c r="Y29" s="122">
        <v>179181.11259827443</v>
      </c>
      <c r="Z29" s="122">
        <v>8.8029046890653593</v>
      </c>
      <c r="AA29" s="122">
        <v>184764.95626117397</v>
      </c>
      <c r="AB29" s="122">
        <v>9.4910228344837169</v>
      </c>
      <c r="AC29" s="122">
        <v>205180.67177373177</v>
      </c>
      <c r="AD29" s="122">
        <v>9.9208595234243955</v>
      </c>
      <c r="AE29" s="122">
        <v>204171.78748418347</v>
      </c>
      <c r="AF29" s="122">
        <v>10.238788043606284</v>
      </c>
      <c r="AG29" s="122">
        <v>201334.02031285234</v>
      </c>
      <c r="AH29" s="122">
        <v>10.062250846796271</v>
      </c>
      <c r="AI29" s="122">
        <v>200345.06714085699</v>
      </c>
      <c r="AJ29" s="122">
        <v>10.633853285530806</v>
      </c>
      <c r="AK29" s="122">
        <v>197846.92246826403</v>
      </c>
      <c r="AL29" s="122">
        <v>10.75023642321529</v>
      </c>
      <c r="AM29" s="122">
        <v>198529.20798605005</v>
      </c>
      <c r="AN29" s="122">
        <v>10.953448218510108</v>
      </c>
      <c r="AO29" s="122">
        <v>202450.67634507088</v>
      </c>
      <c r="AP29" s="122">
        <v>11.033565613095599</v>
      </c>
      <c r="AQ29" s="122">
        <v>207052.21883300037</v>
      </c>
      <c r="AR29" s="122">
        <v>10.079277107716969</v>
      </c>
      <c r="AS29" s="122">
        <v>213809.68670105061</v>
      </c>
      <c r="AT29" s="122">
        <v>10.944304450656256</v>
      </c>
      <c r="AU29" s="122">
        <v>215960.65428102054</v>
      </c>
      <c r="AV29" s="122">
        <v>10.712328003037884</v>
      </c>
      <c r="AW29" s="122">
        <v>219378.37747896701</v>
      </c>
      <c r="AX29" s="122">
        <v>11.185091739455205</v>
      </c>
      <c r="AY29" s="122">
        <v>220581.78718060206</v>
      </c>
      <c r="AZ29" s="122">
        <v>11.343852286497789</v>
      </c>
      <c r="BA29" s="122">
        <v>223547.75478372173</v>
      </c>
      <c r="BB29" s="122">
        <v>11.43684088460833</v>
      </c>
      <c r="BC29" s="122">
        <v>220006.119498321</v>
      </c>
      <c r="BD29" s="122">
        <v>11.611592551122211</v>
      </c>
      <c r="BE29" s="122">
        <v>210075.91993361179</v>
      </c>
      <c r="BF29" s="122">
        <v>11.767142787725273</v>
      </c>
      <c r="BG29" s="122">
        <v>231436.36844864977</v>
      </c>
      <c r="BH29" s="122">
        <v>12.06076682673984</v>
      </c>
      <c r="BI29" s="122">
        <v>214289.30841935304</v>
      </c>
      <c r="BJ29" s="122">
        <v>12.140684621949191</v>
      </c>
      <c r="BK29" s="122">
        <v>237457.38584493793</v>
      </c>
      <c r="BL29" s="122">
        <v>11.926628218397152</v>
      </c>
      <c r="BM29" s="122">
        <v>232013.87801006404</v>
      </c>
      <c r="BN29" s="122">
        <v>11.88724630641449</v>
      </c>
      <c r="BO29" s="122">
        <v>260713.41706644965</v>
      </c>
      <c r="BP29" s="122">
        <v>11.682873536603488</v>
      </c>
      <c r="BQ29" s="122">
        <v>274822.02318287257</v>
      </c>
      <c r="BR29" s="122">
        <v>11.883668489930848</v>
      </c>
      <c r="BS29" s="122">
        <v>285312.4666919774</v>
      </c>
      <c r="BT29" s="122">
        <v>12.003567673589492</v>
      </c>
      <c r="BU29" s="122">
        <v>290640.63274847815</v>
      </c>
      <c r="BV29" s="122">
        <v>11.924431594021307</v>
      </c>
      <c r="BW29" s="122">
        <v>297216.01302599319</v>
      </c>
      <c r="BX29" s="122">
        <v>11.905916954434511</v>
      </c>
      <c r="BY29" s="122">
        <v>304097.14030109654</v>
      </c>
      <c r="BZ29" s="122">
        <v>11.843389561660507</v>
      </c>
      <c r="CA29" s="122">
        <v>300630.45879928657</v>
      </c>
      <c r="CB29" s="122">
        <v>11.773847202395896</v>
      </c>
      <c r="CC29" s="122">
        <v>306243.39005472464</v>
      </c>
      <c r="CD29" s="122">
        <v>11.736919276985398</v>
      </c>
      <c r="CE29" s="122">
        <v>306251.33371264284</v>
      </c>
      <c r="CF29" s="122">
        <v>11.715558324778286</v>
      </c>
      <c r="CG29" s="122">
        <v>306666.85401207558</v>
      </c>
      <c r="CH29" s="122">
        <v>11.752670522654794</v>
      </c>
      <c r="CI29" s="122">
        <v>304479.98981452355</v>
      </c>
      <c r="CJ29" s="122">
        <v>11.662712681265278</v>
      </c>
      <c r="CK29" s="122">
        <v>308819.44493000268</v>
      </c>
      <c r="CL29" s="122">
        <v>11.343479713600845</v>
      </c>
      <c r="CM29" s="122">
        <v>313491.34149153426</v>
      </c>
      <c r="CN29" s="122">
        <v>11.535449942114504</v>
      </c>
      <c r="CO29" s="122">
        <v>325749.67755869729</v>
      </c>
      <c r="CP29" s="122">
        <v>11.587683177960846</v>
      </c>
      <c r="CQ29" s="122">
        <v>330242.74569863774</v>
      </c>
      <c r="CR29" s="122">
        <v>11.474717712330499</v>
      </c>
      <c r="CS29" s="122">
        <v>332532.86155368795</v>
      </c>
      <c r="CT29" s="122">
        <v>11.508269670894084</v>
      </c>
      <c r="CU29" s="122">
        <v>338212.91956218809</v>
      </c>
      <c r="CV29" s="122">
        <v>11.405719687291793</v>
      </c>
      <c r="CW29" s="122">
        <v>340538.56316473603</v>
      </c>
      <c r="CX29" s="122">
        <v>11.378718742449562</v>
      </c>
      <c r="CY29" s="122">
        <v>344786.48372276028</v>
      </c>
      <c r="CZ29" s="122">
        <v>11.311849943580411</v>
      </c>
      <c r="DA29" s="122">
        <v>349982.3104782491</v>
      </c>
      <c r="DB29" s="122">
        <v>11.253584226882088</v>
      </c>
      <c r="DC29" s="122">
        <v>347544.2775801887</v>
      </c>
      <c r="DD29" s="122">
        <v>10.711182603519509</v>
      </c>
      <c r="DE29" s="122">
        <v>340411.31947914005</v>
      </c>
      <c r="DF29" s="122">
        <v>10.248276504318394</v>
      </c>
      <c r="DG29" s="122">
        <v>341968.1859464508</v>
      </c>
      <c r="DH29" s="122">
        <v>10.301767692891636</v>
      </c>
      <c r="DI29" s="122">
        <v>337393.74450093578</v>
      </c>
      <c r="DJ29" s="122">
        <v>10.016016286607169</v>
      </c>
      <c r="DK29" s="122">
        <v>340206.23533189052</v>
      </c>
      <c r="DL29" s="122">
        <v>9.5492776868940812</v>
      </c>
      <c r="DM29" s="122">
        <v>345507.96066211181</v>
      </c>
      <c r="DN29" s="122">
        <v>9.1270885064923561</v>
      </c>
      <c r="DO29" s="122">
        <v>347235.56592701538</v>
      </c>
      <c r="DP29" s="122">
        <v>9.0786035776887424</v>
      </c>
      <c r="DQ29" s="122">
        <v>343641.60980024666</v>
      </c>
      <c r="DR29" s="122">
        <v>8.7529688449939602</v>
      </c>
      <c r="DS29" s="122">
        <v>352212.08338594961</v>
      </c>
      <c r="DT29" s="122">
        <v>8.3760471005595356</v>
      </c>
      <c r="DU29" s="122">
        <v>359019.33292155608</v>
      </c>
      <c r="DV29" s="122">
        <v>8.271660697858561</v>
      </c>
      <c r="DW29" s="122">
        <v>362529.09141758323</v>
      </c>
      <c r="DX29" s="122">
        <v>8.3336474123978288</v>
      </c>
      <c r="DY29" s="122">
        <v>368675.25769097317</v>
      </c>
      <c r="DZ29" s="122">
        <v>8.0731218676702081</v>
      </c>
      <c r="EA29" s="122">
        <v>368631.92938154552</v>
      </c>
      <c r="EB29" s="122">
        <v>7.9544348936149119</v>
      </c>
      <c r="EC29" s="122">
        <v>372135.9853800236</v>
      </c>
      <c r="ED29" s="122">
        <v>7.961699655708756</v>
      </c>
      <c r="EE29" s="122">
        <v>379125.47257733805</v>
      </c>
      <c r="EF29" s="122">
        <v>7.9453319175022852</v>
      </c>
      <c r="EG29" s="122">
        <v>386387.43989087659</v>
      </c>
      <c r="EH29" s="122">
        <v>7.9743261904707712</v>
      </c>
      <c r="EI29" s="122">
        <v>398448.65893402247</v>
      </c>
      <c r="EJ29" s="122">
        <v>8.06824207788579</v>
      </c>
      <c r="EK29" s="122">
        <v>413083.287449961</v>
      </c>
      <c r="EL29" s="122">
        <v>8.4962425935504484</v>
      </c>
      <c r="EM29" s="122">
        <v>420625.22445452056</v>
      </c>
      <c r="EN29" s="122">
        <v>8.7891014497693121</v>
      </c>
      <c r="EO29" s="122">
        <v>430559.4147899861</v>
      </c>
      <c r="EP29" s="122">
        <v>9.0575858545928689</v>
      </c>
      <c r="EQ29" s="122">
        <v>457418.27849703503</v>
      </c>
      <c r="ER29" s="122">
        <v>9.9149157953922931</v>
      </c>
      <c r="ES29" s="122">
        <v>468795.74918316898</v>
      </c>
      <c r="ET29" s="122">
        <v>10.180919210309769</v>
      </c>
      <c r="EU29" s="122">
        <v>478545.40496906097</v>
      </c>
      <c r="EV29" s="122">
        <v>10.478949275065352</v>
      </c>
      <c r="EW29" s="122">
        <v>481888.58720483392</v>
      </c>
      <c r="EX29" s="122">
        <v>11.303140371018129</v>
      </c>
      <c r="EY29" s="122">
        <v>485566.68827207293</v>
      </c>
      <c r="EZ29" s="122">
        <v>11.447352423689171</v>
      </c>
      <c r="FA29" s="122">
        <v>484017.71069515694</v>
      </c>
      <c r="FB29" s="122">
        <v>11.487044588721742</v>
      </c>
      <c r="FC29" s="122">
        <v>474653.42696543189</v>
      </c>
      <c r="FD29" s="122">
        <v>11.890141395726792</v>
      </c>
      <c r="FE29" s="122">
        <v>491739.83926423197</v>
      </c>
      <c r="FF29" s="122">
        <v>11.978026211176914</v>
      </c>
      <c r="FG29" s="122">
        <v>499342.93833307317</v>
      </c>
      <c r="FH29" s="122">
        <v>12.07701263099568</v>
      </c>
      <c r="FI29" s="122">
        <v>509610.00496676279</v>
      </c>
      <c r="FJ29" s="122">
        <v>12.549592323000534</v>
      </c>
      <c r="FK29" s="122">
        <v>513665.65714883176</v>
      </c>
      <c r="FL29" s="122">
        <v>12.625965345639775</v>
      </c>
      <c r="FM29" s="122">
        <v>507957.58322771662</v>
      </c>
      <c r="FN29" s="122">
        <v>12.549594046899493</v>
      </c>
      <c r="FO29" s="122">
        <v>508438.9983065764</v>
      </c>
      <c r="FP29" s="122">
        <v>13.271569399526598</v>
      </c>
      <c r="FQ29" s="122">
        <v>507826.02994984033</v>
      </c>
      <c r="FR29" s="122">
        <v>13.426434161594415</v>
      </c>
      <c r="FS29" s="122">
        <v>504827.90056249534</v>
      </c>
      <c r="FT29" s="122">
        <v>13.322128755935093</v>
      </c>
      <c r="FU29" s="122">
        <v>508378.96151862241</v>
      </c>
      <c r="FV29" s="122">
        <v>13.143320645538434</v>
      </c>
      <c r="FW29" s="122">
        <v>512304.30375493097</v>
      </c>
      <c r="FX29" s="122">
        <v>12.958423429393704</v>
      </c>
      <c r="FY29" s="122">
        <v>506066.5063611145</v>
      </c>
      <c r="FZ29" s="122">
        <v>12.634075237665757</v>
      </c>
      <c r="GA29" s="122">
        <v>470193.97699408105</v>
      </c>
      <c r="GB29" s="122">
        <v>12.172863348618316</v>
      </c>
      <c r="GC29" s="122">
        <v>507206.86297350615</v>
      </c>
      <c r="GD29" s="122">
        <v>12.459733455930131</v>
      </c>
      <c r="GE29" s="122">
        <v>518381.81974512374</v>
      </c>
      <c r="GF29" s="122">
        <v>11.804340075379919</v>
      </c>
      <c r="GG29" s="122">
        <v>531979.94039810076</v>
      </c>
      <c r="GH29" s="122">
        <v>12.361154627543335</v>
      </c>
      <c r="GI29" s="122">
        <v>537160.59024530067</v>
      </c>
      <c r="GJ29" s="122">
        <v>12.233064532337442</v>
      </c>
      <c r="GK29" s="122">
        <v>538751.95109379501</v>
      </c>
      <c r="GL29" s="122">
        <v>11.854932260424158</v>
      </c>
      <c r="GM29" s="122">
        <v>542049.61337132205</v>
      </c>
      <c r="GN29" s="122">
        <v>11.675676188312538</v>
      </c>
      <c r="GO29" s="122">
        <v>543880.59445611411</v>
      </c>
      <c r="GP29" s="122">
        <v>10.640276613869402</v>
      </c>
      <c r="GQ29" s="122">
        <v>544772.41699599486</v>
      </c>
      <c r="GR29" s="122">
        <v>10.383144368515707</v>
      </c>
      <c r="GS29" s="122">
        <v>548534.77875647601</v>
      </c>
      <c r="GT29" s="122">
        <v>10.597934803620019</v>
      </c>
      <c r="GU29" s="122">
        <v>543974.13627117872</v>
      </c>
      <c r="GV29" s="122">
        <v>9.8497898463551916</v>
      </c>
      <c r="GW29" s="122">
        <v>537774.04246815038</v>
      </c>
      <c r="GX29" s="122">
        <v>9.6207268755047881</v>
      </c>
      <c r="GY29" s="122">
        <v>539680.46572447114</v>
      </c>
      <c r="GZ29" s="122">
        <v>10.037153380319781</v>
      </c>
      <c r="HA29" s="122">
        <v>540323.92380410188</v>
      </c>
      <c r="HB29" s="122">
        <v>9.6729162882955464</v>
      </c>
      <c r="HC29" s="122">
        <v>547700.61518892087</v>
      </c>
      <c r="HD29" s="122">
        <v>9.3544112125671717</v>
      </c>
      <c r="HE29" s="122">
        <v>555950.86783024319</v>
      </c>
      <c r="HF29" s="122">
        <v>9.1019495601336882</v>
      </c>
      <c r="HG29" s="122">
        <v>563252.39656047686</v>
      </c>
      <c r="HH29" s="122">
        <v>8.9825187048188866</v>
      </c>
      <c r="HI29" s="122">
        <v>564547.16556171619</v>
      </c>
      <c r="HJ29" s="122">
        <v>8.5483758588900667</v>
      </c>
      <c r="HK29" s="122">
        <v>574997.35468709853</v>
      </c>
      <c r="HL29" s="122">
        <v>8.3732607681988913</v>
      </c>
      <c r="HM29" s="122">
        <v>577372.83504176175</v>
      </c>
      <c r="HN29" s="122">
        <v>8.1844463661337272</v>
      </c>
      <c r="HO29" s="122">
        <v>577552.06083789037</v>
      </c>
      <c r="HP29" s="122">
        <v>7.9013448700519096</v>
      </c>
      <c r="HQ29" s="122">
        <v>574175.11859997071</v>
      </c>
      <c r="HR29" s="122">
        <v>7.8565763463488434</v>
      </c>
      <c r="HS29" s="122">
        <v>569805.38121717505</v>
      </c>
      <c r="HT29" s="122">
        <v>7.7374204099156367</v>
      </c>
      <c r="HU29" s="122">
        <v>559791.63750883238</v>
      </c>
      <c r="HV29" s="122">
        <v>7.6432691178416086</v>
      </c>
      <c r="HW29" s="122">
        <v>550722.92736195447</v>
      </c>
      <c r="HX29" s="122">
        <v>7.5509247112920104</v>
      </c>
      <c r="HY29" s="122">
        <v>558261.00508798636</v>
      </c>
    </row>
    <row r="30" spans="2:233" x14ac:dyDescent="0.55000000000000004">
      <c r="B30" s="21">
        <v>6</v>
      </c>
      <c r="C30" s="28" t="s">
        <v>248</v>
      </c>
      <c r="D30" s="122">
        <v>12.633605134630383</v>
      </c>
      <c r="E30" s="122">
        <v>56541.709887299301</v>
      </c>
      <c r="F30" s="122">
        <v>11.059349145431199</v>
      </c>
      <c r="G30" s="122">
        <v>79993.064224118338</v>
      </c>
      <c r="H30" s="122">
        <v>9.8097750836608846</v>
      </c>
      <c r="I30" s="122">
        <v>112011.90479847419</v>
      </c>
      <c r="J30" s="122">
        <v>9.3811979855918679</v>
      </c>
      <c r="K30" s="122">
        <v>138218.97759808044</v>
      </c>
      <c r="L30" s="122">
        <v>11.534398140207617</v>
      </c>
      <c r="M30" s="122">
        <v>178777.16864725394</v>
      </c>
      <c r="N30" s="122">
        <v>12.638366983688426</v>
      </c>
      <c r="O30" s="122">
        <v>212355.17274960005</v>
      </c>
      <c r="P30" s="122">
        <v>9.3584482566347376</v>
      </c>
      <c r="Q30" s="122">
        <v>142122.65450609374</v>
      </c>
      <c r="R30" s="122">
        <v>9.2830852242902289</v>
      </c>
      <c r="S30" s="122">
        <v>146705.72483010209</v>
      </c>
      <c r="T30" s="122">
        <v>9.2431918455462672</v>
      </c>
      <c r="U30" s="122">
        <v>149448.15088086203</v>
      </c>
      <c r="V30" s="122">
        <v>9.3510130518001926</v>
      </c>
      <c r="W30" s="122">
        <v>151601.34610010206</v>
      </c>
      <c r="X30" s="122">
        <v>9.4994238902751551</v>
      </c>
      <c r="Y30" s="122">
        <v>154575.10331403371</v>
      </c>
      <c r="Z30" s="122">
        <v>9.6989238707666097</v>
      </c>
      <c r="AA30" s="122">
        <v>159914.73142865207</v>
      </c>
      <c r="AB30" s="122">
        <v>10.422348239059893</v>
      </c>
      <c r="AC30" s="122">
        <v>171413.88242828209</v>
      </c>
      <c r="AD30" s="122">
        <v>10.873453766245214</v>
      </c>
      <c r="AE30" s="122">
        <v>173374.92641963204</v>
      </c>
      <c r="AF30" s="122">
        <v>11.023642876955147</v>
      </c>
      <c r="AG30" s="122">
        <v>174812.986528062</v>
      </c>
      <c r="AH30" s="122">
        <v>11.144276244321036</v>
      </c>
      <c r="AI30" s="122">
        <v>176395.79521186877</v>
      </c>
      <c r="AJ30" s="122">
        <v>11.59331819000573</v>
      </c>
      <c r="AK30" s="122">
        <v>179038.02533164405</v>
      </c>
      <c r="AL30" s="122">
        <v>11.534398140207617</v>
      </c>
      <c r="AM30" s="122">
        <v>178777.16864725394</v>
      </c>
      <c r="AN30" s="122">
        <v>11.797446568976524</v>
      </c>
      <c r="AO30" s="122">
        <v>181267.46732659393</v>
      </c>
      <c r="AP30" s="122">
        <v>11.996513456122845</v>
      </c>
      <c r="AQ30" s="122">
        <v>183740.57057041206</v>
      </c>
      <c r="AR30" s="122">
        <v>11.454496461763664</v>
      </c>
      <c r="AS30" s="122">
        <v>186480.88433255412</v>
      </c>
      <c r="AT30" s="122">
        <v>11.874368918870971</v>
      </c>
      <c r="AU30" s="122">
        <v>187994.52344769172</v>
      </c>
      <c r="AV30" s="122">
        <v>11.705904799211075</v>
      </c>
      <c r="AW30" s="122">
        <v>194380.06940134175</v>
      </c>
      <c r="AX30" s="122">
        <v>11.997624113937524</v>
      </c>
      <c r="AY30" s="122">
        <v>197675.16631430172</v>
      </c>
      <c r="AZ30" s="122">
        <v>12.099670641804076</v>
      </c>
      <c r="BA30" s="122">
        <v>200243.78126229471</v>
      </c>
      <c r="BB30" s="122">
        <v>12.030093793398276</v>
      </c>
      <c r="BC30" s="122">
        <v>197357.86433300306</v>
      </c>
      <c r="BD30" s="122">
        <v>12.25990980504266</v>
      </c>
      <c r="BE30" s="122">
        <v>198097.85799291311</v>
      </c>
      <c r="BF30" s="122">
        <v>12.53055908673381</v>
      </c>
      <c r="BG30" s="122">
        <v>203686.63558521002</v>
      </c>
      <c r="BH30" s="122">
        <v>12.667681914072611</v>
      </c>
      <c r="BI30" s="122">
        <v>207614.71391037997</v>
      </c>
      <c r="BJ30" s="122">
        <v>12.638366983688426</v>
      </c>
      <c r="BK30" s="122">
        <v>212355.17274960005</v>
      </c>
      <c r="BL30" s="122">
        <v>12.652313982857381</v>
      </c>
      <c r="BM30" s="122">
        <v>217080.00164337008</v>
      </c>
      <c r="BN30" s="122">
        <v>12.291942634970729</v>
      </c>
      <c r="BO30" s="122">
        <v>226767.6566746498</v>
      </c>
      <c r="BP30" s="122">
        <v>12.264811563458494</v>
      </c>
      <c r="BQ30" s="122">
        <v>230053.41015983172</v>
      </c>
      <c r="BR30" s="122">
        <v>12.245867711430911</v>
      </c>
      <c r="BS30" s="122">
        <v>231115.0864225734</v>
      </c>
      <c r="BT30" s="122">
        <v>12.264209937564788</v>
      </c>
      <c r="BU30" s="122">
        <v>232806.23275282132</v>
      </c>
      <c r="BV30" s="122">
        <v>12.274814370407968</v>
      </c>
      <c r="BW30" s="122">
        <v>235960.12582044344</v>
      </c>
      <c r="BX30" s="122">
        <v>12.391666407530025</v>
      </c>
      <c r="BY30" s="122">
        <v>239038.72849932342</v>
      </c>
      <c r="BZ30" s="122">
        <v>12.319853065509857</v>
      </c>
      <c r="CA30" s="122">
        <v>242857.01859648759</v>
      </c>
      <c r="CB30" s="122">
        <v>12.532388762863429</v>
      </c>
      <c r="CC30" s="122">
        <v>242721.20549226072</v>
      </c>
      <c r="CD30" s="122">
        <v>12.470760334033645</v>
      </c>
      <c r="CE30" s="122">
        <v>246645.11898773903</v>
      </c>
      <c r="CF30" s="122">
        <v>12.433605464625067</v>
      </c>
      <c r="CG30" s="122">
        <v>249097.53871584384</v>
      </c>
      <c r="CH30" s="122">
        <v>12.434178642037084</v>
      </c>
      <c r="CI30" s="122">
        <v>251365.48012307691</v>
      </c>
      <c r="CJ30" s="122">
        <v>12.348612012076856</v>
      </c>
      <c r="CK30" s="122">
        <v>252550.37732365704</v>
      </c>
      <c r="CL30" s="122">
        <v>12.265275737254548</v>
      </c>
      <c r="CM30" s="122">
        <v>259061.7855341945</v>
      </c>
      <c r="CN30" s="122">
        <v>12.34239617807776</v>
      </c>
      <c r="CO30" s="122">
        <v>266296.29369388433</v>
      </c>
      <c r="CP30" s="122">
        <v>12.390223350503364</v>
      </c>
      <c r="CQ30" s="122">
        <v>268386.78974451631</v>
      </c>
      <c r="CR30" s="122">
        <v>12.369067261625972</v>
      </c>
      <c r="CS30" s="122">
        <v>274125.41092165653</v>
      </c>
      <c r="CT30" s="122">
        <v>12.336715946836602</v>
      </c>
      <c r="CU30" s="122">
        <v>277496.94603588455</v>
      </c>
      <c r="CV30" s="122">
        <v>12.293950555986035</v>
      </c>
      <c r="CW30" s="122">
        <v>279050.42523756757</v>
      </c>
      <c r="CX30" s="122">
        <v>12.247625692081476</v>
      </c>
      <c r="CY30" s="122">
        <v>285950.20699111576</v>
      </c>
      <c r="CZ30" s="122">
        <v>12.27091769820461</v>
      </c>
      <c r="DA30" s="122">
        <v>288005.58910842554</v>
      </c>
      <c r="DB30" s="122">
        <v>12.029102446932871</v>
      </c>
      <c r="DC30" s="122">
        <v>287005.02185204002</v>
      </c>
      <c r="DD30" s="122">
        <v>11.384018614077664</v>
      </c>
      <c r="DE30" s="122">
        <v>285240.61486754491</v>
      </c>
      <c r="DF30" s="122">
        <v>10.992663019115561</v>
      </c>
      <c r="DG30" s="122">
        <v>294292.47207939357</v>
      </c>
      <c r="DH30" s="122">
        <v>11.02353148629229</v>
      </c>
      <c r="DI30" s="122">
        <v>295341.18467154901</v>
      </c>
      <c r="DJ30" s="122">
        <v>10.876948753295508</v>
      </c>
      <c r="DK30" s="122">
        <v>291087.97606903047</v>
      </c>
      <c r="DL30" s="122">
        <v>10.601107879493439</v>
      </c>
      <c r="DM30" s="122">
        <v>300437.14098795253</v>
      </c>
      <c r="DN30" s="122">
        <v>10.290466030155809</v>
      </c>
      <c r="DO30" s="122">
        <v>307142.33780008962</v>
      </c>
      <c r="DP30" s="122">
        <v>10.203346068202304</v>
      </c>
      <c r="DQ30" s="122">
        <v>305985.06676981464</v>
      </c>
      <c r="DR30" s="122">
        <v>10.03493720596633</v>
      </c>
      <c r="DS30" s="122">
        <v>313541.86171308113</v>
      </c>
      <c r="DT30" s="122">
        <v>9.6093520797930161</v>
      </c>
      <c r="DU30" s="122">
        <v>317831.2639209262</v>
      </c>
      <c r="DV30" s="122">
        <v>9.5658225661886824</v>
      </c>
      <c r="DW30" s="122">
        <v>327420.5971805994</v>
      </c>
      <c r="DX30" s="122">
        <v>9.4689048008359151</v>
      </c>
      <c r="DY30" s="122">
        <v>332795.19335757819</v>
      </c>
      <c r="DZ30" s="122">
        <v>9.2825207655931248</v>
      </c>
      <c r="EA30" s="122">
        <v>340914.18783673376</v>
      </c>
      <c r="EB30" s="122">
        <v>9.2252079119036807</v>
      </c>
      <c r="EC30" s="122">
        <v>339601.38351147907</v>
      </c>
      <c r="ED30" s="122">
        <v>9.1666618837610852</v>
      </c>
      <c r="EE30" s="122">
        <v>354304.34720699792</v>
      </c>
      <c r="EF30" s="122">
        <v>9.1898771479024539</v>
      </c>
      <c r="EG30" s="122">
        <v>355863.82352909469</v>
      </c>
      <c r="EH30" s="122">
        <v>9.2696099862626813</v>
      </c>
      <c r="EI30" s="122">
        <v>359202.13067459653</v>
      </c>
      <c r="EJ30" s="122">
        <v>9.1157210427628765</v>
      </c>
      <c r="EK30" s="122">
        <v>223057.014033521</v>
      </c>
      <c r="EL30" s="122">
        <v>9.5720888339485644</v>
      </c>
      <c r="EM30" s="122">
        <v>194529.74924292916</v>
      </c>
      <c r="EN30" s="122">
        <v>9.5954873799411331</v>
      </c>
      <c r="EO30" s="122">
        <v>189542.90840048599</v>
      </c>
      <c r="EP30" s="122">
        <v>9.6802854172037254</v>
      </c>
      <c r="EQ30" s="122">
        <v>171339.41191646463</v>
      </c>
      <c r="ER30" s="122">
        <v>10.43044050782834</v>
      </c>
      <c r="ES30" s="122">
        <v>172625.18800433262</v>
      </c>
      <c r="ET30" s="122">
        <v>10.491437465294414</v>
      </c>
      <c r="EU30" s="122">
        <v>167603.33208866761</v>
      </c>
      <c r="EV30" s="122">
        <v>11.006164258823269</v>
      </c>
      <c r="EW30" s="122">
        <v>150745.35258826811</v>
      </c>
      <c r="EX30" s="122">
        <v>11.703693757467613</v>
      </c>
      <c r="EY30" s="122">
        <v>154512.76201920793</v>
      </c>
      <c r="EZ30" s="122">
        <v>11.766134491225749</v>
      </c>
      <c r="FA30" s="122">
        <v>168415.22225287702</v>
      </c>
      <c r="FB30" s="122">
        <v>11.756310403425864</v>
      </c>
      <c r="FC30" s="122">
        <v>154722.57597814788</v>
      </c>
      <c r="FD30" s="122">
        <v>12.361090095380428</v>
      </c>
      <c r="FE30" s="122">
        <v>150428.75623987397</v>
      </c>
      <c r="FF30" s="122">
        <v>12.506115265807169</v>
      </c>
      <c r="FG30" s="122">
        <v>154762.9353720379</v>
      </c>
      <c r="FH30" s="122">
        <v>12.603211197460674</v>
      </c>
      <c r="FI30" s="122">
        <v>156111.57199159701</v>
      </c>
      <c r="FJ30" s="122">
        <v>13.080752638924691</v>
      </c>
      <c r="FK30" s="122">
        <v>157476.34588179912</v>
      </c>
      <c r="FL30" s="122">
        <v>13.154464500155665</v>
      </c>
      <c r="FM30" s="122">
        <v>159160.72542151919</v>
      </c>
      <c r="FN30" s="122">
        <v>12.768426537103846</v>
      </c>
      <c r="FO30" s="122">
        <v>158623.24300670007</v>
      </c>
      <c r="FP30" s="122">
        <v>13.851728392076961</v>
      </c>
      <c r="FQ30" s="122">
        <v>160037.29942210895</v>
      </c>
      <c r="FR30" s="122">
        <v>13.806894719399001</v>
      </c>
      <c r="FS30" s="122">
        <v>162611.77855905006</v>
      </c>
      <c r="FT30" s="122">
        <v>13.371916064807632</v>
      </c>
      <c r="FU30" s="122">
        <v>174409.07747914613</v>
      </c>
      <c r="FV30" s="122">
        <v>13.256275798923602</v>
      </c>
      <c r="FW30" s="122">
        <v>173989.75852948587</v>
      </c>
      <c r="FX30" s="122">
        <v>13.020964864731376</v>
      </c>
      <c r="FY30" s="122">
        <v>169363.070628316</v>
      </c>
      <c r="FZ30" s="122">
        <v>12.610889611374658</v>
      </c>
      <c r="GA30" s="122">
        <v>156997.79338855305</v>
      </c>
      <c r="GB30" s="122">
        <v>11.879782106611032</v>
      </c>
      <c r="GC30" s="122">
        <v>165581.52260185307</v>
      </c>
      <c r="GD30" s="122">
        <v>12.548839722546967</v>
      </c>
      <c r="GE30" s="122">
        <v>171430.98410614309</v>
      </c>
      <c r="GF30" s="122">
        <v>12.438188699912445</v>
      </c>
      <c r="GG30" s="122">
        <v>179898.4887769031</v>
      </c>
      <c r="GH30" s="122">
        <v>12.392308742528215</v>
      </c>
      <c r="GI30" s="122">
        <v>181176.42394663297</v>
      </c>
      <c r="GJ30" s="122">
        <v>12.26626401124336</v>
      </c>
      <c r="GK30" s="122">
        <v>184100.86900896297</v>
      </c>
      <c r="GL30" s="122">
        <v>11.942234412465439</v>
      </c>
      <c r="GM30" s="122">
        <v>187118.47485474302</v>
      </c>
      <c r="GN30" s="122">
        <v>11.71671490538956</v>
      </c>
      <c r="GO30" s="122">
        <v>188292.56163441294</v>
      </c>
      <c r="GP30" s="122">
        <v>11.314602422574922</v>
      </c>
      <c r="GQ30" s="122">
        <v>191243.244477253</v>
      </c>
      <c r="GR30" s="122">
        <v>11.04148996409074</v>
      </c>
      <c r="GS30" s="122">
        <v>196058.99102815302</v>
      </c>
      <c r="GT30" s="122">
        <v>10.718608347349196</v>
      </c>
      <c r="GU30" s="122">
        <v>198444.89776198214</v>
      </c>
      <c r="GV30" s="122">
        <v>10.627031843278898</v>
      </c>
      <c r="GW30" s="122">
        <v>200400.22153972898</v>
      </c>
      <c r="GX30" s="122">
        <v>10.339834244425745</v>
      </c>
      <c r="GY30" s="122">
        <v>182860.25863905906</v>
      </c>
      <c r="GZ30" s="122">
        <v>10.150727114591662</v>
      </c>
      <c r="HA30" s="122">
        <v>181847.43230227902</v>
      </c>
      <c r="HB30" s="122">
        <v>9.9361715880554016</v>
      </c>
      <c r="HC30" s="122">
        <v>185259.23114897637</v>
      </c>
      <c r="HD30" s="122">
        <v>9.6793544684910469</v>
      </c>
      <c r="HE30" s="122">
        <v>188049.09474536628</v>
      </c>
      <c r="HF30" s="122">
        <v>9.4511789119978307</v>
      </c>
      <c r="HG30" s="122">
        <v>187741.05360217899</v>
      </c>
      <c r="HH30" s="122">
        <v>9.3142019436175154</v>
      </c>
      <c r="HI30" s="122">
        <v>191204.98268646037</v>
      </c>
      <c r="HJ30" s="122">
        <v>9.0321194283983086</v>
      </c>
      <c r="HK30" s="122">
        <v>198608.35671117037</v>
      </c>
      <c r="HL30" s="122">
        <v>8.8606648680095823</v>
      </c>
      <c r="HM30" s="122">
        <v>200830.10578551897</v>
      </c>
      <c r="HN30" s="122">
        <v>8.7170559488377837</v>
      </c>
      <c r="HO30" s="122">
        <v>201295.90859028895</v>
      </c>
      <c r="HP30" s="122">
        <v>8.3507346384508061</v>
      </c>
      <c r="HQ30" s="122">
        <v>204780.022278819</v>
      </c>
      <c r="HR30" s="122">
        <v>8.4163659276200971</v>
      </c>
      <c r="HS30" s="122">
        <v>206591.59548778037</v>
      </c>
      <c r="HT30" s="122">
        <v>8.3122954516977607</v>
      </c>
      <c r="HU30" s="122">
        <v>207343.1756087589</v>
      </c>
      <c r="HV30" s="122">
        <v>8.1999496972325598</v>
      </c>
      <c r="HW30" s="122">
        <v>203554.74460529655</v>
      </c>
      <c r="HX30" s="122">
        <v>8.1113889439426181</v>
      </c>
      <c r="HY30" s="122">
        <v>204838.16991600025</v>
      </c>
    </row>
    <row r="31" spans="2:233" x14ac:dyDescent="0.55000000000000004">
      <c r="B31" s="21">
        <v>7</v>
      </c>
      <c r="C31" s="28" t="s">
        <v>249</v>
      </c>
      <c r="D31" s="122">
        <v>11.744306236289333</v>
      </c>
      <c r="E31" s="122">
        <v>14375.431176902028</v>
      </c>
      <c r="F31" s="122">
        <v>10.599393056606937</v>
      </c>
      <c r="G31" s="122">
        <v>19545.601177240027</v>
      </c>
      <c r="H31" s="122">
        <v>9.7346897871098896</v>
      </c>
      <c r="I31" s="122">
        <v>26599.285221409995</v>
      </c>
      <c r="J31" s="122">
        <v>9.2747637620351817</v>
      </c>
      <c r="K31" s="122">
        <v>37890.163659860009</v>
      </c>
      <c r="L31" s="122">
        <v>10.316227752563018</v>
      </c>
      <c r="M31" s="122">
        <v>59344.923141030027</v>
      </c>
      <c r="N31" s="122">
        <v>11.426017252043234</v>
      </c>
      <c r="O31" s="122">
        <v>81900.595712659997</v>
      </c>
      <c r="P31" s="122">
        <v>9.1794393141641653</v>
      </c>
      <c r="Q31" s="122">
        <v>39369.509987750003</v>
      </c>
      <c r="R31" s="122">
        <v>9.188168392906837</v>
      </c>
      <c r="S31" s="122">
        <v>40103.023096470031</v>
      </c>
      <c r="T31" s="122">
        <v>9.0649465220578946</v>
      </c>
      <c r="U31" s="122">
        <v>41226.637004470023</v>
      </c>
      <c r="V31" s="122">
        <v>9.1464495982616576</v>
      </c>
      <c r="W31" s="122">
        <v>42380.592811999988</v>
      </c>
      <c r="X31" s="122">
        <v>9.180068432871094</v>
      </c>
      <c r="Y31" s="122">
        <v>43141.348815919991</v>
      </c>
      <c r="Z31" s="122">
        <v>9.4152749616795024</v>
      </c>
      <c r="AA31" s="122">
        <v>46296.485153770001</v>
      </c>
      <c r="AB31" s="122">
        <v>9.7477322117179384</v>
      </c>
      <c r="AC31" s="122">
        <v>51027.331462646885</v>
      </c>
      <c r="AD31" s="122">
        <v>9.9589485767414399</v>
      </c>
      <c r="AE31" s="122">
        <v>51354.739883310001</v>
      </c>
      <c r="AF31" s="122">
        <v>9.9421132897383035</v>
      </c>
      <c r="AG31" s="122">
        <v>54227.129183019992</v>
      </c>
      <c r="AH31" s="122">
        <v>9.6407853336439224</v>
      </c>
      <c r="AI31" s="122">
        <v>54896.120095880018</v>
      </c>
      <c r="AJ31" s="122">
        <v>10.140010783614972</v>
      </c>
      <c r="AK31" s="122">
        <v>55971.553068460002</v>
      </c>
      <c r="AL31" s="122">
        <v>10.316227752563018</v>
      </c>
      <c r="AM31" s="122">
        <v>59344.923141030027</v>
      </c>
      <c r="AN31" s="122">
        <v>10.597913457340928</v>
      </c>
      <c r="AO31" s="122">
        <v>60181.914339950017</v>
      </c>
      <c r="AP31" s="122">
        <v>10.710358972472237</v>
      </c>
      <c r="AQ31" s="122">
        <v>61365.992018830031</v>
      </c>
      <c r="AR31" s="122">
        <v>9.709896587032663</v>
      </c>
      <c r="AS31" s="122">
        <v>62989.535081850001</v>
      </c>
      <c r="AT31" s="122">
        <v>10.726375521093948</v>
      </c>
      <c r="AU31" s="122">
        <v>62291.410201230021</v>
      </c>
      <c r="AV31" s="122">
        <v>10.382998296462853</v>
      </c>
      <c r="AW31" s="122">
        <v>65823.477602280007</v>
      </c>
      <c r="AX31" s="122">
        <v>10.855238813083032</v>
      </c>
      <c r="AY31" s="122">
        <v>67629.474985320005</v>
      </c>
      <c r="AZ31" s="122">
        <v>10.870436687925087</v>
      </c>
      <c r="BA31" s="122">
        <v>68895.019996599978</v>
      </c>
      <c r="BB31" s="122">
        <v>10.984533699199224</v>
      </c>
      <c r="BC31" s="122">
        <v>69714.016764830012</v>
      </c>
      <c r="BD31" s="122">
        <v>11.161836303895182</v>
      </c>
      <c r="BE31" s="122">
        <v>68020.384938830015</v>
      </c>
      <c r="BF31" s="122">
        <v>11.241299116936396</v>
      </c>
      <c r="BG31" s="122">
        <v>75625.657387569998</v>
      </c>
      <c r="BH31" s="122">
        <v>11.460257609377233</v>
      </c>
      <c r="BI31" s="122">
        <v>72720.984264630024</v>
      </c>
      <c r="BJ31" s="122">
        <v>11.426017252043234</v>
      </c>
      <c r="BK31" s="122">
        <v>81900.595712659997</v>
      </c>
      <c r="BL31" s="122">
        <v>11.518230915298091</v>
      </c>
      <c r="BM31" s="122">
        <v>77145.980600040028</v>
      </c>
      <c r="BN31" s="122">
        <v>11.415003063253684</v>
      </c>
      <c r="BO31" s="122">
        <v>84848.490870184993</v>
      </c>
      <c r="BP31" s="122">
        <v>11.512397451308679</v>
      </c>
      <c r="BQ31" s="122">
        <v>89570.265369804023</v>
      </c>
      <c r="BR31" s="122">
        <v>11.423725731957637</v>
      </c>
      <c r="BS31" s="122">
        <v>90448.757028790016</v>
      </c>
      <c r="BT31" s="122">
        <v>11.419750001328392</v>
      </c>
      <c r="BU31" s="122">
        <v>91675.639317419991</v>
      </c>
      <c r="BV31" s="122">
        <v>11.44256292155349</v>
      </c>
      <c r="BW31" s="122">
        <v>94499.666544479987</v>
      </c>
      <c r="BX31" s="122">
        <v>11.434073391666956</v>
      </c>
      <c r="BY31" s="122">
        <v>96833.092983090042</v>
      </c>
      <c r="BZ31" s="122">
        <v>11.26201526792504</v>
      </c>
      <c r="CA31" s="122">
        <v>98737.870232530026</v>
      </c>
      <c r="CB31" s="122">
        <v>11.211938536601759</v>
      </c>
      <c r="CC31" s="122">
        <v>102175.5972532</v>
      </c>
      <c r="CD31" s="122">
        <v>11.191610528772493</v>
      </c>
      <c r="CE31" s="122">
        <v>104026.13376373998</v>
      </c>
      <c r="CF31" s="122">
        <v>11.31396179506334</v>
      </c>
      <c r="CG31" s="122">
        <v>113348.91785416001</v>
      </c>
      <c r="CH31" s="122">
        <v>11.31728354514131</v>
      </c>
      <c r="CI31" s="122">
        <v>117636.98102927001</v>
      </c>
      <c r="CJ31" s="122">
        <v>11.303561788512749</v>
      </c>
      <c r="CK31" s="122">
        <v>120532.23832152999</v>
      </c>
      <c r="CL31" s="122">
        <v>11.288603321015628</v>
      </c>
      <c r="CM31" s="122">
        <v>122137.75096436001</v>
      </c>
      <c r="CN31" s="122">
        <v>11.300812024104912</v>
      </c>
      <c r="CO31" s="122">
        <v>126667.60464941297</v>
      </c>
      <c r="CP31" s="122">
        <v>11.313044354459462</v>
      </c>
      <c r="CQ31" s="122">
        <v>127608.69531588</v>
      </c>
      <c r="CR31" s="122">
        <v>11.306165714741748</v>
      </c>
      <c r="CS31" s="122">
        <v>130778.46958723002</v>
      </c>
      <c r="CT31" s="122">
        <v>11.300964233752296</v>
      </c>
      <c r="CU31" s="122">
        <v>132396.03748658003</v>
      </c>
      <c r="CV31" s="122">
        <v>11.276470103443286</v>
      </c>
      <c r="CW31" s="122">
        <v>135058.29863809</v>
      </c>
      <c r="CX31" s="122">
        <v>11.343267692945181</v>
      </c>
      <c r="CY31" s="122">
        <v>139523.06906129298</v>
      </c>
      <c r="CZ31" s="122">
        <v>11.227675154034154</v>
      </c>
      <c r="DA31" s="122">
        <v>143440.41183029005</v>
      </c>
      <c r="DB31" s="122">
        <v>11.102195166437932</v>
      </c>
      <c r="DC31" s="122">
        <v>144390.54268891006</v>
      </c>
      <c r="DD31" s="122">
        <v>10.86879719350736</v>
      </c>
      <c r="DE31" s="122">
        <v>146971.57004533996</v>
      </c>
      <c r="DF31" s="122">
        <v>10.460840338781187</v>
      </c>
      <c r="DG31" s="122">
        <v>153061.09282716303</v>
      </c>
      <c r="DH31" s="122">
        <v>10.749750191177171</v>
      </c>
      <c r="DI31" s="122">
        <v>158824.37354939303</v>
      </c>
      <c r="DJ31" s="122">
        <v>10.56119858072196</v>
      </c>
      <c r="DK31" s="122">
        <v>161153.61716904296</v>
      </c>
      <c r="DL31" s="122">
        <v>9.8832831357738282</v>
      </c>
      <c r="DM31" s="122">
        <v>165656.349464923</v>
      </c>
      <c r="DN31" s="122">
        <v>9.7566743774933045</v>
      </c>
      <c r="DO31" s="122">
        <v>167218.23608147303</v>
      </c>
      <c r="DP31" s="122">
        <v>9.578035203456178</v>
      </c>
      <c r="DQ31" s="122">
        <v>166898.41592608296</v>
      </c>
      <c r="DR31" s="122">
        <v>9.1110520036094638</v>
      </c>
      <c r="DS31" s="122">
        <v>171142.703496103</v>
      </c>
      <c r="DT31" s="122">
        <v>8.9023135761767058</v>
      </c>
      <c r="DU31" s="122">
        <v>173242.44818890592</v>
      </c>
      <c r="DV31" s="122">
        <v>8.770496651773021</v>
      </c>
      <c r="DW31" s="122">
        <v>178049.47878468595</v>
      </c>
      <c r="DX31" s="122">
        <v>8.6179540709073432</v>
      </c>
      <c r="DY31" s="122">
        <v>185859.95047101</v>
      </c>
      <c r="DZ31" s="122">
        <v>8.4429837403631485</v>
      </c>
      <c r="EA31" s="122">
        <v>187746.111922843</v>
      </c>
      <c r="EB31" s="122">
        <v>8.3587113202478491</v>
      </c>
      <c r="EC31" s="122">
        <v>190753.68088886296</v>
      </c>
      <c r="ED31" s="122">
        <v>8.1949432079107307</v>
      </c>
      <c r="EE31" s="122">
        <v>199484.94652591302</v>
      </c>
      <c r="EF31" s="122">
        <v>8.1452228413446743</v>
      </c>
      <c r="EG31" s="122">
        <v>201824.22761930601</v>
      </c>
      <c r="EH31" s="122">
        <v>8.0928809741680467</v>
      </c>
      <c r="EI31" s="122">
        <v>205647.45823952596</v>
      </c>
      <c r="EJ31" s="122">
        <v>8.0703811628826276</v>
      </c>
      <c r="EK31" s="122">
        <v>210600.04465162603</v>
      </c>
      <c r="EL31" s="122">
        <v>8.2016049358063583</v>
      </c>
      <c r="EM31" s="122">
        <v>211338.31096969603</v>
      </c>
      <c r="EN31" s="122">
        <v>8.4678048989107353</v>
      </c>
      <c r="EO31" s="122">
        <v>212378.737025696</v>
      </c>
      <c r="EP31" s="122">
        <v>8.6010224671256328</v>
      </c>
      <c r="EQ31" s="122">
        <v>218011.794590056</v>
      </c>
      <c r="ER31" s="122">
        <v>9.0471664311327462</v>
      </c>
      <c r="ES31" s="122">
        <v>219567.02370999602</v>
      </c>
      <c r="ET31" s="122">
        <v>9.1989817648207772</v>
      </c>
      <c r="EU31" s="122">
        <v>220057.85349580602</v>
      </c>
      <c r="EV31" s="122">
        <v>9.5104539540389155</v>
      </c>
      <c r="EW31" s="122">
        <v>224534.96782339309</v>
      </c>
      <c r="EX31" s="122">
        <v>9.9413513733129655</v>
      </c>
      <c r="EY31" s="122">
        <v>229094.998760266</v>
      </c>
      <c r="EZ31" s="122">
        <v>10.076572160985803</v>
      </c>
      <c r="FA31" s="122">
        <v>229411.77590337599</v>
      </c>
      <c r="FB31" s="122">
        <v>10.198411867097622</v>
      </c>
      <c r="FC31" s="122">
        <v>235149.09787377602</v>
      </c>
      <c r="FD31" s="122">
        <v>10.569649851863971</v>
      </c>
      <c r="FE31" s="122">
        <v>238597.41257243603</v>
      </c>
      <c r="FF31" s="122">
        <v>10.684407364435923</v>
      </c>
      <c r="FG31" s="122">
        <v>238350.96848013296</v>
      </c>
      <c r="FH31" s="122">
        <v>10.764347671889135</v>
      </c>
      <c r="FI31" s="122">
        <v>243726.71991258601</v>
      </c>
      <c r="FJ31" s="122">
        <v>11.022716326810821</v>
      </c>
      <c r="FK31" s="122">
        <v>245413.92711733602</v>
      </c>
      <c r="FL31" s="122">
        <v>11.037709410025403</v>
      </c>
      <c r="FM31" s="122">
        <v>248542.85509546602</v>
      </c>
      <c r="FN31" s="122">
        <v>11.103030891503233</v>
      </c>
      <c r="FO31" s="122">
        <v>260432.72610138607</v>
      </c>
      <c r="FP31" s="122">
        <v>11.573459233393045</v>
      </c>
      <c r="FQ31" s="122">
        <v>264675.70428483299</v>
      </c>
      <c r="FR31" s="122">
        <v>11.812928875244351</v>
      </c>
      <c r="FS31" s="122">
        <v>267590.78531834309</v>
      </c>
      <c r="FT31" s="122">
        <v>11.907510269273367</v>
      </c>
      <c r="FU31" s="122">
        <v>275666.6305378761</v>
      </c>
      <c r="FV31" s="122">
        <v>11.836812144056525</v>
      </c>
      <c r="FW31" s="122">
        <v>279129.26541859598</v>
      </c>
      <c r="FX31" s="122">
        <v>11.780557474853513</v>
      </c>
      <c r="FY31" s="122">
        <v>285589.46967743611</v>
      </c>
      <c r="FZ31" s="122">
        <v>11.559198659253115</v>
      </c>
      <c r="GA31" s="122">
        <v>279199.94458624301</v>
      </c>
      <c r="GB31" s="122">
        <v>11.239970727914082</v>
      </c>
      <c r="GC31" s="122">
        <v>301426.59554135299</v>
      </c>
      <c r="GD31" s="122">
        <v>11.417620186585388</v>
      </c>
      <c r="GE31" s="122">
        <v>303560.13927570271</v>
      </c>
      <c r="GF31" s="122">
        <v>11.288112352089071</v>
      </c>
      <c r="GG31" s="122">
        <v>311342.49386960303</v>
      </c>
      <c r="GH31" s="122">
        <v>11.435017852886002</v>
      </c>
      <c r="GI31" s="122">
        <v>311889.60306126304</v>
      </c>
      <c r="GJ31" s="122">
        <v>11.314799695439904</v>
      </c>
      <c r="GK31" s="122">
        <v>313282.65947563294</v>
      </c>
      <c r="GL31" s="122">
        <v>11.145097147889254</v>
      </c>
      <c r="GM31" s="122">
        <v>322696.627792763</v>
      </c>
      <c r="GN31" s="122">
        <v>11.018642216405645</v>
      </c>
      <c r="GO31" s="122">
        <v>326682.18150674301</v>
      </c>
      <c r="GP31" s="122">
        <v>10.826948997468644</v>
      </c>
      <c r="GQ31" s="122">
        <v>330240.19319516298</v>
      </c>
      <c r="GR31" s="122">
        <v>10.581012109879152</v>
      </c>
      <c r="GS31" s="122">
        <v>339864.44619100296</v>
      </c>
      <c r="GT31" s="122">
        <v>10.415250741922096</v>
      </c>
      <c r="GU31" s="122">
        <v>345155.49353807303</v>
      </c>
      <c r="GV31" s="122">
        <v>10.227881669217719</v>
      </c>
      <c r="GW31" s="122">
        <v>351630.29929541302</v>
      </c>
      <c r="GX31" s="122">
        <v>10.011337607607873</v>
      </c>
      <c r="GY31" s="122">
        <v>363987.12195242295</v>
      </c>
      <c r="GZ31" s="122">
        <v>9.7532512839055183</v>
      </c>
      <c r="HA31" s="122">
        <v>370693.56239634298</v>
      </c>
      <c r="HB31" s="122">
        <v>9.5588665007954798</v>
      </c>
      <c r="HC31" s="122">
        <v>373477.63804442302</v>
      </c>
      <c r="HD31" s="122">
        <v>9.1825155932155376</v>
      </c>
      <c r="HE31" s="122">
        <v>383655.98567809293</v>
      </c>
      <c r="HF31" s="122">
        <v>9.0230510336023606</v>
      </c>
      <c r="HG31" s="122">
        <v>383672.94651594292</v>
      </c>
      <c r="HH31" s="122">
        <v>8.8705589787514043</v>
      </c>
      <c r="HI31" s="122">
        <v>387239.60054094292</v>
      </c>
      <c r="HJ31" s="122">
        <v>8.5446363936628575</v>
      </c>
      <c r="HK31" s="122">
        <v>394630.54390693991</v>
      </c>
      <c r="HL31" s="122">
        <v>8.3888019798345166</v>
      </c>
      <c r="HM31" s="122">
        <v>400174.18372567004</v>
      </c>
      <c r="HN31" s="122">
        <v>8.2335199264465597</v>
      </c>
      <c r="HO31" s="122">
        <v>404351.72048823995</v>
      </c>
      <c r="HP31" s="122">
        <v>7.9613480562871635</v>
      </c>
      <c r="HQ31" s="122">
        <v>413603.55303837982</v>
      </c>
      <c r="HR31" s="122">
        <v>7.9385276063409762</v>
      </c>
      <c r="HS31" s="122">
        <v>420374.95555242983</v>
      </c>
      <c r="HT31" s="122">
        <v>7.7132219797280239</v>
      </c>
      <c r="HU31" s="122">
        <v>422861.76450049004</v>
      </c>
      <c r="HV31" s="122">
        <v>7.6132560741436963</v>
      </c>
      <c r="HW31" s="122">
        <v>431277.17425870977</v>
      </c>
      <c r="HX31" s="122">
        <v>7.5094137166233308</v>
      </c>
      <c r="HY31" s="122">
        <v>434726.80636207981</v>
      </c>
    </row>
    <row r="32" spans="2:233" ht="31.35" x14ac:dyDescent="0.55000000000000004">
      <c r="B32" s="325">
        <v>8</v>
      </c>
      <c r="C32" s="330" t="s">
        <v>674</v>
      </c>
      <c r="D32" s="122">
        <v>12.156940022858997</v>
      </c>
      <c r="E32" s="122">
        <v>8421.0670027765991</v>
      </c>
      <c r="F32" s="122">
        <v>10.096682583369745</v>
      </c>
      <c r="G32" s="122">
        <v>9997.1337836490002</v>
      </c>
      <c r="H32" s="122">
        <v>9.8718367639483446</v>
      </c>
      <c r="I32" s="122">
        <v>11318.761406119998</v>
      </c>
      <c r="J32" s="122">
        <v>8.6849822816070734</v>
      </c>
      <c r="K32" s="122">
        <v>15660.47049238</v>
      </c>
      <c r="L32" s="122">
        <v>10.971107913643028</v>
      </c>
      <c r="M32" s="122">
        <v>22346.922095973005</v>
      </c>
      <c r="N32" s="122">
        <v>12.350449994209605</v>
      </c>
      <c r="O32" s="122">
        <v>28966.365449400011</v>
      </c>
      <c r="P32" s="122">
        <v>8.5594389161297428</v>
      </c>
      <c r="Q32" s="122">
        <v>15865.424748768826</v>
      </c>
      <c r="R32" s="122">
        <v>8.5195852662534186</v>
      </c>
      <c r="S32" s="122">
        <v>16267.56710845083</v>
      </c>
      <c r="T32" s="122">
        <v>8.2047377932499437</v>
      </c>
      <c r="U32" s="122">
        <v>17317.937229800998</v>
      </c>
      <c r="V32" s="122">
        <v>8.4473824597236131</v>
      </c>
      <c r="W32" s="122">
        <v>17635.572852497</v>
      </c>
      <c r="X32" s="122">
        <v>8.8425157093037505</v>
      </c>
      <c r="Y32" s="122">
        <v>17995.185434786505</v>
      </c>
      <c r="Z32" s="122">
        <v>9.1803994056614204</v>
      </c>
      <c r="AA32" s="122">
        <v>18648.808672640997</v>
      </c>
      <c r="AB32" s="122">
        <v>9.7555750908003844</v>
      </c>
      <c r="AC32" s="122">
        <v>19735.999672543818</v>
      </c>
      <c r="AD32" s="122">
        <v>10.242570421481368</v>
      </c>
      <c r="AE32" s="122">
        <v>19996.141278870498</v>
      </c>
      <c r="AF32" s="122">
        <v>10.486407611556235</v>
      </c>
      <c r="AG32" s="122">
        <v>20434.102079333919</v>
      </c>
      <c r="AH32" s="122">
        <v>10.420063365163989</v>
      </c>
      <c r="AI32" s="122">
        <v>20883.421133327924</v>
      </c>
      <c r="AJ32" s="122">
        <v>10.936916860861407</v>
      </c>
      <c r="AK32" s="122">
        <v>21260.373836850005</v>
      </c>
      <c r="AL32" s="122">
        <v>10.971107913643028</v>
      </c>
      <c r="AM32" s="122">
        <v>22346.922095973005</v>
      </c>
      <c r="AN32" s="122">
        <v>11.148114999535414</v>
      </c>
      <c r="AO32" s="122">
        <v>22951.873772712002</v>
      </c>
      <c r="AP32" s="122">
        <v>11.350384014262858</v>
      </c>
      <c r="AQ32" s="122">
        <v>23316.280673240995</v>
      </c>
      <c r="AR32" s="122">
        <v>11.287040757052759</v>
      </c>
      <c r="AS32" s="122">
        <v>24441.322892407996</v>
      </c>
      <c r="AT32" s="122">
        <v>11.628173192345454</v>
      </c>
      <c r="AU32" s="122">
        <v>24670.840246781492</v>
      </c>
      <c r="AV32" s="122">
        <v>11.238527163631773</v>
      </c>
      <c r="AW32" s="122">
        <v>24833.017706289</v>
      </c>
      <c r="AX32" s="122">
        <v>11.556158780916356</v>
      </c>
      <c r="AY32" s="122">
        <v>25228.669451508962</v>
      </c>
      <c r="AZ32" s="122">
        <v>11.630811686387259</v>
      </c>
      <c r="BA32" s="122">
        <v>25736.86220158697</v>
      </c>
      <c r="BB32" s="122">
        <v>11.771616938912654</v>
      </c>
      <c r="BC32" s="122">
        <v>25783.078781696004</v>
      </c>
      <c r="BD32" s="122">
        <v>11.849255281692269</v>
      </c>
      <c r="BE32" s="122">
        <v>26353.875847060004</v>
      </c>
      <c r="BF32" s="122">
        <v>12.193306882830006</v>
      </c>
      <c r="BG32" s="122">
        <v>27790.943211818001</v>
      </c>
      <c r="BH32" s="122">
        <v>12.344359362823004</v>
      </c>
      <c r="BI32" s="122">
        <v>27370.591567970001</v>
      </c>
      <c r="BJ32" s="122">
        <v>12.350449994209605</v>
      </c>
      <c r="BK32" s="122">
        <v>28966.365449400011</v>
      </c>
      <c r="BL32" s="122">
        <v>12.261957829703533</v>
      </c>
      <c r="BM32" s="122">
        <v>27784.403166849999</v>
      </c>
      <c r="BN32" s="122">
        <v>12.277385271071978</v>
      </c>
      <c r="BO32" s="122">
        <v>27845.524421109996</v>
      </c>
      <c r="BP32" s="122">
        <v>12.354160883650989</v>
      </c>
      <c r="BQ32" s="122">
        <v>29189.28189666001</v>
      </c>
      <c r="BR32" s="122">
        <v>12.211022140071796</v>
      </c>
      <c r="BS32" s="122">
        <v>31298.560334799997</v>
      </c>
      <c r="BT32" s="122">
        <v>12.388893465060962</v>
      </c>
      <c r="BU32" s="122">
        <v>31450.839730438001</v>
      </c>
      <c r="BV32" s="122">
        <v>12.282685320298317</v>
      </c>
      <c r="BW32" s="122">
        <v>33449.926123059995</v>
      </c>
      <c r="BX32" s="122">
        <v>12.363006745591543</v>
      </c>
      <c r="BY32" s="122">
        <v>33255.774882410027</v>
      </c>
      <c r="BZ32" s="122">
        <v>12.301750024009754</v>
      </c>
      <c r="CA32" s="122">
        <v>33680.725865780005</v>
      </c>
      <c r="CB32" s="122">
        <v>12.208564577307161</v>
      </c>
      <c r="CC32" s="122">
        <v>32939.203602490001</v>
      </c>
      <c r="CD32" s="122">
        <v>12.249129762682918</v>
      </c>
      <c r="CE32" s="122">
        <v>32068.22038706001</v>
      </c>
      <c r="CF32" s="122">
        <v>12.212258321794575</v>
      </c>
      <c r="CG32" s="122">
        <v>32009.231959610006</v>
      </c>
      <c r="CH32" s="122">
        <v>12.164704262732362</v>
      </c>
      <c r="CI32" s="122">
        <v>31525.828515575002</v>
      </c>
      <c r="CJ32" s="122">
        <v>12.092230744505191</v>
      </c>
      <c r="CK32" s="122">
        <v>30465.860970214995</v>
      </c>
      <c r="CL32" s="122">
        <v>11.982307321127781</v>
      </c>
      <c r="CM32" s="122">
        <v>30661.230665769999</v>
      </c>
      <c r="CN32" s="122">
        <v>11.895979863565032</v>
      </c>
      <c r="CO32" s="122">
        <v>31748.346625999999</v>
      </c>
      <c r="CP32" s="122">
        <v>12.050275787924804</v>
      </c>
      <c r="CQ32" s="122">
        <v>32010.052139105501</v>
      </c>
      <c r="CR32" s="122">
        <v>11.951453830445287</v>
      </c>
      <c r="CS32" s="122">
        <v>33729.454642720004</v>
      </c>
      <c r="CT32" s="122">
        <v>11.992024751450646</v>
      </c>
      <c r="CU32" s="122">
        <v>34687.114029955992</v>
      </c>
      <c r="CV32" s="122">
        <v>11.864888566740534</v>
      </c>
      <c r="CW32" s="122">
        <v>34456.702940345996</v>
      </c>
      <c r="CX32" s="122">
        <v>11.924909488680015</v>
      </c>
      <c r="CY32" s="122">
        <v>35209.900193555193</v>
      </c>
      <c r="CZ32" s="122">
        <v>11.916630143249506</v>
      </c>
      <c r="DA32" s="122">
        <v>36771.995988907191</v>
      </c>
      <c r="DB32" s="122">
        <v>11.739304821957241</v>
      </c>
      <c r="DC32" s="122">
        <v>39262.220796942689</v>
      </c>
      <c r="DD32" s="122">
        <v>11.197048231002579</v>
      </c>
      <c r="DE32" s="122">
        <v>39909.640368742992</v>
      </c>
      <c r="DF32" s="122">
        <v>10.732871532744735</v>
      </c>
      <c r="DG32" s="122">
        <v>40702.61534051448</v>
      </c>
      <c r="DH32" s="122">
        <v>10.492472137405244</v>
      </c>
      <c r="DI32" s="122">
        <v>40250.665183441699</v>
      </c>
      <c r="DJ32" s="122">
        <v>10.244178319340953</v>
      </c>
      <c r="DK32" s="122">
        <v>40709.533747269008</v>
      </c>
      <c r="DL32" s="122">
        <v>9.9735027848240527</v>
      </c>
      <c r="DM32" s="122">
        <v>43876.257473115009</v>
      </c>
      <c r="DN32" s="122">
        <v>9.6391065251216723</v>
      </c>
      <c r="DO32" s="122">
        <v>43020.128639866198</v>
      </c>
      <c r="DP32" s="122">
        <v>9.3593738005623326</v>
      </c>
      <c r="DQ32" s="122">
        <v>42960.442807196203</v>
      </c>
      <c r="DR32" s="122">
        <v>9.0733877553094384</v>
      </c>
      <c r="DS32" s="122">
        <v>47866.725264415181</v>
      </c>
      <c r="DT32" s="122">
        <v>8.7873505309567896</v>
      </c>
      <c r="DU32" s="122">
        <v>49565.790608898482</v>
      </c>
      <c r="DV32" s="122">
        <v>8.6735812231972922</v>
      </c>
      <c r="DW32" s="122">
        <v>49508.257774710983</v>
      </c>
      <c r="DX32" s="122">
        <v>8.6075815563376725</v>
      </c>
      <c r="DY32" s="122">
        <v>52720.684377332007</v>
      </c>
      <c r="DZ32" s="122">
        <v>8.4634160162395968</v>
      </c>
      <c r="EA32" s="122">
        <v>54017.550355685991</v>
      </c>
      <c r="EB32" s="122">
        <v>8.3911674827853115</v>
      </c>
      <c r="EC32" s="122">
        <v>54871.609387318014</v>
      </c>
      <c r="ED32" s="122">
        <v>8.3904132806129379</v>
      </c>
      <c r="EE32" s="122">
        <v>53835.023090872019</v>
      </c>
      <c r="EF32" s="122">
        <v>8.4536630161076278</v>
      </c>
      <c r="EG32" s="122">
        <v>57638.28501019752</v>
      </c>
      <c r="EH32" s="122">
        <v>8.4896781614252568</v>
      </c>
      <c r="EI32" s="122">
        <v>60085.249608516009</v>
      </c>
      <c r="EJ32" s="122">
        <v>8.5045752121482856</v>
      </c>
      <c r="EK32" s="122">
        <v>63632.928787736993</v>
      </c>
      <c r="EL32" s="122">
        <v>8.9475872928769036</v>
      </c>
      <c r="EM32" s="122">
        <v>64901.914267149994</v>
      </c>
      <c r="EN32" s="122">
        <v>9.2341891199627231</v>
      </c>
      <c r="EO32" s="122">
        <v>67616.544146229993</v>
      </c>
      <c r="EP32" s="122">
        <v>9.419828581536617</v>
      </c>
      <c r="EQ32" s="122">
        <v>69575.938383809989</v>
      </c>
      <c r="ER32" s="122">
        <v>10.394858326964737</v>
      </c>
      <c r="ES32" s="122">
        <v>70452.664423349983</v>
      </c>
      <c r="ET32" s="122">
        <v>10.692402391616916</v>
      </c>
      <c r="EU32" s="122">
        <v>70383.896683409999</v>
      </c>
      <c r="EV32" s="122">
        <v>10.916373386597696</v>
      </c>
      <c r="EW32" s="122">
        <v>71603.456056024021</v>
      </c>
      <c r="EX32" s="122">
        <v>11.630984730968235</v>
      </c>
      <c r="EY32" s="122">
        <v>72803.220350864023</v>
      </c>
      <c r="EZ32" s="122">
        <v>11.733688197427499</v>
      </c>
      <c r="FA32" s="122">
        <v>73655.614376034006</v>
      </c>
      <c r="FB32" s="122">
        <v>11.769868540097375</v>
      </c>
      <c r="FC32" s="122">
        <v>69642.690515694005</v>
      </c>
      <c r="FD32" s="122">
        <v>12.214452452832804</v>
      </c>
      <c r="FE32" s="122">
        <v>70913.14758918999</v>
      </c>
      <c r="FF32" s="122">
        <v>12.318272875575881</v>
      </c>
      <c r="FG32" s="122">
        <v>71069.46579314</v>
      </c>
      <c r="FH32" s="122">
        <v>12.430581492093252</v>
      </c>
      <c r="FI32" s="122">
        <v>72347.212866290007</v>
      </c>
      <c r="FJ32" s="122">
        <v>12.754745112525239</v>
      </c>
      <c r="FK32" s="122">
        <v>72820.510388009992</v>
      </c>
      <c r="FL32" s="122">
        <v>13.032807451462878</v>
      </c>
      <c r="FM32" s="122">
        <v>72475.974681799999</v>
      </c>
      <c r="FN32" s="122">
        <v>12.819221620205148</v>
      </c>
      <c r="FO32" s="122">
        <v>73664.403846179979</v>
      </c>
      <c r="FP32" s="122">
        <v>13.692308376337929</v>
      </c>
      <c r="FQ32" s="122">
        <v>73439.466804030017</v>
      </c>
      <c r="FR32" s="122">
        <v>13.970975270556078</v>
      </c>
      <c r="FS32" s="122">
        <v>74887.250100799996</v>
      </c>
      <c r="FT32" s="122">
        <v>13.701265334546301</v>
      </c>
      <c r="FU32" s="122">
        <v>73085.283378779961</v>
      </c>
      <c r="FV32" s="122">
        <v>13.436315741928748</v>
      </c>
      <c r="FW32" s="122">
        <v>71889.677441759995</v>
      </c>
      <c r="FX32" s="122">
        <v>13.226913029864669</v>
      </c>
      <c r="FY32" s="122">
        <v>69870.361589720036</v>
      </c>
      <c r="FZ32" s="122">
        <v>12.775859162629287</v>
      </c>
      <c r="GA32" s="122">
        <v>63489.773134669995</v>
      </c>
      <c r="GB32" s="122">
        <v>12.567326086901554</v>
      </c>
      <c r="GC32" s="122">
        <v>68468.677229800189</v>
      </c>
      <c r="GD32" s="122">
        <v>12.596809249049464</v>
      </c>
      <c r="GE32" s="122">
        <v>67737.630906199993</v>
      </c>
      <c r="GF32" s="122">
        <v>12.424657386613701</v>
      </c>
      <c r="GG32" s="122">
        <v>66789.278222809997</v>
      </c>
      <c r="GH32" s="122">
        <v>12.246836564021786</v>
      </c>
      <c r="GI32" s="122">
        <v>65234.205874740001</v>
      </c>
      <c r="GJ32" s="122">
        <v>12.149563084946317</v>
      </c>
      <c r="GK32" s="122">
        <v>64421.523256560002</v>
      </c>
      <c r="GL32" s="122">
        <v>11.679790386090957</v>
      </c>
      <c r="GM32" s="122">
        <v>68667.011960739983</v>
      </c>
      <c r="GN32" s="122">
        <v>11.394888095753586</v>
      </c>
      <c r="GO32" s="122">
        <v>69121.904262819982</v>
      </c>
      <c r="GP32" s="122">
        <v>11.03111896265824</v>
      </c>
      <c r="GQ32" s="122">
        <v>68591.815535310001</v>
      </c>
      <c r="GR32" s="122">
        <v>10.749767551652752</v>
      </c>
      <c r="GS32" s="122">
        <v>68552.857540039986</v>
      </c>
      <c r="GT32" s="122">
        <v>10.625607032961939</v>
      </c>
      <c r="GU32" s="122">
        <v>67329.525523163698</v>
      </c>
      <c r="GV32" s="122">
        <v>10.305073623652136</v>
      </c>
      <c r="GW32" s="122">
        <v>66522.512891939987</v>
      </c>
      <c r="GX32" s="122">
        <v>10.070046231011021</v>
      </c>
      <c r="GY32" s="122">
        <v>65917.180674729971</v>
      </c>
      <c r="GZ32" s="122">
        <v>9.8468227411934244</v>
      </c>
      <c r="HA32" s="122">
        <v>67349.349476799995</v>
      </c>
      <c r="HB32" s="122">
        <v>9.5419601527018667</v>
      </c>
      <c r="HC32" s="122">
        <v>70756.445295082784</v>
      </c>
      <c r="HD32" s="122">
        <v>9.898263208653038</v>
      </c>
      <c r="HE32" s="122">
        <v>69665.948111192803</v>
      </c>
      <c r="HF32" s="122">
        <v>9.6837938079891668</v>
      </c>
      <c r="HG32" s="122">
        <v>69780.705467349995</v>
      </c>
      <c r="HH32" s="122">
        <v>9.2302875214963809</v>
      </c>
      <c r="HI32" s="122">
        <v>63877.3301039328</v>
      </c>
      <c r="HJ32" s="122">
        <v>8.8028178018948893</v>
      </c>
      <c r="HK32" s="122">
        <v>68239.259428131147</v>
      </c>
      <c r="HL32" s="122">
        <v>8.5771377166250371</v>
      </c>
      <c r="HM32" s="122">
        <v>68324.87923621996</v>
      </c>
      <c r="HN32" s="122">
        <v>8.3833349365567926</v>
      </c>
      <c r="HO32" s="122">
        <v>68945.69843672002</v>
      </c>
      <c r="HP32" s="122">
        <v>8.1637669753457374</v>
      </c>
      <c r="HQ32" s="122">
        <v>68843.770927549995</v>
      </c>
      <c r="HR32" s="122">
        <v>8.0149506258673622</v>
      </c>
      <c r="HS32" s="122">
        <v>69106.908179062768</v>
      </c>
      <c r="HT32" s="122">
        <v>7.9011864730291803</v>
      </c>
      <c r="HU32" s="122">
        <v>70097.217455349994</v>
      </c>
      <c r="HV32" s="122">
        <v>7.7813798033582078</v>
      </c>
      <c r="HW32" s="122">
        <v>67936.891301552823</v>
      </c>
      <c r="HX32" s="122">
        <v>7.6465614687329362</v>
      </c>
      <c r="HY32" s="122">
        <v>67942.555961742808</v>
      </c>
    </row>
    <row r="33" spans="1:233" x14ac:dyDescent="0.55000000000000004">
      <c r="B33" s="325">
        <v>9</v>
      </c>
      <c r="C33" s="28" t="s">
        <v>251</v>
      </c>
      <c r="D33" s="122">
        <v>12.461227862940877</v>
      </c>
      <c r="E33" s="122">
        <v>20175.996991661999</v>
      </c>
      <c r="F33" s="122">
        <v>10.686477432649173</v>
      </c>
      <c r="G33" s="122">
        <v>23365.220888444503</v>
      </c>
      <c r="H33" s="122">
        <v>9.8686226260735115</v>
      </c>
      <c r="I33" s="122">
        <v>25074.979855894901</v>
      </c>
      <c r="J33" s="122">
        <v>9.2248533554122822</v>
      </c>
      <c r="K33" s="122">
        <v>39505.080789378197</v>
      </c>
      <c r="L33" s="122">
        <v>11.826222403515349</v>
      </c>
      <c r="M33" s="122">
        <v>51552.625141054988</v>
      </c>
      <c r="N33" s="122">
        <v>12.954880531163269</v>
      </c>
      <c r="O33" s="122">
        <v>55572.995420386011</v>
      </c>
      <c r="P33" s="122">
        <v>9.2604141168513152</v>
      </c>
      <c r="Q33" s="122">
        <v>41163.443291888187</v>
      </c>
      <c r="R33" s="122">
        <v>9.1397113411622701</v>
      </c>
      <c r="S33" s="122">
        <v>43464.62004538819</v>
      </c>
      <c r="T33" s="122">
        <v>9.1167834967138663</v>
      </c>
      <c r="U33" s="122">
        <v>44881.637032118197</v>
      </c>
      <c r="V33" s="122">
        <v>9.3066435644869721</v>
      </c>
      <c r="W33" s="122">
        <v>45718.200940599971</v>
      </c>
      <c r="X33" s="122">
        <v>9.4949868765093424</v>
      </c>
      <c r="Y33" s="122">
        <v>46485.50858193999</v>
      </c>
      <c r="Z33" s="122">
        <v>9.8129141258956007</v>
      </c>
      <c r="AA33" s="122">
        <v>48666.054421429988</v>
      </c>
      <c r="AB33" s="122">
        <v>10.445696117648042</v>
      </c>
      <c r="AC33" s="122">
        <v>51232.261821993918</v>
      </c>
      <c r="AD33" s="122">
        <v>10.858127837918222</v>
      </c>
      <c r="AE33" s="122">
        <v>51071.225689298517</v>
      </c>
      <c r="AF33" s="122">
        <v>11.165113061984435</v>
      </c>
      <c r="AG33" s="122">
        <v>51148.391272078021</v>
      </c>
      <c r="AH33" s="122">
        <v>9.8471327212082738</v>
      </c>
      <c r="AI33" s="122">
        <v>50991.958174493011</v>
      </c>
      <c r="AJ33" s="122">
        <v>11.711629931170449</v>
      </c>
      <c r="AK33" s="122">
        <v>51184.309627547002</v>
      </c>
      <c r="AL33" s="122">
        <v>11.826222403515349</v>
      </c>
      <c r="AM33" s="122">
        <v>51552.625141054988</v>
      </c>
      <c r="AN33" s="122">
        <v>12.044249772952469</v>
      </c>
      <c r="AO33" s="122">
        <v>52332.738749851589</v>
      </c>
      <c r="AP33" s="122">
        <v>12.199395824582153</v>
      </c>
      <c r="AQ33" s="122">
        <v>52985.832457340017</v>
      </c>
      <c r="AR33" s="122">
        <v>11.270535083298956</v>
      </c>
      <c r="AS33" s="122">
        <v>51516.23485427101</v>
      </c>
      <c r="AT33" s="122">
        <v>11.90497960348681</v>
      </c>
      <c r="AU33" s="122">
        <v>53042.577066778002</v>
      </c>
      <c r="AV33" s="122">
        <v>10.512542982700632</v>
      </c>
      <c r="AW33" s="122">
        <v>55960.032684191996</v>
      </c>
      <c r="AX33" s="122">
        <v>12.176023141435618</v>
      </c>
      <c r="AY33" s="122">
        <v>55312.74132635002</v>
      </c>
      <c r="AZ33" s="122">
        <v>12.312778525192568</v>
      </c>
      <c r="BA33" s="122">
        <v>56011.337356452495</v>
      </c>
      <c r="BB33" s="122">
        <v>12.288388417735719</v>
      </c>
      <c r="BC33" s="122">
        <v>54776.838490218506</v>
      </c>
      <c r="BD33" s="122">
        <v>12.544888981693379</v>
      </c>
      <c r="BE33" s="122">
        <v>52750.971819431994</v>
      </c>
      <c r="BF33" s="122">
        <v>12.846182702022851</v>
      </c>
      <c r="BG33" s="122">
        <v>56477.672721033996</v>
      </c>
      <c r="BH33" s="122">
        <v>12.959745363169686</v>
      </c>
      <c r="BI33" s="122">
        <v>54622.615005606</v>
      </c>
      <c r="BJ33" s="122">
        <v>12.954880531163269</v>
      </c>
      <c r="BK33" s="122">
        <v>55572.995420386011</v>
      </c>
      <c r="BL33" s="122">
        <v>12.733488093249001</v>
      </c>
      <c r="BM33" s="122">
        <v>55579.364616017003</v>
      </c>
      <c r="BN33" s="122">
        <v>12.725081292192824</v>
      </c>
      <c r="BO33" s="122">
        <v>58894.493766829793</v>
      </c>
      <c r="BP33" s="122">
        <v>12.747062340464703</v>
      </c>
      <c r="BQ33" s="122">
        <v>60731.052822673002</v>
      </c>
      <c r="BR33" s="122">
        <v>12.65406258125504</v>
      </c>
      <c r="BS33" s="122">
        <v>60715.094683698801</v>
      </c>
      <c r="BT33" s="122">
        <v>12.667265754947456</v>
      </c>
      <c r="BU33" s="122">
        <v>60771.974185306019</v>
      </c>
      <c r="BV33" s="122">
        <v>12.341225661781456</v>
      </c>
      <c r="BW33" s="122">
        <v>61082.500676833006</v>
      </c>
      <c r="BX33" s="122">
        <v>12.364973487505457</v>
      </c>
      <c r="BY33" s="122">
        <v>61475.415040193009</v>
      </c>
      <c r="BZ33" s="122">
        <v>12.799953390527266</v>
      </c>
      <c r="CA33" s="122">
        <v>61909.877544638985</v>
      </c>
      <c r="CB33" s="122">
        <v>12.727683576944177</v>
      </c>
      <c r="CC33" s="122">
        <v>61187.415254426014</v>
      </c>
      <c r="CD33" s="122">
        <v>12.615994966802557</v>
      </c>
      <c r="CE33" s="122">
        <v>60235.539876252769</v>
      </c>
      <c r="CF33" s="122">
        <v>12.691079511743926</v>
      </c>
      <c r="CG33" s="122">
        <v>61414.309738052776</v>
      </c>
      <c r="CH33" s="122">
        <v>12.682672264375634</v>
      </c>
      <c r="CI33" s="122">
        <v>60590.405045435524</v>
      </c>
      <c r="CJ33" s="122">
        <v>12.670321830022855</v>
      </c>
      <c r="CK33" s="122">
        <v>60283.646139042801</v>
      </c>
      <c r="CL33" s="122">
        <v>12.512351191842781</v>
      </c>
      <c r="CM33" s="122">
        <v>61576.993721321043</v>
      </c>
      <c r="CN33" s="122">
        <v>12.525964308357871</v>
      </c>
      <c r="CO33" s="122">
        <v>64422.047948524487</v>
      </c>
      <c r="CP33" s="122">
        <v>12.555178854532075</v>
      </c>
      <c r="CQ33" s="122">
        <v>65606.5759141335</v>
      </c>
      <c r="CR33" s="122">
        <v>12.538540751323515</v>
      </c>
      <c r="CS33" s="122">
        <v>65797.173245398633</v>
      </c>
      <c r="CT33" s="122">
        <v>12.469688861525256</v>
      </c>
      <c r="CU33" s="122">
        <v>67528.037661365466</v>
      </c>
      <c r="CV33" s="122">
        <v>12.457945633731889</v>
      </c>
      <c r="CW33" s="122">
        <v>66127.071916457164</v>
      </c>
      <c r="CX33" s="122">
        <v>12.501233910151601</v>
      </c>
      <c r="CY33" s="122">
        <v>64400.604620411505</v>
      </c>
      <c r="CZ33" s="122">
        <v>12.323812232898907</v>
      </c>
      <c r="DA33" s="122">
        <v>69535.973017942844</v>
      </c>
      <c r="DB33" s="122">
        <v>12.097584288260421</v>
      </c>
      <c r="DC33" s="122">
        <v>69528.613895172806</v>
      </c>
      <c r="DD33" s="122">
        <v>11.655970335849073</v>
      </c>
      <c r="DE33" s="122">
        <v>68585.796770103188</v>
      </c>
      <c r="DF33" s="122">
        <v>11.215549676488317</v>
      </c>
      <c r="DG33" s="122">
        <v>70513.191192717757</v>
      </c>
      <c r="DH33" s="122">
        <v>11.205616605841938</v>
      </c>
      <c r="DI33" s="122">
        <v>67008.67938424951</v>
      </c>
      <c r="DJ33" s="122">
        <v>11.07900009483202</v>
      </c>
      <c r="DK33" s="122">
        <v>66162.529249127183</v>
      </c>
      <c r="DL33" s="122">
        <v>10.653655038381396</v>
      </c>
      <c r="DM33" s="122">
        <v>66107.080444300853</v>
      </c>
      <c r="DN33" s="122">
        <v>10.334570818818161</v>
      </c>
      <c r="DO33" s="122">
        <v>67982.332229262494</v>
      </c>
      <c r="DP33" s="122">
        <v>10.136544902588286</v>
      </c>
      <c r="DQ33" s="122">
        <v>68483.825859699937</v>
      </c>
      <c r="DR33" s="122">
        <v>9.7833692036656394</v>
      </c>
      <c r="DS33" s="122">
        <v>69160.573930472863</v>
      </c>
      <c r="DT33" s="122">
        <v>9.4084774757689136</v>
      </c>
      <c r="DU33" s="122">
        <v>69143.143172228985</v>
      </c>
      <c r="DV33" s="122">
        <v>9.3495571107683553</v>
      </c>
      <c r="DW33" s="122">
        <v>68786.849661853412</v>
      </c>
      <c r="DX33" s="122">
        <v>9.1088181193760036</v>
      </c>
      <c r="DY33" s="122">
        <v>70063.311573759012</v>
      </c>
      <c r="DZ33" s="122">
        <v>9.0162166916365436</v>
      </c>
      <c r="EA33" s="122">
        <v>71555.41921912886</v>
      </c>
      <c r="EB33" s="122">
        <v>8.9154729328414373</v>
      </c>
      <c r="EC33" s="122">
        <v>71164.066149440012</v>
      </c>
      <c r="ED33" s="122">
        <v>8.8333273315705618</v>
      </c>
      <c r="EE33" s="122">
        <v>71745.938090616997</v>
      </c>
      <c r="EF33" s="122">
        <v>8.9063694410983327</v>
      </c>
      <c r="EG33" s="122">
        <v>71319.353891787978</v>
      </c>
      <c r="EH33" s="122">
        <v>9.0214783641547598</v>
      </c>
      <c r="EI33" s="122">
        <v>70725.805242736009</v>
      </c>
      <c r="EJ33" s="122">
        <v>9.0096803345289747</v>
      </c>
      <c r="EK33" s="122">
        <v>72890.168341662007</v>
      </c>
      <c r="EL33" s="122">
        <v>9.4125711372046439</v>
      </c>
      <c r="EM33" s="122">
        <v>75273.64942724898</v>
      </c>
      <c r="EN33" s="122">
        <v>9.573806598098404</v>
      </c>
      <c r="EO33" s="122">
        <v>75274.494628153989</v>
      </c>
      <c r="EP33" s="122">
        <v>9.7019741616686979</v>
      </c>
      <c r="EQ33" s="122">
        <v>77559.3962162885</v>
      </c>
      <c r="ER33" s="122">
        <v>10.475255851361826</v>
      </c>
      <c r="ES33" s="122">
        <v>78141.843908357987</v>
      </c>
      <c r="ET33" s="122">
        <v>10.72041297161069</v>
      </c>
      <c r="EU33" s="122">
        <v>77054.322652175018</v>
      </c>
      <c r="EV33" s="122">
        <v>11.094669343391278</v>
      </c>
      <c r="EW33" s="122">
        <v>75837.518851097033</v>
      </c>
      <c r="EX33" s="122">
        <v>11.479536817177447</v>
      </c>
      <c r="EY33" s="122">
        <v>75783.164747281015</v>
      </c>
      <c r="EZ33" s="122">
        <v>11.518299758116333</v>
      </c>
      <c r="FA33" s="122">
        <v>75806.922568931011</v>
      </c>
      <c r="FB33" s="122">
        <v>11.689213474188424</v>
      </c>
      <c r="FC33" s="122">
        <v>75912.940911059995</v>
      </c>
      <c r="FD33" s="122">
        <v>12.166876477136752</v>
      </c>
      <c r="FE33" s="122">
        <v>76297.049616096512</v>
      </c>
      <c r="FF33" s="122">
        <v>12.294672307962456</v>
      </c>
      <c r="FG33" s="122">
        <v>76772.933828451496</v>
      </c>
      <c r="FH33" s="122">
        <v>12.451863186914888</v>
      </c>
      <c r="FI33" s="122">
        <v>75249.800273015047</v>
      </c>
      <c r="FJ33" s="122">
        <v>12.909989457873433</v>
      </c>
      <c r="FK33" s="122">
        <v>74091.378616242582</v>
      </c>
      <c r="FL33" s="122">
        <v>12.978736842006969</v>
      </c>
      <c r="FM33" s="122">
        <v>74402.293296201125</v>
      </c>
      <c r="FN33" s="122">
        <v>12.748921511383639</v>
      </c>
      <c r="FO33" s="122">
        <v>74593.262810268003</v>
      </c>
      <c r="FP33" s="122">
        <v>13.756273249441609</v>
      </c>
      <c r="FQ33" s="122">
        <v>75519.157375308976</v>
      </c>
      <c r="FR33" s="122">
        <v>14.095891626916352</v>
      </c>
      <c r="FS33" s="122">
        <v>73314.285729431474</v>
      </c>
      <c r="FT33" s="122">
        <v>13.932594551694875</v>
      </c>
      <c r="FU33" s="122">
        <v>77638.352976392038</v>
      </c>
      <c r="FV33" s="122">
        <v>13.624283237573747</v>
      </c>
      <c r="FW33" s="122">
        <v>75834.203841739582</v>
      </c>
      <c r="FX33" s="122">
        <v>13.508655492737175</v>
      </c>
      <c r="FY33" s="122">
        <v>74906.204152497012</v>
      </c>
      <c r="FZ33" s="122">
        <v>13.129408904125933</v>
      </c>
      <c r="GA33" s="122">
        <v>67563.417437898999</v>
      </c>
      <c r="GB33" s="122">
        <v>12.571521746141185</v>
      </c>
      <c r="GC33" s="122">
        <v>77683.322622039064</v>
      </c>
      <c r="GD33" s="122">
        <v>12.91308996200644</v>
      </c>
      <c r="GE33" s="122">
        <v>76288.581681149022</v>
      </c>
      <c r="GF33" s="122">
        <v>12.68872282983876</v>
      </c>
      <c r="GG33" s="122">
        <v>77548.807874374994</v>
      </c>
      <c r="GH33" s="122">
        <v>12.813397047664242</v>
      </c>
      <c r="GI33" s="122">
        <v>76466.565472150032</v>
      </c>
      <c r="GJ33" s="122">
        <v>12.692693348699326</v>
      </c>
      <c r="GK33" s="122">
        <v>73811.405994775007</v>
      </c>
      <c r="GL33" s="122">
        <v>12.023801629669139</v>
      </c>
      <c r="GM33" s="122">
        <v>86175.537038955008</v>
      </c>
      <c r="GN33" s="122">
        <v>12.048226406283948</v>
      </c>
      <c r="GO33" s="122">
        <v>69560.916329484986</v>
      </c>
      <c r="GP33" s="122">
        <v>11.696099935355278</v>
      </c>
      <c r="GQ33" s="122">
        <v>69610.594540194972</v>
      </c>
      <c r="GR33" s="122">
        <v>11.256658383677573</v>
      </c>
      <c r="GS33" s="122">
        <v>71045.849910628982</v>
      </c>
      <c r="GT33" s="122">
        <v>10.957641733283774</v>
      </c>
      <c r="GU33" s="122">
        <v>70152.32005663868</v>
      </c>
      <c r="GV33" s="122">
        <v>10.737413240705102</v>
      </c>
      <c r="GW33" s="122">
        <v>68559.999618075017</v>
      </c>
      <c r="GX33" s="122">
        <v>10.434163187758456</v>
      </c>
      <c r="GY33" s="122">
        <v>69369.117754731473</v>
      </c>
      <c r="GZ33" s="122">
        <v>10.286504970771281</v>
      </c>
      <c r="HA33" s="122">
        <v>70465.589423040001</v>
      </c>
      <c r="HB33" s="122">
        <v>9.8949440867212726</v>
      </c>
      <c r="HC33" s="122">
        <v>70862.617626727515</v>
      </c>
      <c r="HD33" s="122">
        <v>9.6080348909160804</v>
      </c>
      <c r="HE33" s="122">
        <v>70628.017389647401</v>
      </c>
      <c r="HF33" s="122">
        <v>9.3016483659706335</v>
      </c>
      <c r="HG33" s="122">
        <v>69588.535218977471</v>
      </c>
      <c r="HH33" s="122">
        <v>9.2597526276557538</v>
      </c>
      <c r="HI33" s="122">
        <v>56702.422969794919</v>
      </c>
      <c r="HJ33" s="122">
        <v>8.9134445198730212</v>
      </c>
      <c r="HK33" s="122">
        <v>59086.958932101406</v>
      </c>
      <c r="HL33" s="122">
        <v>8.7031057621957935</v>
      </c>
      <c r="HM33" s="122">
        <v>59526.114722609003</v>
      </c>
      <c r="HN33" s="122">
        <v>8.5342273175561445</v>
      </c>
      <c r="HO33" s="122">
        <v>59843.71170996951</v>
      </c>
      <c r="HP33" s="122">
        <v>8.1551073584524136</v>
      </c>
      <c r="HQ33" s="122">
        <v>61162.081919577977</v>
      </c>
      <c r="HR33" s="122">
        <v>8.2522734222384706</v>
      </c>
      <c r="HS33" s="122">
        <v>61456.027176441887</v>
      </c>
      <c r="HT33" s="122">
        <v>8.1357133594283511</v>
      </c>
      <c r="HU33" s="122">
        <v>63348.093960291473</v>
      </c>
      <c r="HV33" s="122">
        <v>7.9829469272922138</v>
      </c>
      <c r="HW33" s="122">
        <v>64942.042485431484</v>
      </c>
      <c r="HX33" s="122">
        <v>7.8744119704753421</v>
      </c>
      <c r="HY33" s="122">
        <v>66114.875075874486</v>
      </c>
    </row>
    <row r="34" spans="1:233" x14ac:dyDescent="0.55000000000000004">
      <c r="B34" s="325">
        <v>10</v>
      </c>
      <c r="C34" s="28" t="s">
        <v>252</v>
      </c>
      <c r="D34" s="122">
        <v>12.16212113940332</v>
      </c>
      <c r="E34" s="122">
        <v>125012.28900160926</v>
      </c>
      <c r="F34" s="122">
        <v>10.662658199017841</v>
      </c>
      <c r="G34" s="122">
        <v>181578.30789953296</v>
      </c>
      <c r="H34" s="122">
        <v>9.6304236099412375</v>
      </c>
      <c r="I34" s="122">
        <v>237824.58922605906</v>
      </c>
      <c r="J34" s="122">
        <v>8.7186773177532686</v>
      </c>
      <c r="K34" s="122">
        <v>307114.05786546529</v>
      </c>
      <c r="L34" s="122">
        <v>11.374645564266222</v>
      </c>
      <c r="M34" s="122">
        <v>396221.54539123422</v>
      </c>
      <c r="N34" s="122">
        <v>12.376702667885603</v>
      </c>
      <c r="O34" s="122">
        <v>475857.15537410416</v>
      </c>
      <c r="P34" s="122">
        <v>8.7459657161740409</v>
      </c>
      <c r="Q34" s="122">
        <v>312227.07958266023</v>
      </c>
      <c r="R34" s="122">
        <v>8.5946699710225438</v>
      </c>
      <c r="S34" s="122">
        <v>323552.70900593605</v>
      </c>
      <c r="T34" s="122">
        <v>8.5407585403739485</v>
      </c>
      <c r="U34" s="122">
        <v>329403.87438930146</v>
      </c>
      <c r="V34" s="122">
        <v>8.7806104629809543</v>
      </c>
      <c r="W34" s="122">
        <v>333681.40036472073</v>
      </c>
      <c r="X34" s="122">
        <v>8.9927435722477167</v>
      </c>
      <c r="Y34" s="122">
        <v>335756.90897453373</v>
      </c>
      <c r="Z34" s="122">
        <v>9.2686767189885888</v>
      </c>
      <c r="AA34" s="122">
        <v>347534.09795988025</v>
      </c>
      <c r="AB34" s="122">
        <v>10.131706588435897</v>
      </c>
      <c r="AC34" s="122">
        <v>378020.65355829912</v>
      </c>
      <c r="AD34" s="122">
        <v>10.598943259011799</v>
      </c>
      <c r="AE34" s="122">
        <v>379459.94772807078</v>
      </c>
      <c r="AF34" s="122">
        <v>10.788486676218694</v>
      </c>
      <c r="AG34" s="122">
        <v>383527.05637713824</v>
      </c>
      <c r="AH34" s="122">
        <v>10.742862312591928</v>
      </c>
      <c r="AI34" s="122">
        <v>383207.99827942811</v>
      </c>
      <c r="AJ34" s="122">
        <v>11.324228878383083</v>
      </c>
      <c r="AK34" s="122">
        <v>385980.40510301926</v>
      </c>
      <c r="AL34" s="122">
        <v>11.374645564266222</v>
      </c>
      <c r="AM34" s="122">
        <v>396221.54539123422</v>
      </c>
      <c r="AN34" s="122">
        <v>11.702263716931153</v>
      </c>
      <c r="AO34" s="122">
        <v>396583.21368686139</v>
      </c>
      <c r="AP34" s="122">
        <v>11.747525232187845</v>
      </c>
      <c r="AQ34" s="122">
        <v>409220.83868754702</v>
      </c>
      <c r="AR34" s="122">
        <v>11.15528377363014</v>
      </c>
      <c r="AS34" s="122">
        <v>422554.94540252635</v>
      </c>
      <c r="AT34" s="122">
        <v>11.568086036897849</v>
      </c>
      <c r="AU34" s="122">
        <v>427615.0817997008</v>
      </c>
      <c r="AV34" s="122">
        <v>11.260590578964512</v>
      </c>
      <c r="AW34" s="122">
        <v>431388.31394783047</v>
      </c>
      <c r="AX34" s="122">
        <v>11.726135376762212</v>
      </c>
      <c r="AY34" s="122">
        <v>445229.41194001533</v>
      </c>
      <c r="AZ34" s="122">
        <v>11.848796129520547</v>
      </c>
      <c r="BA34" s="122">
        <v>452160.46142617852</v>
      </c>
      <c r="BB34" s="122">
        <v>11.798146358780565</v>
      </c>
      <c r="BC34" s="122">
        <v>449766.74939725664</v>
      </c>
      <c r="BD34" s="122">
        <v>12.259249225423481</v>
      </c>
      <c r="BE34" s="122">
        <v>429417.14344470645</v>
      </c>
      <c r="BF34" s="122">
        <v>12.244185033320464</v>
      </c>
      <c r="BG34" s="122">
        <v>467466.69874221768</v>
      </c>
      <c r="BH34" s="122">
        <v>12.502076046543955</v>
      </c>
      <c r="BI34" s="122">
        <v>445232.59407529031</v>
      </c>
      <c r="BJ34" s="122">
        <v>12.376702667885603</v>
      </c>
      <c r="BK34" s="122">
        <v>475857.15537410416</v>
      </c>
      <c r="BL34" s="122">
        <v>12.485207627726311</v>
      </c>
      <c r="BM34" s="122">
        <v>449358.80862127268</v>
      </c>
      <c r="BN34" s="122">
        <v>12.357932872033281</v>
      </c>
      <c r="BO34" s="122">
        <v>493446.11394504871</v>
      </c>
      <c r="BP34" s="122">
        <v>12.133231265953109</v>
      </c>
      <c r="BQ34" s="122">
        <v>514785.14371218276</v>
      </c>
      <c r="BR34" s="122">
        <v>12.195127450516399</v>
      </c>
      <c r="BS34" s="122">
        <v>518487.25924308121</v>
      </c>
      <c r="BT34" s="122">
        <v>12.315252673705743</v>
      </c>
      <c r="BU34" s="122">
        <v>521293.29036292684</v>
      </c>
      <c r="BV34" s="122">
        <v>12.214402977555507</v>
      </c>
      <c r="BW34" s="122">
        <v>532376.44981012109</v>
      </c>
      <c r="BX34" s="122">
        <v>12.421302705061876</v>
      </c>
      <c r="BY34" s="122">
        <v>528546.49518698873</v>
      </c>
      <c r="BZ34" s="122">
        <v>12.446517547280678</v>
      </c>
      <c r="CA34" s="122">
        <v>539600.39485020435</v>
      </c>
      <c r="CB34" s="122">
        <v>12.321988959476833</v>
      </c>
      <c r="CC34" s="122">
        <v>551011.24048531055</v>
      </c>
      <c r="CD34" s="122">
        <v>12.26398992740482</v>
      </c>
      <c r="CE34" s="122">
        <v>549777.13648299873</v>
      </c>
      <c r="CF34" s="122">
        <v>12.235754807560152</v>
      </c>
      <c r="CG34" s="122">
        <v>550203.51599649421</v>
      </c>
      <c r="CH34" s="122">
        <v>12.119910877769284</v>
      </c>
      <c r="CI34" s="122">
        <v>547163.72725632438</v>
      </c>
      <c r="CJ34" s="122">
        <v>12.033766823644209</v>
      </c>
      <c r="CK34" s="122">
        <v>545353.79834939411</v>
      </c>
      <c r="CL34" s="122">
        <v>11.916145990070415</v>
      </c>
      <c r="CM34" s="122">
        <v>561129.6521323584</v>
      </c>
      <c r="CN34" s="122">
        <v>11.959589649462657</v>
      </c>
      <c r="CO34" s="122">
        <v>575153.42077676055</v>
      </c>
      <c r="CP34" s="122">
        <v>12.083355777319214</v>
      </c>
      <c r="CQ34" s="122">
        <v>573955.23788534431</v>
      </c>
      <c r="CR34" s="122">
        <v>12.040983629357346</v>
      </c>
      <c r="CS34" s="122">
        <v>577485.57521799312</v>
      </c>
      <c r="CT34" s="122">
        <v>11.996872361753452</v>
      </c>
      <c r="CU34" s="122">
        <v>586184.0678403395</v>
      </c>
      <c r="CV34" s="122">
        <v>11.971282865357342</v>
      </c>
      <c r="CW34" s="122">
        <v>588889.04094583029</v>
      </c>
      <c r="CX34" s="122">
        <v>11.944046435778338</v>
      </c>
      <c r="CY34" s="122">
        <v>591327.5477975551</v>
      </c>
      <c r="CZ34" s="122">
        <v>11.873112007170949</v>
      </c>
      <c r="DA34" s="122">
        <v>594009.07667679607</v>
      </c>
      <c r="DB34" s="122">
        <v>11.847849941780927</v>
      </c>
      <c r="DC34" s="122">
        <v>594736.59038586449</v>
      </c>
      <c r="DD34" s="122">
        <v>11.356911344182405</v>
      </c>
      <c r="DE34" s="122">
        <v>593035.51920795732</v>
      </c>
      <c r="DF34" s="122">
        <v>10.975394954678197</v>
      </c>
      <c r="DG34" s="122">
        <v>600807.80782424507</v>
      </c>
      <c r="DH34" s="122">
        <v>10.409790658531902</v>
      </c>
      <c r="DI34" s="122">
        <v>590531.40575554199</v>
      </c>
      <c r="DJ34" s="122">
        <v>10.27574594487688</v>
      </c>
      <c r="DK34" s="122">
        <v>603781.83365218877</v>
      </c>
      <c r="DL34" s="122">
        <v>9.9477214686017223</v>
      </c>
      <c r="DM34" s="122">
        <v>631372.381748026</v>
      </c>
      <c r="DN34" s="122">
        <v>9.6197215212584783</v>
      </c>
      <c r="DO34" s="122">
        <v>630225.84504646307</v>
      </c>
      <c r="DP34" s="122">
        <v>9.4809013779137583</v>
      </c>
      <c r="DQ34" s="122">
        <v>638175.92895403923</v>
      </c>
      <c r="DR34" s="122">
        <v>9.3372139526613456</v>
      </c>
      <c r="DS34" s="122">
        <v>658686.31594512251</v>
      </c>
      <c r="DT34" s="122">
        <v>8.9538631097265373</v>
      </c>
      <c r="DU34" s="122">
        <v>668435.22346346872</v>
      </c>
      <c r="DV34" s="122">
        <v>8.833289302901207</v>
      </c>
      <c r="DW34" s="122">
        <v>689172.23952381883</v>
      </c>
      <c r="DX34" s="122">
        <v>8.7247534718641688</v>
      </c>
      <c r="DY34" s="122">
        <v>726008.99923688511</v>
      </c>
      <c r="DZ34" s="122">
        <v>8.4868317462115677</v>
      </c>
      <c r="EA34" s="122">
        <v>735654.04499216611</v>
      </c>
      <c r="EB34" s="122">
        <v>8.4396194625740648</v>
      </c>
      <c r="EC34" s="122">
        <v>753952.40757383639</v>
      </c>
      <c r="ED34" s="122">
        <v>8.3905042559027354</v>
      </c>
      <c r="EE34" s="122">
        <v>756362.67815406295</v>
      </c>
      <c r="EF34" s="122">
        <v>8.4192843169987412</v>
      </c>
      <c r="EG34" s="122">
        <v>760442.85808053089</v>
      </c>
      <c r="EH34" s="122">
        <v>8.5035426287174776</v>
      </c>
      <c r="EI34" s="122">
        <v>790626.7910134003</v>
      </c>
      <c r="EJ34" s="122">
        <v>8.5399498347734095</v>
      </c>
      <c r="EK34" s="122">
        <v>811305.19585290935</v>
      </c>
      <c r="EL34" s="122">
        <v>9.0307433515774314</v>
      </c>
      <c r="EM34" s="122">
        <v>826969.65232467616</v>
      </c>
      <c r="EN34" s="122">
        <v>9.3038024008498681</v>
      </c>
      <c r="EO34" s="122">
        <v>840379.15359446954</v>
      </c>
      <c r="EP34" s="122">
        <v>9.4459390344323122</v>
      </c>
      <c r="EQ34" s="122">
        <v>859761.4056183974</v>
      </c>
      <c r="ER34" s="122">
        <v>10.43764091019527</v>
      </c>
      <c r="ES34" s="122">
        <v>868442.43530177698</v>
      </c>
      <c r="ET34" s="122">
        <v>10.643152663561613</v>
      </c>
      <c r="EU34" s="122">
        <v>876039.47705031279</v>
      </c>
      <c r="EV34" s="122">
        <v>10.898586474215142</v>
      </c>
      <c r="EW34" s="122">
        <v>887058.2136145808</v>
      </c>
      <c r="EX34" s="122">
        <v>11.704584539050401</v>
      </c>
      <c r="EY34" s="122">
        <v>884400.90149944695</v>
      </c>
      <c r="EZ34" s="122">
        <v>11.811459217647959</v>
      </c>
      <c r="FA34" s="122">
        <v>875664.83073253487</v>
      </c>
      <c r="FB34" s="122">
        <v>11.799911192829896</v>
      </c>
      <c r="FC34" s="122">
        <v>866369.3572707806</v>
      </c>
      <c r="FD34" s="122">
        <v>12.299047286606264</v>
      </c>
      <c r="FE34" s="122">
        <v>866141.77797852084</v>
      </c>
      <c r="FF34" s="122">
        <v>12.429977555427429</v>
      </c>
      <c r="FG34" s="122">
        <v>878072.11578979995</v>
      </c>
      <c r="FH34" s="122">
        <v>12.591280321079905</v>
      </c>
      <c r="FI34" s="122">
        <v>883704.91445056489</v>
      </c>
      <c r="FJ34" s="122">
        <v>13.152140681572613</v>
      </c>
      <c r="FK34" s="122">
        <v>882327.18429561146</v>
      </c>
      <c r="FL34" s="122">
        <v>13.230802013381643</v>
      </c>
      <c r="FM34" s="122">
        <v>885117.38772520539</v>
      </c>
      <c r="FN34" s="122">
        <v>13.126760227036868</v>
      </c>
      <c r="FO34" s="122">
        <v>898009.04328309803</v>
      </c>
      <c r="FP34" s="122">
        <v>13.672630621630667</v>
      </c>
      <c r="FQ34" s="122">
        <v>894431.03430533153</v>
      </c>
      <c r="FR34" s="122">
        <v>13.78992990864554</v>
      </c>
      <c r="FS34" s="122">
        <v>891597.27396825282</v>
      </c>
      <c r="FT34" s="122">
        <v>13.423008183753623</v>
      </c>
      <c r="FU34" s="122">
        <v>900901.96662487334</v>
      </c>
      <c r="FV34" s="122">
        <v>13.213260117823584</v>
      </c>
      <c r="FW34" s="122">
        <v>895506.14147115895</v>
      </c>
      <c r="FX34" s="122">
        <v>12.968774076318649</v>
      </c>
      <c r="FY34" s="122">
        <v>898829.7778180748</v>
      </c>
      <c r="FZ34" s="122">
        <v>12.568106461523284</v>
      </c>
      <c r="GA34" s="122">
        <v>855976.6912306482</v>
      </c>
      <c r="GB34" s="122">
        <v>11.985249272771062</v>
      </c>
      <c r="GC34" s="122">
        <v>884037.27768013708</v>
      </c>
      <c r="GD34" s="122">
        <v>12.326072874964328</v>
      </c>
      <c r="GE34" s="122">
        <v>899662.72683572618</v>
      </c>
      <c r="GF34" s="122">
        <v>12.340169303927029</v>
      </c>
      <c r="GG34" s="122">
        <v>918557.04609426949</v>
      </c>
      <c r="GH34" s="122">
        <v>12.407221654722107</v>
      </c>
      <c r="GI34" s="122">
        <v>905529.25613083888</v>
      </c>
      <c r="GJ34" s="122">
        <v>12.249796168330617</v>
      </c>
      <c r="GK34" s="122">
        <v>909296.91678151395</v>
      </c>
      <c r="GL34" s="122">
        <v>11.832468347330057</v>
      </c>
      <c r="GM34" s="122">
        <v>910964.85552101594</v>
      </c>
      <c r="GN34" s="122">
        <v>11.589802882728188</v>
      </c>
      <c r="GO34" s="122">
        <v>921649.73513130145</v>
      </c>
      <c r="GP34" s="122">
        <v>11.200363791624671</v>
      </c>
      <c r="GQ34" s="122">
        <v>923401.09353657009</v>
      </c>
      <c r="GR34" s="122">
        <v>10.86999589540129</v>
      </c>
      <c r="GS34" s="122">
        <v>930595.16963545594</v>
      </c>
      <c r="GT34" s="122">
        <v>10.58571899799483</v>
      </c>
      <c r="GU34" s="122">
        <v>924631.40515419864</v>
      </c>
      <c r="GV34" s="122">
        <v>10.36002908930735</v>
      </c>
      <c r="GW34" s="122">
        <v>921695.47762444662</v>
      </c>
      <c r="GX34" s="122">
        <v>10.191396767722228</v>
      </c>
      <c r="GY34" s="122">
        <v>909327.67282538617</v>
      </c>
      <c r="GZ34" s="122">
        <v>9.9900775416108196</v>
      </c>
      <c r="HA34" s="122">
        <v>907242.9395634121</v>
      </c>
      <c r="HB34" s="122">
        <v>9.7339443650755157</v>
      </c>
      <c r="HC34" s="122">
        <v>919014.96928461955</v>
      </c>
      <c r="HD34" s="122">
        <v>9.4282104133089764</v>
      </c>
      <c r="HE34" s="122">
        <v>928394.14708013751</v>
      </c>
      <c r="HF34" s="122">
        <v>9.2877333359340106</v>
      </c>
      <c r="HG34" s="122">
        <v>927933.31502894219</v>
      </c>
      <c r="HH34" s="122">
        <v>9.1125925666938787</v>
      </c>
      <c r="HI34" s="122">
        <v>945754.43780634436</v>
      </c>
      <c r="HJ34" s="122">
        <v>8.8593342207751711</v>
      </c>
      <c r="HK34" s="122">
        <v>954572.34466521686</v>
      </c>
      <c r="HL34" s="122">
        <v>8.5566707837798006</v>
      </c>
      <c r="HM34" s="122">
        <v>950507.82767233637</v>
      </c>
      <c r="HN34" s="122">
        <v>8.3765832856563645</v>
      </c>
      <c r="HO34" s="122">
        <v>951121.26627423661</v>
      </c>
      <c r="HP34" s="122">
        <v>8.0834065683942065</v>
      </c>
      <c r="HQ34" s="122">
        <v>958556.59777691681</v>
      </c>
      <c r="HR34" s="122">
        <v>8.0686455305951057</v>
      </c>
      <c r="HS34" s="122">
        <v>957356.30741503055</v>
      </c>
      <c r="HT34" s="122">
        <v>7.9231823088554911</v>
      </c>
      <c r="HU34" s="122">
        <v>960326.21124198998</v>
      </c>
      <c r="HV34" s="122">
        <v>7.8685762121176843</v>
      </c>
      <c r="HW34" s="122">
        <v>943655.11228934722</v>
      </c>
      <c r="HX34" s="122">
        <v>7.7434819612995387</v>
      </c>
      <c r="HY34" s="122">
        <v>939658.57164903102</v>
      </c>
    </row>
    <row r="35" spans="1:233" x14ac:dyDescent="0.55000000000000004">
      <c r="B35" s="325">
        <v>11</v>
      </c>
      <c r="C35" s="324" t="s">
        <v>253</v>
      </c>
      <c r="D35" s="122">
        <v>11.365050769250153</v>
      </c>
      <c r="E35" s="122">
        <v>58297.567873069995</v>
      </c>
      <c r="F35" s="122">
        <v>8.9637143971606026</v>
      </c>
      <c r="G35" s="122">
        <v>66615.382311329988</v>
      </c>
      <c r="H35" s="122">
        <v>8.5961958250630683</v>
      </c>
      <c r="I35" s="122">
        <v>83376.749174199998</v>
      </c>
      <c r="J35" s="122">
        <v>7.2123891631903652</v>
      </c>
      <c r="K35" s="122">
        <v>108300.07040423003</v>
      </c>
      <c r="L35" s="122">
        <v>10.988590807606089</v>
      </c>
      <c r="M35" s="122">
        <v>148589.15863661098</v>
      </c>
      <c r="N35" s="122">
        <v>12.06146129855086</v>
      </c>
      <c r="O35" s="122">
        <v>179755.54636649997</v>
      </c>
      <c r="P35" s="122">
        <v>7.0628875946929526</v>
      </c>
      <c r="Q35" s="122">
        <v>109437.90602056003</v>
      </c>
      <c r="R35" s="122">
        <v>7.0510461939846776</v>
      </c>
      <c r="S35" s="122">
        <v>109744.58705841002</v>
      </c>
      <c r="T35" s="122">
        <v>7.0614675745883657</v>
      </c>
      <c r="U35" s="122">
        <v>114036.94479762</v>
      </c>
      <c r="V35" s="122">
        <v>7.3578999640074834</v>
      </c>
      <c r="W35" s="122">
        <v>114878.89416520999</v>
      </c>
      <c r="X35" s="122">
        <v>7.6873776712708075</v>
      </c>
      <c r="Y35" s="122">
        <v>119352.08451654002</v>
      </c>
      <c r="Z35" s="122">
        <v>8.2046918383285234</v>
      </c>
      <c r="AA35" s="122">
        <v>129094.64960885997</v>
      </c>
      <c r="AB35" s="122">
        <v>9.0765461706699231</v>
      </c>
      <c r="AC35" s="122">
        <v>136948.35926402002</v>
      </c>
      <c r="AD35" s="122">
        <v>9.606164457791051</v>
      </c>
      <c r="AE35" s="122">
        <v>135387.70972293001</v>
      </c>
      <c r="AF35" s="122">
        <v>9.7716557386917469</v>
      </c>
      <c r="AG35" s="122">
        <v>140609.81078218995</v>
      </c>
      <c r="AH35" s="122">
        <v>9.964002770360274</v>
      </c>
      <c r="AI35" s="122">
        <v>139112.224824584</v>
      </c>
      <c r="AJ35" s="122">
        <v>10.741047770662377</v>
      </c>
      <c r="AK35" s="122">
        <v>139177.32264423897</v>
      </c>
      <c r="AL35" s="122">
        <v>10.988590807606089</v>
      </c>
      <c r="AM35" s="122">
        <v>148589.15863661098</v>
      </c>
      <c r="AN35" s="122">
        <v>11.332139052710845</v>
      </c>
      <c r="AO35" s="122">
        <v>145424.59816576296</v>
      </c>
      <c r="AP35" s="122">
        <v>11.413646194442888</v>
      </c>
      <c r="AQ35" s="122">
        <v>146742.52125213397</v>
      </c>
      <c r="AR35" s="122">
        <v>10.83633499734681</v>
      </c>
      <c r="AS35" s="122">
        <v>153176.65309672098</v>
      </c>
      <c r="AT35" s="122">
        <v>11.100739929500769</v>
      </c>
      <c r="AU35" s="122">
        <v>150844.35720413795</v>
      </c>
      <c r="AV35" s="122">
        <v>10.776048428873043</v>
      </c>
      <c r="AW35" s="122">
        <v>153489.27649538798</v>
      </c>
      <c r="AX35" s="122">
        <v>11.337832392693665</v>
      </c>
      <c r="AY35" s="122">
        <v>159714.24130375095</v>
      </c>
      <c r="AZ35" s="122">
        <v>11.523767761652572</v>
      </c>
      <c r="BA35" s="122">
        <v>157806.33756762597</v>
      </c>
      <c r="BB35" s="122">
        <v>11.628820644218301</v>
      </c>
      <c r="BC35" s="122">
        <v>162140.61559617598</v>
      </c>
      <c r="BD35" s="122">
        <v>11.867892474962449</v>
      </c>
      <c r="BE35" s="122">
        <v>159824.181599676</v>
      </c>
      <c r="BF35" s="122">
        <v>11.93456444832014</v>
      </c>
      <c r="BG35" s="122">
        <v>173185.834604426</v>
      </c>
      <c r="BH35" s="122">
        <v>12.07634664595331</v>
      </c>
      <c r="BI35" s="122">
        <v>166955.734829906</v>
      </c>
      <c r="BJ35" s="122">
        <v>12.06146129855086</v>
      </c>
      <c r="BK35" s="122">
        <v>179755.54636649997</v>
      </c>
      <c r="BL35" s="122">
        <v>12.252900936696401</v>
      </c>
      <c r="BM35" s="122">
        <v>169896.37019966007</v>
      </c>
      <c r="BN35" s="122">
        <v>11.702975699424975</v>
      </c>
      <c r="BO35" s="122">
        <v>176984.65677089995</v>
      </c>
      <c r="BP35" s="122">
        <v>11.73913937293513</v>
      </c>
      <c r="BQ35" s="122">
        <v>187273.80826267999</v>
      </c>
      <c r="BR35" s="122">
        <v>11.611841862861935</v>
      </c>
      <c r="BS35" s="122">
        <v>184646.78042372994</v>
      </c>
      <c r="BT35" s="122">
        <v>11.623673605031266</v>
      </c>
      <c r="BU35" s="122">
        <v>185388.39106694996</v>
      </c>
      <c r="BV35" s="122">
        <v>11.942840741591068</v>
      </c>
      <c r="BW35" s="122">
        <v>233815.95249021103</v>
      </c>
      <c r="BX35" s="122">
        <v>12.19163495899606</v>
      </c>
      <c r="BY35" s="122">
        <v>226459.07256943098</v>
      </c>
      <c r="BZ35" s="122">
        <v>11.965434892370817</v>
      </c>
      <c r="CA35" s="122">
        <v>188401.45502462995</v>
      </c>
      <c r="CB35" s="122">
        <v>11.978824654756222</v>
      </c>
      <c r="CC35" s="122">
        <v>194653.62940169103</v>
      </c>
      <c r="CD35" s="122">
        <v>11.941058812459003</v>
      </c>
      <c r="CE35" s="122">
        <v>191791.89613044998</v>
      </c>
      <c r="CF35" s="122">
        <v>11.941704314078809</v>
      </c>
      <c r="CG35" s="122">
        <v>192940.35121212</v>
      </c>
      <c r="CH35" s="122">
        <v>11.924832576560698</v>
      </c>
      <c r="CI35" s="122">
        <v>200565.03219229993</v>
      </c>
      <c r="CJ35" s="122">
        <v>11.886583759810343</v>
      </c>
      <c r="CK35" s="122">
        <v>197897.87775155</v>
      </c>
      <c r="CL35" s="122">
        <v>11.893492706403975</v>
      </c>
      <c r="CM35" s="122">
        <v>200310.97276445004</v>
      </c>
      <c r="CN35" s="122">
        <v>11.801905360334892</v>
      </c>
      <c r="CO35" s="122">
        <v>209379.02254786002</v>
      </c>
      <c r="CP35" s="122">
        <v>11.972400860957547</v>
      </c>
      <c r="CQ35" s="122">
        <v>206820.0392075</v>
      </c>
      <c r="CR35" s="122">
        <v>11.933232316229937</v>
      </c>
      <c r="CS35" s="122">
        <v>209236.93794991</v>
      </c>
      <c r="CT35" s="122">
        <v>11.939388948244433</v>
      </c>
      <c r="CU35" s="122">
        <v>216315.59892231997</v>
      </c>
      <c r="CV35" s="122">
        <v>11.811117929774435</v>
      </c>
      <c r="CW35" s="122">
        <v>213132.50580634992</v>
      </c>
      <c r="CX35" s="122">
        <v>11.817128754611037</v>
      </c>
      <c r="CY35" s="122">
        <v>218379.64304185001</v>
      </c>
      <c r="CZ35" s="122">
        <v>11.712894048629714</v>
      </c>
      <c r="DA35" s="122">
        <v>222004.74422206008</v>
      </c>
      <c r="DB35" s="122">
        <v>11.630151625119797</v>
      </c>
      <c r="DC35" s="122">
        <v>216349.17686792</v>
      </c>
      <c r="DD35" s="122">
        <v>11.20634115999999</v>
      </c>
      <c r="DE35" s="122">
        <v>208467.60647744001</v>
      </c>
      <c r="DF35" s="122">
        <v>10.531251278930991</v>
      </c>
      <c r="DG35" s="122">
        <v>222514.55141813998</v>
      </c>
      <c r="DH35" s="122">
        <v>9.8715663227341768</v>
      </c>
      <c r="DI35" s="122">
        <v>212288.97506111005</v>
      </c>
      <c r="DJ35" s="122">
        <v>8.910756785041908</v>
      </c>
      <c r="DK35" s="122">
        <v>206690.87680177001</v>
      </c>
      <c r="DL35" s="122">
        <v>8.2170579393096439</v>
      </c>
      <c r="DM35" s="122">
        <v>240921.35929724004</v>
      </c>
      <c r="DN35" s="122">
        <v>7.8719204351557224</v>
      </c>
      <c r="DO35" s="122">
        <v>238226.04277444005</v>
      </c>
      <c r="DP35" s="122">
        <v>7.7749606344248567</v>
      </c>
      <c r="DQ35" s="122">
        <v>235754.58636041993</v>
      </c>
      <c r="DR35" s="122">
        <v>7.5979457972669557</v>
      </c>
      <c r="DS35" s="122">
        <v>249093.79937853996</v>
      </c>
      <c r="DT35" s="122">
        <v>7.4094624176672879</v>
      </c>
      <c r="DU35" s="122">
        <v>250404.20928173</v>
      </c>
      <c r="DV35" s="122">
        <v>7.3682887581718317</v>
      </c>
      <c r="DW35" s="122">
        <v>254807.52870878001</v>
      </c>
      <c r="DX35" s="122">
        <v>7.4826284096392488</v>
      </c>
      <c r="DY35" s="122">
        <v>278153.72644425009</v>
      </c>
      <c r="DZ35" s="122">
        <v>7.3789156761891981</v>
      </c>
      <c r="EA35" s="122">
        <v>279513.88762673998</v>
      </c>
      <c r="EB35" s="122">
        <v>7.4352664906712516</v>
      </c>
      <c r="EC35" s="122">
        <v>279735.17542010004</v>
      </c>
      <c r="ED35" s="122">
        <v>7.6723954170459896</v>
      </c>
      <c r="EE35" s="122">
        <v>287539.95690886007</v>
      </c>
      <c r="EF35" s="122">
        <v>7.8396830054652309</v>
      </c>
      <c r="EG35" s="122">
        <v>288220.21365784004</v>
      </c>
      <c r="EH35" s="122">
        <v>7.9893990210818364</v>
      </c>
      <c r="EI35" s="122">
        <v>299670.99055644003</v>
      </c>
      <c r="EJ35" s="122">
        <v>8.1864655521033747</v>
      </c>
      <c r="EK35" s="122">
        <v>310457.97161953006</v>
      </c>
      <c r="EL35" s="122">
        <v>8.8304233862402288</v>
      </c>
      <c r="EM35" s="122">
        <v>304058.69902272004</v>
      </c>
      <c r="EN35" s="122">
        <v>9.0545949191104764</v>
      </c>
      <c r="EO35" s="122">
        <v>303564.85171609098</v>
      </c>
      <c r="EP35" s="122">
        <v>9.3380638404853951</v>
      </c>
      <c r="EQ35" s="122">
        <v>306075.73774290999</v>
      </c>
      <c r="ER35" s="122">
        <v>10.340345363745023</v>
      </c>
      <c r="ES35" s="122">
        <v>305467.28319015988</v>
      </c>
      <c r="ET35" s="122">
        <v>10.603536303863187</v>
      </c>
      <c r="EU35" s="122">
        <v>308797.42484791001</v>
      </c>
      <c r="EV35" s="122">
        <v>10.881807015274253</v>
      </c>
      <c r="EW35" s="122">
        <v>311110.45871677995</v>
      </c>
      <c r="EX35" s="122">
        <v>11.576928267549905</v>
      </c>
      <c r="EY35" s="122">
        <v>310473.93652078992</v>
      </c>
      <c r="EZ35" s="122">
        <v>11.612222069557879</v>
      </c>
      <c r="FA35" s="122">
        <v>318394.46729524992</v>
      </c>
      <c r="FB35" s="122">
        <v>11.564852061776881</v>
      </c>
      <c r="FC35" s="122">
        <v>315352.72628404002</v>
      </c>
      <c r="FD35" s="122">
        <v>12.038616180705677</v>
      </c>
      <c r="FE35" s="122">
        <v>320525.33247306995</v>
      </c>
      <c r="FF35" s="122">
        <v>12.149399964777229</v>
      </c>
      <c r="FG35" s="122">
        <v>335478.99985925993</v>
      </c>
      <c r="FH35" s="122">
        <v>12.127339609357191</v>
      </c>
      <c r="FI35" s="122">
        <v>312262.36752762005</v>
      </c>
      <c r="FJ35" s="122">
        <v>12.617791210429381</v>
      </c>
      <c r="FK35" s="122">
        <v>307983.76474602002</v>
      </c>
      <c r="FL35" s="122">
        <v>12.581303930075942</v>
      </c>
      <c r="FM35" s="122">
        <v>305182.50818165008</v>
      </c>
      <c r="FN35" s="122">
        <v>12.204316760959614</v>
      </c>
      <c r="FO35" s="122">
        <v>305126.33346142009</v>
      </c>
      <c r="FP35" s="122">
        <v>13.180292242051809</v>
      </c>
      <c r="FQ35" s="122">
        <v>304592.56218821998</v>
      </c>
      <c r="FR35" s="122">
        <v>13.046200307455511</v>
      </c>
      <c r="FS35" s="122">
        <v>301682.90709747002</v>
      </c>
      <c r="FT35" s="122">
        <v>12.952955353336845</v>
      </c>
      <c r="FU35" s="122">
        <v>296589.62381732999</v>
      </c>
      <c r="FV35" s="122">
        <v>12.756973941693479</v>
      </c>
      <c r="FW35" s="122">
        <v>293974.75492582005</v>
      </c>
      <c r="FX35" s="122">
        <v>12.593776727618719</v>
      </c>
      <c r="FY35" s="122">
        <v>299534.38569240994</v>
      </c>
      <c r="FZ35" s="122">
        <v>12.330235904926777</v>
      </c>
      <c r="GA35" s="122">
        <v>285674.09102113999</v>
      </c>
      <c r="GB35" s="122">
        <v>11.956986824214749</v>
      </c>
      <c r="GC35" s="122">
        <v>293261.16682829993</v>
      </c>
      <c r="GD35" s="122">
        <v>12.154820865998452</v>
      </c>
      <c r="GE35" s="122">
        <v>297748.13771868002</v>
      </c>
      <c r="GF35" s="122">
        <v>11.448093007103859</v>
      </c>
      <c r="GG35" s="122">
        <v>307499.54322544002</v>
      </c>
      <c r="GH35" s="122">
        <v>12.110741698930836</v>
      </c>
      <c r="GI35" s="122">
        <v>300186.89033674001</v>
      </c>
      <c r="GJ35" s="122">
        <v>11.959825181038324</v>
      </c>
      <c r="GK35" s="122">
        <v>305150.57118786994</v>
      </c>
      <c r="GL35" s="122">
        <v>11.533178642393846</v>
      </c>
      <c r="GM35" s="122">
        <v>311696.25058336993</v>
      </c>
      <c r="GN35" s="122">
        <v>11.330801670226435</v>
      </c>
      <c r="GO35" s="122">
        <v>308082.25789383997</v>
      </c>
      <c r="GP35" s="122">
        <v>10.981663052762045</v>
      </c>
      <c r="GQ35" s="122">
        <v>307806.82028585993</v>
      </c>
      <c r="GR35" s="122">
        <v>10.654408599375246</v>
      </c>
      <c r="GS35" s="122">
        <v>316556.5569922101</v>
      </c>
      <c r="GT35" s="122">
        <v>10.423161061940444</v>
      </c>
      <c r="GU35" s="122">
        <v>307980.46375088207</v>
      </c>
      <c r="GV35" s="122">
        <v>10.179109150622709</v>
      </c>
      <c r="GW35" s="122">
        <v>309027.24549316033</v>
      </c>
      <c r="GX35" s="122">
        <v>9.9975426050438738</v>
      </c>
      <c r="GY35" s="122">
        <v>321326.73796761001</v>
      </c>
      <c r="GZ35" s="122">
        <v>9.8528051294708643</v>
      </c>
      <c r="HA35" s="122">
        <v>315593.84559263004</v>
      </c>
      <c r="HB35" s="122">
        <v>9.4789120379140126</v>
      </c>
      <c r="HC35" s="122">
        <v>325363.21079572203</v>
      </c>
      <c r="HD35" s="122">
        <v>9.1917569145244595</v>
      </c>
      <c r="HE35" s="122">
        <v>342458.65544337203</v>
      </c>
      <c r="HF35" s="122">
        <v>8.9142969414264268</v>
      </c>
      <c r="HG35" s="122">
        <v>332394.91115801985</v>
      </c>
      <c r="HH35" s="122">
        <v>8.7996514928194927</v>
      </c>
      <c r="HI35" s="122">
        <v>332218.25861877407</v>
      </c>
      <c r="HJ35" s="122">
        <v>8.428183931839822</v>
      </c>
      <c r="HK35" s="122">
        <v>353078.0119855149</v>
      </c>
      <c r="HL35" s="122">
        <v>8.1366322893787082</v>
      </c>
      <c r="HM35" s="122">
        <v>342628.0556501117</v>
      </c>
      <c r="HN35" s="122">
        <v>7.9222875121929386</v>
      </c>
      <c r="HO35" s="122">
        <v>342067.75577855174</v>
      </c>
      <c r="HP35" s="122">
        <v>7.6763580736326702</v>
      </c>
      <c r="HQ35" s="122">
        <v>361700.32659051177</v>
      </c>
      <c r="HR35" s="122">
        <v>7.6167690388730946</v>
      </c>
      <c r="HS35" s="122">
        <v>352247.04970692372</v>
      </c>
      <c r="HT35" s="122">
        <v>7.4851925159757586</v>
      </c>
      <c r="HU35" s="122">
        <v>355722.03748137178</v>
      </c>
      <c r="HV35" s="122">
        <v>7.3542733313207069</v>
      </c>
      <c r="HW35" s="122">
        <v>366807.93038831378</v>
      </c>
      <c r="HX35" s="122">
        <v>7.2559284611682813</v>
      </c>
      <c r="HY35" s="122">
        <v>351651.17098320374</v>
      </c>
    </row>
    <row r="36" spans="1:233" x14ac:dyDescent="0.55000000000000004">
      <c r="B36" s="21">
        <v>12</v>
      </c>
      <c r="C36" s="324" t="s">
        <v>675</v>
      </c>
      <c r="D36" s="122">
        <v>12.610177073053034</v>
      </c>
      <c r="E36" s="122">
        <v>14690.34467519003</v>
      </c>
      <c r="F36" s="122">
        <v>11.023911751103389</v>
      </c>
      <c r="G36" s="122">
        <v>22279.184395760007</v>
      </c>
      <c r="H36" s="122">
        <v>10.220141867269588</v>
      </c>
      <c r="I36" s="122">
        <v>32347.751877130009</v>
      </c>
      <c r="J36" s="122">
        <v>8.7651247835632002</v>
      </c>
      <c r="K36" s="122">
        <v>38591.137378309999</v>
      </c>
      <c r="L36" s="122">
        <v>10.736760205746812</v>
      </c>
      <c r="M36" s="122">
        <v>55910.209040029993</v>
      </c>
      <c r="N36" s="122">
        <v>12.280340759964469</v>
      </c>
      <c r="O36" s="122">
        <v>77924.679934520042</v>
      </c>
      <c r="P36" s="122">
        <v>8.7036460988342945</v>
      </c>
      <c r="Q36" s="122">
        <v>41797.353993069992</v>
      </c>
      <c r="R36" s="122">
        <v>8.5669504894258903</v>
      </c>
      <c r="S36" s="122">
        <v>42707.047888749985</v>
      </c>
      <c r="T36" s="122">
        <v>8.5061552719627027</v>
      </c>
      <c r="U36" s="122">
        <v>44537.900290060003</v>
      </c>
      <c r="V36" s="122">
        <v>8.6402224087451458</v>
      </c>
      <c r="W36" s="122">
        <v>45174.134707370002</v>
      </c>
      <c r="X36" s="122">
        <v>8.7739776206706548</v>
      </c>
      <c r="Y36" s="122">
        <v>45953.093547749995</v>
      </c>
      <c r="Z36" s="122">
        <v>8.9108385723080392</v>
      </c>
      <c r="AA36" s="122">
        <v>47805.431110289988</v>
      </c>
      <c r="AB36" s="122">
        <v>9.6849334486109893</v>
      </c>
      <c r="AC36" s="122">
        <v>51041.592245270003</v>
      </c>
      <c r="AD36" s="122">
        <v>10.028461347814718</v>
      </c>
      <c r="AE36" s="122">
        <v>51621.747361699992</v>
      </c>
      <c r="AF36" s="122">
        <v>10.157125874871086</v>
      </c>
      <c r="AG36" s="122">
        <v>52539.777209660002</v>
      </c>
      <c r="AH36" s="122">
        <v>10.447788374316849</v>
      </c>
      <c r="AI36" s="122">
        <v>52840.780953490008</v>
      </c>
      <c r="AJ36" s="122">
        <v>10.66260798093249</v>
      </c>
      <c r="AK36" s="122">
        <v>52981.213983639987</v>
      </c>
      <c r="AL36" s="122">
        <v>10.736760205746812</v>
      </c>
      <c r="AM36" s="122">
        <v>55910.209040029993</v>
      </c>
      <c r="AN36" s="122">
        <v>11.078403882039668</v>
      </c>
      <c r="AO36" s="122">
        <v>56235.885905269985</v>
      </c>
      <c r="AP36" s="122">
        <v>11.225888960325285</v>
      </c>
      <c r="AQ36" s="122">
        <v>58385.099557369998</v>
      </c>
      <c r="AR36" s="122">
        <v>9.6961233468061465</v>
      </c>
      <c r="AS36" s="122">
        <v>61253.224280120012</v>
      </c>
      <c r="AT36" s="122">
        <v>11.401629279739531</v>
      </c>
      <c r="AU36" s="122">
        <v>59457.430797660025</v>
      </c>
      <c r="AV36" s="122">
        <v>11.125245237390963</v>
      </c>
      <c r="AW36" s="122">
        <v>62102.586039950023</v>
      </c>
      <c r="AX36" s="122">
        <v>11.661409301407909</v>
      </c>
      <c r="AY36" s="122">
        <v>63726.52760631001</v>
      </c>
      <c r="AZ36" s="122">
        <v>11.765130820478195</v>
      </c>
      <c r="BA36" s="122">
        <v>65363.345035100028</v>
      </c>
      <c r="BB36" s="122">
        <v>11.86834392254457</v>
      </c>
      <c r="BC36" s="122">
        <v>66061.170983640011</v>
      </c>
      <c r="BD36" s="122">
        <v>12.013197390531543</v>
      </c>
      <c r="BE36" s="122">
        <v>67408.294499460011</v>
      </c>
      <c r="BF36" s="122">
        <v>12.215021413821704</v>
      </c>
      <c r="BG36" s="122">
        <v>71902.739274150037</v>
      </c>
      <c r="BH36" s="122">
        <v>12.258775817569834</v>
      </c>
      <c r="BI36" s="122">
        <v>72919.133337724459</v>
      </c>
      <c r="BJ36" s="122">
        <v>12.280340759964469</v>
      </c>
      <c r="BK36" s="122">
        <v>77924.679934520042</v>
      </c>
      <c r="BL36" s="122">
        <v>12.319331170245412</v>
      </c>
      <c r="BM36" s="122">
        <v>77703.831665867488</v>
      </c>
      <c r="BN36" s="122">
        <v>12.241907579119323</v>
      </c>
      <c r="BO36" s="122">
        <v>82417.345998188975</v>
      </c>
      <c r="BP36" s="122">
        <v>12.289318545095783</v>
      </c>
      <c r="BQ36" s="122">
        <v>86291.727529165044</v>
      </c>
      <c r="BR36" s="122">
        <v>12.154099287450883</v>
      </c>
      <c r="BS36" s="122">
        <v>85492.553293580015</v>
      </c>
      <c r="BT36" s="122">
        <v>12.153038808725739</v>
      </c>
      <c r="BU36" s="122">
        <v>86466.28351519705</v>
      </c>
      <c r="BV36" s="122">
        <v>12.203251899373534</v>
      </c>
      <c r="BW36" s="122">
        <v>88192.618800325014</v>
      </c>
      <c r="BX36" s="122">
        <v>12.062520513245138</v>
      </c>
      <c r="BY36" s="122">
        <v>91258.103966062539</v>
      </c>
      <c r="BZ36" s="122">
        <v>11.889936712594043</v>
      </c>
      <c r="CA36" s="122">
        <v>90659.956662021985</v>
      </c>
      <c r="CB36" s="122">
        <v>11.823211747720006</v>
      </c>
      <c r="CC36" s="122">
        <v>94671.802356718981</v>
      </c>
      <c r="CD36" s="122">
        <v>11.840241156483593</v>
      </c>
      <c r="CE36" s="122">
        <v>96023.257415070169</v>
      </c>
      <c r="CF36" s="122">
        <v>11.721716138107844</v>
      </c>
      <c r="CG36" s="122">
        <v>98697.141063897725</v>
      </c>
      <c r="CH36" s="122">
        <v>11.639722787739368</v>
      </c>
      <c r="CI36" s="122">
        <v>101091.80068802324</v>
      </c>
      <c r="CJ36" s="122">
        <v>11.738871229548929</v>
      </c>
      <c r="CK36" s="122">
        <v>102543.02206521893</v>
      </c>
      <c r="CL36" s="122">
        <v>11.661752409541595</v>
      </c>
      <c r="CM36" s="122">
        <v>105317.15628373592</v>
      </c>
      <c r="CN36" s="122">
        <v>11.438134061291404</v>
      </c>
      <c r="CO36" s="122">
        <v>109990.574594722</v>
      </c>
      <c r="CP36" s="122">
        <v>11.613012032751815</v>
      </c>
      <c r="CQ36" s="122">
        <v>110494.43053395698</v>
      </c>
      <c r="CR36" s="122">
        <v>11.631682786854556</v>
      </c>
      <c r="CS36" s="122">
        <v>111202.36037191498</v>
      </c>
      <c r="CT36" s="122">
        <v>11.526583865032292</v>
      </c>
      <c r="CU36" s="122">
        <v>114879.616143618</v>
      </c>
      <c r="CV36" s="122">
        <v>11.690583087786035</v>
      </c>
      <c r="CW36" s="122">
        <v>116800.31362202251</v>
      </c>
      <c r="CX36" s="122">
        <v>11.740937069561618</v>
      </c>
      <c r="CY36" s="122">
        <v>120219.85489094601</v>
      </c>
      <c r="CZ36" s="122">
        <v>11.567930015709527</v>
      </c>
      <c r="DA36" s="122">
        <v>122063.17155161254</v>
      </c>
      <c r="DB36" s="122">
        <v>11.353320059047061</v>
      </c>
      <c r="DC36" s="122">
        <v>121346.03170262005</v>
      </c>
      <c r="DD36" s="122">
        <v>11.029077713327387</v>
      </c>
      <c r="DE36" s="122">
        <v>122031.58891006006</v>
      </c>
      <c r="DF36" s="122">
        <v>10.614958529764106</v>
      </c>
      <c r="DG36" s="122">
        <v>127550.63431252999</v>
      </c>
      <c r="DH36" s="122">
        <v>10.600780514541436</v>
      </c>
      <c r="DI36" s="122">
        <v>130153.50107750848</v>
      </c>
      <c r="DJ36" s="122">
        <v>10.35639599774421</v>
      </c>
      <c r="DK36" s="122">
        <v>131310.77672018998</v>
      </c>
      <c r="DL36" s="122">
        <v>9.8990082456910589</v>
      </c>
      <c r="DM36" s="122">
        <v>135232.23912318001</v>
      </c>
      <c r="DN36" s="122">
        <v>9.5074931424805236</v>
      </c>
      <c r="DO36" s="122">
        <v>137586.81433300005</v>
      </c>
      <c r="DP36" s="122">
        <v>9.41242025008345</v>
      </c>
      <c r="DQ36" s="122">
        <v>139548.55417827002</v>
      </c>
      <c r="DR36" s="122">
        <v>8.8613555657399985</v>
      </c>
      <c r="DS36" s="122">
        <v>141091.50531331004</v>
      </c>
      <c r="DT36" s="122">
        <v>8.5696870956491509</v>
      </c>
      <c r="DU36" s="122">
        <v>144248.76177955</v>
      </c>
      <c r="DV36" s="122">
        <v>8.4333017219947788</v>
      </c>
      <c r="DW36" s="122">
        <v>147160.52475304008</v>
      </c>
      <c r="DX36" s="122">
        <v>8.2745187858113169</v>
      </c>
      <c r="DY36" s="122">
        <v>151440.43566746998</v>
      </c>
      <c r="DZ36" s="122">
        <v>8.0151895685435015</v>
      </c>
      <c r="EA36" s="122">
        <v>154994.37711154</v>
      </c>
      <c r="EB36" s="122">
        <v>7.9820658477435913</v>
      </c>
      <c r="EC36" s="122">
        <v>155634.50222939005</v>
      </c>
      <c r="ED36" s="122">
        <v>7.9122272267212708</v>
      </c>
      <c r="EE36" s="122">
        <v>159479.97479510002</v>
      </c>
      <c r="EF36" s="122">
        <v>7.8707667971003632</v>
      </c>
      <c r="EG36" s="122">
        <v>161430.234881813</v>
      </c>
      <c r="EH36" s="122">
        <v>7.8945689641497756</v>
      </c>
      <c r="EI36" s="122">
        <v>164621.84250758</v>
      </c>
      <c r="EJ36" s="122">
        <v>7.9394801125257448</v>
      </c>
      <c r="EK36" s="122">
        <v>166554.551881066</v>
      </c>
      <c r="EL36" s="122">
        <v>8.2968722478025878</v>
      </c>
      <c r="EM36" s="122">
        <v>162901.81146466601</v>
      </c>
      <c r="EN36" s="122">
        <v>8.5345768805750648</v>
      </c>
      <c r="EO36" s="122">
        <v>162485.807779886</v>
      </c>
      <c r="EP36" s="122">
        <v>8.710011891596011</v>
      </c>
      <c r="EQ36" s="122">
        <v>163230.68760672599</v>
      </c>
      <c r="ER36" s="122">
        <v>9.4225672087567265</v>
      </c>
      <c r="ES36" s="122">
        <v>160584.22565497604</v>
      </c>
      <c r="ET36" s="122">
        <v>9.7019201035559579</v>
      </c>
      <c r="EU36" s="122">
        <v>165013.19371304201</v>
      </c>
      <c r="EV36" s="122">
        <v>9.9526387161872183</v>
      </c>
      <c r="EW36" s="122">
        <v>165600.40233661598</v>
      </c>
      <c r="EX36" s="122">
        <v>10.657413500926852</v>
      </c>
      <c r="EY36" s="122">
        <v>168667.91589479599</v>
      </c>
      <c r="EZ36" s="122">
        <v>10.729203930543303</v>
      </c>
      <c r="FA36" s="122">
        <v>168083.29240266397</v>
      </c>
      <c r="FB36" s="122">
        <v>10.763745984384061</v>
      </c>
      <c r="FC36" s="122">
        <v>168131.11156647399</v>
      </c>
      <c r="FD36" s="122">
        <v>11.294806127116241</v>
      </c>
      <c r="FE36" s="122">
        <v>168799.1367055205</v>
      </c>
      <c r="FF36" s="122">
        <v>11.34884721529621</v>
      </c>
      <c r="FG36" s="122">
        <v>170299.41105256145</v>
      </c>
      <c r="FH36" s="122">
        <v>11.475116595162284</v>
      </c>
      <c r="FI36" s="122">
        <v>172656.82762321597</v>
      </c>
      <c r="FJ36" s="122">
        <v>11.898372565012322</v>
      </c>
      <c r="FK36" s="122">
        <v>171300.13710081906</v>
      </c>
      <c r="FL36" s="122">
        <v>11.967095177643616</v>
      </c>
      <c r="FM36" s="122">
        <v>170378.37916035519</v>
      </c>
      <c r="FN36" s="122">
        <v>12.128923032510947</v>
      </c>
      <c r="FO36" s="122">
        <v>171034.14817235776</v>
      </c>
      <c r="FP36" s="122">
        <v>12.980647346954278</v>
      </c>
      <c r="FQ36" s="122">
        <v>175587.86495352065</v>
      </c>
      <c r="FR36" s="122">
        <v>12.957251732881616</v>
      </c>
      <c r="FS36" s="122">
        <v>175109.15514970815</v>
      </c>
      <c r="FT36" s="122">
        <v>12.95867912704816</v>
      </c>
      <c r="FU36" s="122">
        <v>170107.39561721095</v>
      </c>
      <c r="FV36" s="122">
        <v>12.884546348674077</v>
      </c>
      <c r="FW36" s="122">
        <v>170543.36760602955</v>
      </c>
      <c r="FX36" s="122">
        <v>12.711793216065885</v>
      </c>
      <c r="FY36" s="122">
        <v>172977.05731270809</v>
      </c>
      <c r="FZ36" s="122">
        <v>12.42702379243568</v>
      </c>
      <c r="GA36" s="122">
        <v>160659.1032165041</v>
      </c>
      <c r="GB36" s="122">
        <v>12.095429414249661</v>
      </c>
      <c r="GC36" s="122">
        <v>179123.10584686277</v>
      </c>
      <c r="GD36" s="122">
        <v>12.384862690852653</v>
      </c>
      <c r="GE36" s="122">
        <v>180299.76835968078</v>
      </c>
      <c r="GF36" s="122">
        <v>12.12945387689231</v>
      </c>
      <c r="GG36" s="122">
        <v>182810.30310623304</v>
      </c>
      <c r="GH36" s="122">
        <v>12.343042450110335</v>
      </c>
      <c r="GI36" s="122">
        <v>184886.17687655211</v>
      </c>
      <c r="GJ36" s="122">
        <v>12.233552788976455</v>
      </c>
      <c r="GK36" s="122">
        <v>184524.29170606309</v>
      </c>
      <c r="GL36" s="122">
        <v>11.905038787502777</v>
      </c>
      <c r="GM36" s="122">
        <v>187552.82472797597</v>
      </c>
      <c r="GN36" s="122">
        <v>11.646264716435835</v>
      </c>
      <c r="GO36" s="122">
        <v>187727.79238881706</v>
      </c>
      <c r="GP36" s="122">
        <v>11.339414753581034</v>
      </c>
      <c r="GQ36" s="122">
        <v>187484.65916764908</v>
      </c>
      <c r="GR36" s="122">
        <v>10.941784968247211</v>
      </c>
      <c r="GS36" s="122">
        <v>188927.71983265309</v>
      </c>
      <c r="GT36" s="122">
        <v>10.63579727270608</v>
      </c>
      <c r="GU36" s="122">
        <v>188933.21777432252</v>
      </c>
      <c r="GV36" s="122">
        <v>10.47208028944709</v>
      </c>
      <c r="GW36" s="122">
        <v>190529.87680491101</v>
      </c>
      <c r="GX36" s="122">
        <v>10.282187688378407</v>
      </c>
      <c r="GY36" s="122">
        <v>193576.59425724469</v>
      </c>
      <c r="GZ36" s="122">
        <v>10.006905580960737</v>
      </c>
      <c r="HA36" s="122">
        <v>197983.22867833616</v>
      </c>
      <c r="HB36" s="122">
        <v>9.7558939451789826</v>
      </c>
      <c r="HC36" s="122">
        <v>199230.13486994727</v>
      </c>
      <c r="HD36" s="122">
        <v>9.4678114230176238</v>
      </c>
      <c r="HE36" s="122">
        <v>202228.46527225035</v>
      </c>
      <c r="HF36" s="122">
        <v>9.2239378757122097</v>
      </c>
      <c r="HG36" s="122">
        <v>202058.33034637707</v>
      </c>
      <c r="HH36" s="122">
        <v>9.1012495017003534</v>
      </c>
      <c r="HI36" s="122">
        <v>209717.61756652466</v>
      </c>
      <c r="HJ36" s="122">
        <v>8.7813751641923599</v>
      </c>
      <c r="HK36" s="122">
        <v>206783.35475738917</v>
      </c>
      <c r="HL36" s="122">
        <v>8.5071880197071259</v>
      </c>
      <c r="HM36" s="122">
        <v>212475.54665473607</v>
      </c>
      <c r="HN36" s="122">
        <v>8.3355841941757784</v>
      </c>
      <c r="HO36" s="122">
        <v>213768.37559606603</v>
      </c>
      <c r="HP36" s="122">
        <v>8.0991669343685899</v>
      </c>
      <c r="HQ36" s="122">
        <v>213070.60795483601</v>
      </c>
      <c r="HR36" s="122">
        <v>8.0766134222671582</v>
      </c>
      <c r="HS36" s="122">
        <v>214012.95791738969</v>
      </c>
      <c r="HT36" s="122">
        <v>7.9388509811987564</v>
      </c>
      <c r="HU36" s="122">
        <v>214447.94078423112</v>
      </c>
      <c r="HV36" s="122">
        <v>7.8041268316635195</v>
      </c>
      <c r="HW36" s="122">
        <v>225294.73336532831</v>
      </c>
      <c r="HX36" s="122">
        <v>7.702578064874797</v>
      </c>
      <c r="HY36" s="122">
        <v>217994.53772537853</v>
      </c>
    </row>
    <row r="37" spans="1:233" x14ac:dyDescent="0.55000000000000004">
      <c r="B37" s="21">
        <v>13</v>
      </c>
      <c r="C37" s="28" t="s">
        <v>255</v>
      </c>
      <c r="D37" s="122">
        <v>12.484417329567313</v>
      </c>
      <c r="E37" s="122">
        <v>28172.010885390016</v>
      </c>
      <c r="F37" s="122">
        <v>10.971041893684561</v>
      </c>
      <c r="G37" s="122">
        <v>38852.196747430018</v>
      </c>
      <c r="H37" s="122">
        <v>10.134327267338179</v>
      </c>
      <c r="I37" s="122">
        <v>50007.592358393988</v>
      </c>
      <c r="J37" s="122">
        <v>9.4719114224940846</v>
      </c>
      <c r="K37" s="122">
        <v>56684.657462469993</v>
      </c>
      <c r="L37" s="122">
        <v>11.406700427872403</v>
      </c>
      <c r="M37" s="122">
        <v>79016.313280261995</v>
      </c>
      <c r="N37" s="122">
        <v>12.421076262070949</v>
      </c>
      <c r="O37" s="122">
        <v>92564.146514551991</v>
      </c>
      <c r="P37" s="122">
        <v>9.5471868770459594</v>
      </c>
      <c r="Q37" s="122">
        <v>59150.566128080005</v>
      </c>
      <c r="R37" s="122">
        <v>9.3830669187658327</v>
      </c>
      <c r="S37" s="122">
        <v>60233.317575069996</v>
      </c>
      <c r="T37" s="122">
        <v>9.2886421699991715</v>
      </c>
      <c r="U37" s="122">
        <v>61515.636068624</v>
      </c>
      <c r="V37" s="122">
        <v>9.468249252509624</v>
      </c>
      <c r="W37" s="122">
        <v>62379.600870266004</v>
      </c>
      <c r="X37" s="122">
        <v>9.6004162642243962</v>
      </c>
      <c r="Y37" s="122">
        <v>63763.437356266004</v>
      </c>
      <c r="Z37" s="122">
        <v>9.7194865288824417</v>
      </c>
      <c r="AA37" s="122">
        <v>64924.664488796014</v>
      </c>
      <c r="AB37" s="122">
        <v>10.23918146920637</v>
      </c>
      <c r="AC37" s="122">
        <v>67521.482308863007</v>
      </c>
      <c r="AD37" s="122">
        <v>10.683244655423881</v>
      </c>
      <c r="AE37" s="122">
        <v>68379.865423291005</v>
      </c>
      <c r="AF37" s="122">
        <v>10.877329334625692</v>
      </c>
      <c r="AG37" s="122">
        <v>69405.272307883017</v>
      </c>
      <c r="AH37" s="122">
        <v>10.721927853999153</v>
      </c>
      <c r="AI37" s="122">
        <v>69826.034997452996</v>
      </c>
      <c r="AJ37" s="122">
        <v>11.254062812697153</v>
      </c>
      <c r="AK37" s="122">
        <v>70392.859269042965</v>
      </c>
      <c r="AL37" s="122">
        <v>11.406700427872403</v>
      </c>
      <c r="AM37" s="122">
        <v>79016.313280261995</v>
      </c>
      <c r="AN37" s="122">
        <v>11.754169937625024</v>
      </c>
      <c r="AO37" s="122">
        <v>79621.541118636975</v>
      </c>
      <c r="AP37" s="122">
        <v>11.840374599994462</v>
      </c>
      <c r="AQ37" s="122">
        <v>79924.629048582967</v>
      </c>
      <c r="AR37" s="122">
        <v>10.590337140108973</v>
      </c>
      <c r="AS37" s="122">
        <v>82537.97852047201</v>
      </c>
      <c r="AT37" s="122">
        <v>11.689784922139358</v>
      </c>
      <c r="AU37" s="122">
        <v>80790.209729023016</v>
      </c>
      <c r="AV37" s="122">
        <v>11.530863313645099</v>
      </c>
      <c r="AW37" s="122">
        <v>84610.842412662998</v>
      </c>
      <c r="AX37" s="122">
        <v>11.8532212924394</v>
      </c>
      <c r="AY37" s="122">
        <v>86280.176466673001</v>
      </c>
      <c r="AZ37" s="122">
        <v>12.005824990683125</v>
      </c>
      <c r="BA37" s="122">
        <v>86578.289161592998</v>
      </c>
      <c r="BB37" s="122">
        <v>12.086232046917628</v>
      </c>
      <c r="BC37" s="122">
        <v>85673.992245182992</v>
      </c>
      <c r="BD37" s="122">
        <v>12.259313274331138</v>
      </c>
      <c r="BE37" s="122">
        <v>83692.395856692994</v>
      </c>
      <c r="BF37" s="122">
        <v>12.474660342133584</v>
      </c>
      <c r="BG37" s="122">
        <v>87411.519864341986</v>
      </c>
      <c r="BH37" s="122">
        <v>12.544870556762953</v>
      </c>
      <c r="BI37" s="122">
        <v>86917.222310359997</v>
      </c>
      <c r="BJ37" s="122">
        <v>12.421076262070949</v>
      </c>
      <c r="BK37" s="122">
        <v>92564.146514551991</v>
      </c>
      <c r="BL37" s="122">
        <v>12.565367118156107</v>
      </c>
      <c r="BM37" s="122">
        <v>90243.743711023024</v>
      </c>
      <c r="BN37" s="122">
        <v>12.439257695308969</v>
      </c>
      <c r="BO37" s="122">
        <v>95950.813053453021</v>
      </c>
      <c r="BP37" s="122">
        <v>12.342412140098507</v>
      </c>
      <c r="BQ37" s="122">
        <v>98307.25126388995</v>
      </c>
      <c r="BR37" s="122">
        <v>12.431603876782665</v>
      </c>
      <c r="BS37" s="122">
        <v>99033.287671903003</v>
      </c>
      <c r="BT37" s="122">
        <v>12.48761420851441</v>
      </c>
      <c r="BU37" s="122">
        <v>99181.358485685458</v>
      </c>
      <c r="BV37" s="122">
        <v>12.522546557225825</v>
      </c>
      <c r="BW37" s="122">
        <v>103918.377971913</v>
      </c>
      <c r="BX37" s="122">
        <v>12.503872776713756</v>
      </c>
      <c r="BY37" s="122">
        <v>105526.33577742102</v>
      </c>
      <c r="BZ37" s="122">
        <v>12.523112594237668</v>
      </c>
      <c r="CA37" s="122">
        <v>106039.26375774307</v>
      </c>
      <c r="CB37" s="122">
        <v>12.434678986525061</v>
      </c>
      <c r="CC37" s="122">
        <v>106841.99096208299</v>
      </c>
      <c r="CD37" s="122">
        <v>12.347570068218889</v>
      </c>
      <c r="CE37" s="122">
        <v>108124.67355178554</v>
      </c>
      <c r="CF37" s="122">
        <v>12.329258013911373</v>
      </c>
      <c r="CG37" s="122">
        <v>107832.70871549296</v>
      </c>
      <c r="CH37" s="122">
        <v>12.246487428182396</v>
      </c>
      <c r="CI37" s="122">
        <v>109117.71428898301</v>
      </c>
      <c r="CJ37" s="122">
        <v>12.165563863373341</v>
      </c>
      <c r="CK37" s="122">
        <v>111574.569552343</v>
      </c>
      <c r="CL37" s="122">
        <v>11.928037589959816</v>
      </c>
      <c r="CM37" s="122">
        <v>113481.879244593</v>
      </c>
      <c r="CN37" s="122">
        <v>12.050509495846203</v>
      </c>
      <c r="CO37" s="122">
        <v>115868.79785275301</v>
      </c>
      <c r="CP37" s="122">
        <v>12.092469355764932</v>
      </c>
      <c r="CQ37" s="122">
        <v>116687.29731635301</v>
      </c>
      <c r="CR37" s="122">
        <v>12.096237258484997</v>
      </c>
      <c r="CS37" s="122">
        <v>117212.80064100301</v>
      </c>
      <c r="CT37" s="122">
        <v>12.061233301855555</v>
      </c>
      <c r="CU37" s="122">
        <v>118740.07740632299</v>
      </c>
      <c r="CV37" s="122">
        <v>12.007212822380708</v>
      </c>
      <c r="CW37" s="122">
        <v>119914.91512538301</v>
      </c>
      <c r="CX37" s="122">
        <v>12.000184952939676</v>
      </c>
      <c r="CY37" s="122">
        <v>123091.04011417298</v>
      </c>
      <c r="CZ37" s="122">
        <v>11.948055611181847</v>
      </c>
      <c r="DA37" s="122">
        <v>133088.60661908801</v>
      </c>
      <c r="DB37" s="122">
        <v>11.664935781746097</v>
      </c>
      <c r="DC37" s="122">
        <v>132474.42989798321</v>
      </c>
      <c r="DD37" s="122">
        <v>11.326073192710348</v>
      </c>
      <c r="DE37" s="122">
        <v>133324.17733896748</v>
      </c>
      <c r="DF37" s="122">
        <v>10.859249957231638</v>
      </c>
      <c r="DG37" s="122">
        <v>137152.29808909242</v>
      </c>
      <c r="DH37" s="122">
        <v>10.823942431552249</v>
      </c>
      <c r="DI37" s="122">
        <v>139542.19579466237</v>
      </c>
      <c r="DJ37" s="122">
        <v>10.455831101910253</v>
      </c>
      <c r="DK37" s="122">
        <v>144086.99034885838</v>
      </c>
      <c r="DL37" s="122">
        <v>10.095326642056939</v>
      </c>
      <c r="DM37" s="122">
        <v>149912.39092365836</v>
      </c>
      <c r="DN37" s="122">
        <v>9.8301264616467083</v>
      </c>
      <c r="DO37" s="122">
        <v>150414.75429889339</v>
      </c>
      <c r="DP37" s="122">
        <v>9.66658932883918</v>
      </c>
      <c r="DQ37" s="122">
        <v>152013.80828004342</v>
      </c>
      <c r="DR37" s="122">
        <v>9.3488793197577795</v>
      </c>
      <c r="DS37" s="122">
        <v>157106.11498711744</v>
      </c>
      <c r="DT37" s="122">
        <v>8.9880392590127229</v>
      </c>
      <c r="DU37" s="122">
        <v>156415.38102847399</v>
      </c>
      <c r="DV37" s="122">
        <v>8.891708056564859</v>
      </c>
      <c r="DW37" s="122">
        <v>159002.47803264332</v>
      </c>
      <c r="DX37" s="122">
        <v>8.6695685462477048</v>
      </c>
      <c r="DY37" s="122">
        <v>160770.32394532103</v>
      </c>
      <c r="DZ37" s="122">
        <v>8.5155696661153009</v>
      </c>
      <c r="EA37" s="122">
        <v>159829.26120762405</v>
      </c>
      <c r="EB37" s="122">
        <v>8.5013353996114542</v>
      </c>
      <c r="EC37" s="122">
        <v>160607.21494723402</v>
      </c>
      <c r="ED37" s="122">
        <v>8.3521374344964574</v>
      </c>
      <c r="EE37" s="122">
        <v>163016.22467761402</v>
      </c>
      <c r="EF37" s="122">
        <v>8.398232867035361</v>
      </c>
      <c r="EG37" s="122">
        <v>162874.90083315191</v>
      </c>
      <c r="EH37" s="122">
        <v>8.4533239522342125</v>
      </c>
      <c r="EI37" s="122">
        <v>168939.55369543191</v>
      </c>
      <c r="EJ37" s="122">
        <v>8.4544560661211623</v>
      </c>
      <c r="EK37" s="122">
        <v>172387.33124898002</v>
      </c>
      <c r="EL37" s="122">
        <v>8.7841628949706383</v>
      </c>
      <c r="EM37" s="122">
        <v>173649.16662762541</v>
      </c>
      <c r="EN37" s="122">
        <v>8.9009717192567184</v>
      </c>
      <c r="EO37" s="122">
        <v>173497.32229411395</v>
      </c>
      <c r="EP37" s="122">
        <v>8.9718867394460577</v>
      </c>
      <c r="EQ37" s="122">
        <v>173708.45138821207</v>
      </c>
      <c r="ER37" s="122">
        <v>9.7213906710458389</v>
      </c>
      <c r="ES37" s="122">
        <v>177198.58105553692</v>
      </c>
      <c r="ET37" s="122">
        <v>9.9561073886962976</v>
      </c>
      <c r="EU37" s="122">
        <v>179220.77410081393</v>
      </c>
      <c r="EV37" s="122">
        <v>10.260379244067851</v>
      </c>
      <c r="EW37" s="122">
        <v>179333.050400343</v>
      </c>
      <c r="EX37" s="122">
        <v>10.936269093196822</v>
      </c>
      <c r="EY37" s="122">
        <v>178397.58319686097</v>
      </c>
      <c r="EZ37" s="122">
        <v>10.951808584929388</v>
      </c>
      <c r="FA37" s="122">
        <v>165813.68197145799</v>
      </c>
      <c r="FB37" s="122">
        <v>11.058175436979326</v>
      </c>
      <c r="FC37" s="122">
        <v>177074.65161219009</v>
      </c>
      <c r="FD37" s="122">
        <v>11.471153164633723</v>
      </c>
      <c r="FE37" s="122">
        <v>180652.77226001804</v>
      </c>
      <c r="FF37" s="122">
        <v>11.5372288556048</v>
      </c>
      <c r="FG37" s="122">
        <v>182689.63577866909</v>
      </c>
      <c r="FH37" s="122">
        <v>11.666357534885996</v>
      </c>
      <c r="FI37" s="122">
        <v>184353.97168838003</v>
      </c>
      <c r="FJ37" s="122">
        <v>12.146195745687717</v>
      </c>
      <c r="FK37" s="122">
        <v>183710.08361607799</v>
      </c>
      <c r="FL37" s="122">
        <v>12.203252229173664</v>
      </c>
      <c r="FM37" s="122">
        <v>185008.53961395798</v>
      </c>
      <c r="FN37" s="122">
        <v>12.260706081956897</v>
      </c>
      <c r="FO37" s="122">
        <v>186522.49173266592</v>
      </c>
      <c r="FP37" s="122">
        <v>13.035016303197887</v>
      </c>
      <c r="FQ37" s="122">
        <v>189849.94336700585</v>
      </c>
      <c r="FR37" s="122">
        <v>13.190833559013345</v>
      </c>
      <c r="FS37" s="122">
        <v>188413.88472168497</v>
      </c>
      <c r="FT37" s="122">
        <v>12.82819403699814</v>
      </c>
      <c r="FU37" s="122">
        <v>184324.21449377495</v>
      </c>
      <c r="FV37" s="122">
        <v>12.882550009718731</v>
      </c>
      <c r="FW37" s="122">
        <v>182810.88456630483</v>
      </c>
      <c r="FX37" s="122">
        <v>12.676283673238705</v>
      </c>
      <c r="FY37" s="122">
        <v>180211.38032748475</v>
      </c>
      <c r="FZ37" s="122">
        <v>12.355923856682807</v>
      </c>
      <c r="GA37" s="122">
        <v>154154.22549293478</v>
      </c>
      <c r="GB37" s="122">
        <v>11.929734916596107</v>
      </c>
      <c r="GC37" s="122">
        <v>178122.26980336491</v>
      </c>
      <c r="GD37" s="122">
        <v>12.163333685044254</v>
      </c>
      <c r="GE37" s="122">
        <v>179442.69125965712</v>
      </c>
      <c r="GF37" s="122">
        <v>11.685391379875572</v>
      </c>
      <c r="GG37" s="122">
        <v>181181.55880439706</v>
      </c>
      <c r="GH37" s="122">
        <v>12.18801034766534</v>
      </c>
      <c r="GI37" s="122">
        <v>182357.90249300702</v>
      </c>
      <c r="GJ37" s="122">
        <v>12.046973628514294</v>
      </c>
      <c r="GK37" s="122">
        <v>181389.01207070702</v>
      </c>
      <c r="GL37" s="122">
        <v>11.700300137856182</v>
      </c>
      <c r="GM37" s="122">
        <v>185478.80795153684</v>
      </c>
      <c r="GN37" s="122">
        <v>11.545800861183622</v>
      </c>
      <c r="GO37" s="122">
        <v>186502.37938061688</v>
      </c>
      <c r="GP37" s="122">
        <v>11.167770947278594</v>
      </c>
      <c r="GQ37" s="122">
        <v>184610.4704572669</v>
      </c>
      <c r="GR37" s="122">
        <v>10.823678963012451</v>
      </c>
      <c r="GS37" s="122">
        <v>181706.17298833706</v>
      </c>
      <c r="GT37" s="122">
        <v>10.54001823280684</v>
      </c>
      <c r="GU37" s="122">
        <v>181359.16122702335</v>
      </c>
      <c r="GV37" s="122">
        <v>10.504417702558275</v>
      </c>
      <c r="GW37" s="122">
        <v>180844.6260875251</v>
      </c>
      <c r="GX37" s="122">
        <v>10.162297583065021</v>
      </c>
      <c r="GY37" s="122">
        <v>181326.86441389497</v>
      </c>
      <c r="GZ37" s="122">
        <v>9.9464217636172876</v>
      </c>
      <c r="HA37" s="122">
        <v>178850.02960016701</v>
      </c>
      <c r="HB37" s="122">
        <v>9.7198689022870628</v>
      </c>
      <c r="HC37" s="122">
        <v>182039.83221598668</v>
      </c>
      <c r="HD37" s="122">
        <v>9.4383602037804994</v>
      </c>
      <c r="HE37" s="122">
        <v>182789.16046732658</v>
      </c>
      <c r="HF37" s="122">
        <v>9.234718167778853</v>
      </c>
      <c r="HG37" s="122">
        <v>183929.48581869694</v>
      </c>
      <c r="HH37" s="122">
        <v>9.1549570336247807</v>
      </c>
      <c r="HI37" s="122">
        <v>186182.65630263678</v>
      </c>
      <c r="HJ37" s="122">
        <v>8.8584496427731487</v>
      </c>
      <c r="HK37" s="122">
        <v>192087.91932785124</v>
      </c>
      <c r="HL37" s="122">
        <v>8.6728024921318223</v>
      </c>
      <c r="HM37" s="122">
        <v>192077.78391422701</v>
      </c>
      <c r="HN37" s="122">
        <v>8.4952058091258937</v>
      </c>
      <c r="HO37" s="122">
        <v>195737.17986591705</v>
      </c>
      <c r="HP37" s="122">
        <v>8.2399867840685737</v>
      </c>
      <c r="HQ37" s="122">
        <v>198381.75230114692</v>
      </c>
      <c r="HR37" s="122">
        <v>8.2087707652246582</v>
      </c>
      <c r="HS37" s="122">
        <v>193623.60115829788</v>
      </c>
      <c r="HT37" s="122">
        <v>8.0566474913353687</v>
      </c>
      <c r="HU37" s="122">
        <v>195842.4335715069</v>
      </c>
      <c r="HV37" s="122">
        <v>7.9863513820713932</v>
      </c>
      <c r="HW37" s="122">
        <v>200107.47085989534</v>
      </c>
      <c r="HX37" s="122">
        <v>7.8795106688435332</v>
      </c>
      <c r="HY37" s="122">
        <v>200505.32086458508</v>
      </c>
    </row>
    <row r="38" spans="1:233" x14ac:dyDescent="0.55000000000000004">
      <c r="B38" s="21">
        <v>14</v>
      </c>
      <c r="C38" s="28" t="s">
        <v>256</v>
      </c>
      <c r="D38" s="122">
        <v>12.944191752172436</v>
      </c>
      <c r="E38" s="122">
        <v>33232.548826110346</v>
      </c>
      <c r="F38" s="122">
        <v>11.830033935981401</v>
      </c>
      <c r="G38" s="122">
        <v>54672.623686373001</v>
      </c>
      <c r="H38" s="122">
        <v>10.693070483482826</v>
      </c>
      <c r="I38" s="122">
        <v>77717.10678169012</v>
      </c>
      <c r="J38" s="122">
        <v>9.8140422664938782</v>
      </c>
      <c r="K38" s="122">
        <v>95766.150341743793</v>
      </c>
      <c r="L38" s="122">
        <v>11.940451952102931</v>
      </c>
      <c r="M38" s="122">
        <v>134320.37926279867</v>
      </c>
      <c r="N38" s="122">
        <v>12.826114354745553</v>
      </c>
      <c r="O38" s="122">
        <v>141258.58525222939</v>
      </c>
      <c r="P38" s="122">
        <v>9.9070034239001323</v>
      </c>
      <c r="Q38" s="122">
        <v>100167.30763676179</v>
      </c>
      <c r="R38" s="122">
        <v>9.7063555982963248</v>
      </c>
      <c r="S38" s="122">
        <v>102035.77155436731</v>
      </c>
      <c r="T38" s="122">
        <v>9.6074693052234661</v>
      </c>
      <c r="U38" s="122">
        <v>103691.56514534536</v>
      </c>
      <c r="V38" s="122">
        <v>9.7199692300947778</v>
      </c>
      <c r="W38" s="122">
        <v>108331.72079766063</v>
      </c>
      <c r="X38" s="122">
        <v>9.7881999589529656</v>
      </c>
      <c r="Y38" s="122">
        <v>113864.49777160591</v>
      </c>
      <c r="Z38" s="122">
        <v>10.147809256468257</v>
      </c>
      <c r="AA38" s="122">
        <v>122254.54864207302</v>
      </c>
      <c r="AB38" s="122">
        <v>10.905730876337932</v>
      </c>
      <c r="AC38" s="122">
        <v>129858.98084375053</v>
      </c>
      <c r="AD38" s="122">
        <v>11.106870707715228</v>
      </c>
      <c r="AE38" s="122">
        <v>119378.38066172166</v>
      </c>
      <c r="AF38" s="122">
        <v>11.242884555034859</v>
      </c>
      <c r="AG38" s="122">
        <v>123171.60825416882</v>
      </c>
      <c r="AH38" s="122">
        <v>11.469101838977187</v>
      </c>
      <c r="AI38" s="122">
        <v>124523.91913302135</v>
      </c>
      <c r="AJ38" s="122">
        <v>11.868338960486815</v>
      </c>
      <c r="AK38" s="122">
        <v>125697.74498689572</v>
      </c>
      <c r="AL38" s="122">
        <v>11.940451952102931</v>
      </c>
      <c r="AM38" s="122">
        <v>134320.37926279867</v>
      </c>
      <c r="AN38" s="122">
        <v>12.07253480367301</v>
      </c>
      <c r="AO38" s="122">
        <v>131965.71780152721</v>
      </c>
      <c r="AP38" s="122">
        <v>12.349934092009805</v>
      </c>
      <c r="AQ38" s="122">
        <v>131064.34011595012</v>
      </c>
      <c r="AR38" s="122">
        <v>11.933661222531887</v>
      </c>
      <c r="AS38" s="122">
        <v>130419.62629814562</v>
      </c>
      <c r="AT38" s="122">
        <v>12.180146212328237</v>
      </c>
      <c r="AU38" s="122">
        <v>131743.60195825563</v>
      </c>
      <c r="AV38" s="122">
        <v>11.961569704917169</v>
      </c>
      <c r="AW38" s="122">
        <v>134502.61806996181</v>
      </c>
      <c r="AX38" s="122">
        <v>12.446751080929504</v>
      </c>
      <c r="AY38" s="122">
        <v>138299.69753040408</v>
      </c>
      <c r="AZ38" s="122">
        <v>12.512860021909232</v>
      </c>
      <c r="BA38" s="122">
        <v>139857.14179269644</v>
      </c>
      <c r="BB38" s="122">
        <v>12.499211892733639</v>
      </c>
      <c r="BC38" s="122">
        <v>136089.26845429625</v>
      </c>
      <c r="BD38" s="122">
        <v>12.613770095490516</v>
      </c>
      <c r="BE38" s="122">
        <v>132275.90034937614</v>
      </c>
      <c r="BF38" s="122">
        <v>12.765992247347423</v>
      </c>
      <c r="BG38" s="122">
        <v>137160.42824111614</v>
      </c>
      <c r="BH38" s="122">
        <v>12.921014910689967</v>
      </c>
      <c r="BI38" s="122">
        <v>134124.82245945773</v>
      </c>
      <c r="BJ38" s="122">
        <v>12.826114354745553</v>
      </c>
      <c r="BK38" s="122">
        <v>141258.58525222939</v>
      </c>
      <c r="BL38" s="122">
        <v>12.919245235992921</v>
      </c>
      <c r="BM38" s="122">
        <v>132970.53799648717</v>
      </c>
      <c r="BN38" s="122">
        <v>12.825658502823254</v>
      </c>
      <c r="BO38" s="122">
        <v>134334.7647085452</v>
      </c>
      <c r="BP38" s="122">
        <v>12.752733599504122</v>
      </c>
      <c r="BQ38" s="122">
        <v>135685.41799782621</v>
      </c>
      <c r="BR38" s="122">
        <v>12.7721520421587</v>
      </c>
      <c r="BS38" s="122">
        <v>135486.98285499268</v>
      </c>
      <c r="BT38" s="122">
        <v>12.601267328875037</v>
      </c>
      <c r="BU38" s="122">
        <v>141072.45063230538</v>
      </c>
      <c r="BV38" s="122">
        <v>12.668752652841011</v>
      </c>
      <c r="BW38" s="122">
        <v>142641.745929005</v>
      </c>
      <c r="BX38" s="122">
        <v>12.729670052854207</v>
      </c>
      <c r="BY38" s="122">
        <v>140788.26036612244</v>
      </c>
      <c r="BZ38" s="122">
        <v>12.618968755127783</v>
      </c>
      <c r="CA38" s="122">
        <v>140421.77603355178</v>
      </c>
      <c r="CB38" s="122">
        <v>12.529616564969196</v>
      </c>
      <c r="CC38" s="122">
        <v>139632.01110013208</v>
      </c>
      <c r="CD38" s="122">
        <v>12.519899796007243</v>
      </c>
      <c r="CE38" s="122">
        <v>137454.46713619796</v>
      </c>
      <c r="CF38" s="122">
        <v>12.451778967188455</v>
      </c>
      <c r="CG38" s="122">
        <v>135939.80192142696</v>
      </c>
      <c r="CH38" s="122">
        <v>12.420575271177619</v>
      </c>
      <c r="CI38" s="122">
        <v>137348.35160734996</v>
      </c>
      <c r="CJ38" s="122">
        <v>12.416737331842553</v>
      </c>
      <c r="CK38" s="122">
        <v>134827.91942238147</v>
      </c>
      <c r="CL38" s="122">
        <v>12.285170517176109</v>
      </c>
      <c r="CM38" s="122">
        <v>133583.95343119386</v>
      </c>
      <c r="CN38" s="122">
        <v>12.389149293575416</v>
      </c>
      <c r="CO38" s="122">
        <v>134816.08387308993</v>
      </c>
      <c r="CP38" s="122">
        <v>12.482516650206113</v>
      </c>
      <c r="CQ38" s="122">
        <v>135331.20789872203</v>
      </c>
      <c r="CR38" s="122">
        <v>12.456096119276614</v>
      </c>
      <c r="CS38" s="122">
        <v>135948.18194898113</v>
      </c>
      <c r="CT38" s="122">
        <v>12.393109551842342</v>
      </c>
      <c r="CU38" s="122">
        <v>138651.97868395943</v>
      </c>
      <c r="CV38" s="122">
        <v>12.386686366990387</v>
      </c>
      <c r="CW38" s="122">
        <v>137592.75483637283</v>
      </c>
      <c r="CX38" s="122">
        <v>12.345579707900407</v>
      </c>
      <c r="CY38" s="122">
        <v>137288.61998338785</v>
      </c>
      <c r="CZ38" s="122">
        <v>12.340623134532271</v>
      </c>
      <c r="DA38" s="122">
        <v>137251.12432412687</v>
      </c>
      <c r="DB38" s="122">
        <v>12.224756429306787</v>
      </c>
      <c r="DC38" s="122">
        <v>133881.41469772681</v>
      </c>
      <c r="DD38" s="122">
        <v>11.844627385475215</v>
      </c>
      <c r="DE38" s="122">
        <v>131117.71344391734</v>
      </c>
      <c r="DF38" s="122">
        <v>11.42791250875301</v>
      </c>
      <c r="DG38" s="122">
        <v>137942.86562995936</v>
      </c>
      <c r="DH38" s="122">
        <v>11.108876001995386</v>
      </c>
      <c r="DI38" s="122">
        <v>135033.52027605733</v>
      </c>
      <c r="DJ38" s="122">
        <v>10.894707551483831</v>
      </c>
      <c r="DK38" s="122">
        <v>141855.37319638609</v>
      </c>
      <c r="DL38" s="122">
        <v>10.43986953311105</v>
      </c>
      <c r="DM38" s="122">
        <v>146752.56211963983</v>
      </c>
      <c r="DN38" s="122">
        <v>10.130723508263237</v>
      </c>
      <c r="DO38" s="122">
        <v>139973.5204495299</v>
      </c>
      <c r="DP38" s="122">
        <v>9.9536084570177223</v>
      </c>
      <c r="DQ38" s="122">
        <v>145563.21173671077</v>
      </c>
      <c r="DR38" s="122">
        <v>9.7304309761664509</v>
      </c>
      <c r="DS38" s="122">
        <v>155674.61128542374</v>
      </c>
      <c r="DT38" s="122">
        <v>9.5060615309873828</v>
      </c>
      <c r="DU38" s="122">
        <v>159140.0398203542</v>
      </c>
      <c r="DV38" s="122">
        <v>9.3939795667966219</v>
      </c>
      <c r="DW38" s="122">
        <v>163781.29995363418</v>
      </c>
      <c r="DX38" s="122">
        <v>9.1255800822733146</v>
      </c>
      <c r="DY38" s="122">
        <v>175655.40019679282</v>
      </c>
      <c r="DZ38" s="122">
        <v>8.9781287980946747</v>
      </c>
      <c r="EA38" s="122">
        <v>175925.65436849475</v>
      </c>
      <c r="EB38" s="122">
        <v>9.0610959132036495</v>
      </c>
      <c r="EC38" s="122">
        <v>195817.12959821493</v>
      </c>
      <c r="ED38" s="122">
        <v>9.06023718088767</v>
      </c>
      <c r="EE38" s="122">
        <v>205412.28867218056</v>
      </c>
      <c r="EF38" s="122">
        <v>9.2355801381981042</v>
      </c>
      <c r="EG38" s="122">
        <v>206049.36821414917</v>
      </c>
      <c r="EH38" s="122">
        <v>9.2500593060195797</v>
      </c>
      <c r="EI38" s="122">
        <v>204287.91378991079</v>
      </c>
      <c r="EJ38" s="122">
        <v>9.5068261052399627</v>
      </c>
      <c r="EK38" s="122">
        <v>544485.908241731</v>
      </c>
      <c r="EL38" s="122">
        <v>9.8023595560363592</v>
      </c>
      <c r="EM38" s="122">
        <v>642724.97716341366</v>
      </c>
      <c r="EN38" s="122">
        <v>9.9569687318985647</v>
      </c>
      <c r="EO38" s="122">
        <v>700857.47512306587</v>
      </c>
      <c r="EP38" s="122">
        <v>10.092916759525263</v>
      </c>
      <c r="EQ38" s="122">
        <v>728179.40345882834</v>
      </c>
      <c r="ER38" s="122">
        <v>11.094357031441628</v>
      </c>
      <c r="ES38" s="122">
        <v>732714.85692815541</v>
      </c>
      <c r="ET38" s="122">
        <v>11.257939657740291</v>
      </c>
      <c r="EU38" s="122">
        <v>732809.85982784932</v>
      </c>
      <c r="EV38" s="122">
        <v>11.426596908710335</v>
      </c>
      <c r="EW38" s="122">
        <v>766922.03601506469</v>
      </c>
      <c r="EX38" s="122">
        <v>12.036691474003748</v>
      </c>
      <c r="EY38" s="122">
        <v>792697.843998492</v>
      </c>
      <c r="EZ38" s="122">
        <v>12.092830855227264</v>
      </c>
      <c r="FA38" s="122">
        <v>787595.28975353751</v>
      </c>
      <c r="FB38" s="122">
        <v>12.021963137107569</v>
      </c>
      <c r="FC38" s="122">
        <v>757389.55420588399</v>
      </c>
      <c r="FD38" s="122">
        <v>12.595860348365273</v>
      </c>
      <c r="FE38" s="122">
        <v>746424.59152019792</v>
      </c>
      <c r="FF38" s="122">
        <v>12.680304151085126</v>
      </c>
      <c r="FG38" s="122">
        <v>758510.75878149248</v>
      </c>
      <c r="FH38" s="122">
        <v>12.734051555048454</v>
      </c>
      <c r="FI38" s="122">
        <v>764520.33351215313</v>
      </c>
      <c r="FJ38" s="122">
        <v>13.298757029542603</v>
      </c>
      <c r="FK38" s="122">
        <v>761028.02364629996</v>
      </c>
      <c r="FL38" s="122">
        <v>13.331792549999735</v>
      </c>
      <c r="FM38" s="122">
        <v>754764.92158393713</v>
      </c>
      <c r="FN38" s="122">
        <v>13.045314223263095</v>
      </c>
      <c r="FO38" s="122">
        <v>743380.87689638638</v>
      </c>
      <c r="FP38" s="122">
        <v>13.836749482675168</v>
      </c>
      <c r="FQ38" s="122">
        <v>746789.92308109242</v>
      </c>
      <c r="FR38" s="122">
        <v>13.827992701332956</v>
      </c>
      <c r="FS38" s="122">
        <v>747889.49757426651</v>
      </c>
      <c r="FT38" s="122">
        <v>13.417298501821984</v>
      </c>
      <c r="FU38" s="122">
        <v>761716.20994834241</v>
      </c>
      <c r="FV38" s="122">
        <v>13.443694850014232</v>
      </c>
      <c r="FW38" s="122">
        <v>759346.15538495523</v>
      </c>
      <c r="FX38" s="122">
        <v>13.208290834264712</v>
      </c>
      <c r="FY38" s="122">
        <v>770991.62443179672</v>
      </c>
      <c r="FZ38" s="122">
        <v>12.974259455682908</v>
      </c>
      <c r="GA38" s="122">
        <v>728784.63771218958</v>
      </c>
      <c r="GB38" s="122">
        <v>12.438071012057303</v>
      </c>
      <c r="GC38" s="122">
        <v>787996.26381253824</v>
      </c>
      <c r="GD38" s="122">
        <v>12.788439318690649</v>
      </c>
      <c r="GE38" s="122">
        <v>796879.82859958115</v>
      </c>
      <c r="GF38" s="122">
        <v>12.206982376932489</v>
      </c>
      <c r="GG38" s="122">
        <v>794534.29097812041</v>
      </c>
      <c r="GH38" s="122">
        <v>12.909219490381416</v>
      </c>
      <c r="GI38" s="122">
        <v>804545.50527339871</v>
      </c>
      <c r="GJ38" s="122">
        <v>12.756574485712152</v>
      </c>
      <c r="GK38" s="122">
        <v>801485.20569207589</v>
      </c>
      <c r="GL38" s="122">
        <v>12.275177556709941</v>
      </c>
      <c r="GM38" s="122">
        <v>813759.29149822646</v>
      </c>
      <c r="GN38" s="122">
        <v>11.966263403403604</v>
      </c>
      <c r="GO38" s="122">
        <v>815249.70282617642</v>
      </c>
      <c r="GP38" s="122">
        <v>11.672199756562401</v>
      </c>
      <c r="GQ38" s="122">
        <v>812410.56055152568</v>
      </c>
      <c r="GR38" s="122">
        <v>11.341503672208203</v>
      </c>
      <c r="GS38" s="122">
        <v>808778.2924870234</v>
      </c>
      <c r="GT38" s="122">
        <v>11.105963990151233</v>
      </c>
      <c r="GU38" s="122">
        <v>810455.08031805581</v>
      </c>
      <c r="GV38" s="122">
        <v>10.916293098792682</v>
      </c>
      <c r="GW38" s="122">
        <v>818235.57604976557</v>
      </c>
      <c r="GX38" s="122">
        <v>10.750480052161487</v>
      </c>
      <c r="GY38" s="122">
        <v>841140.70727997588</v>
      </c>
      <c r="GZ38" s="122">
        <v>10.553804556219511</v>
      </c>
      <c r="HA38" s="122">
        <v>842602.27958552504</v>
      </c>
      <c r="HB38" s="122">
        <v>10.299241904707783</v>
      </c>
      <c r="HC38" s="122">
        <v>850030.42946601578</v>
      </c>
      <c r="HD38" s="122">
        <v>10.062937117775599</v>
      </c>
      <c r="HE38" s="122">
        <v>854688.38944578683</v>
      </c>
      <c r="HF38" s="122">
        <v>9.9476850606906666</v>
      </c>
      <c r="HG38" s="122">
        <v>858527.8452328844</v>
      </c>
      <c r="HH38" s="122">
        <v>9.6459716132546358</v>
      </c>
      <c r="HI38" s="122">
        <v>868497.38138422952</v>
      </c>
      <c r="HJ38" s="122">
        <v>9.3345693330634791</v>
      </c>
      <c r="HK38" s="122">
        <v>886342.47450531647</v>
      </c>
      <c r="HL38" s="122">
        <v>9.1861692150137237</v>
      </c>
      <c r="HM38" s="122">
        <v>889515.62543018966</v>
      </c>
      <c r="HN38" s="122">
        <v>9.0254790837536998</v>
      </c>
      <c r="HO38" s="122">
        <v>899687.77789004205</v>
      </c>
      <c r="HP38" s="122">
        <v>8.8054830491323592</v>
      </c>
      <c r="HQ38" s="122">
        <v>910101.02595610765</v>
      </c>
      <c r="HR38" s="122">
        <v>8.7805347978687802</v>
      </c>
      <c r="HS38" s="122">
        <v>917580.17405089154</v>
      </c>
      <c r="HT38" s="122">
        <v>8.6882262785353994</v>
      </c>
      <c r="HU38" s="122">
        <v>937057.90384818893</v>
      </c>
      <c r="HV38" s="122">
        <v>8.6122274544959119</v>
      </c>
      <c r="HW38" s="122">
        <v>960782.22000265215</v>
      </c>
      <c r="HX38" s="122">
        <v>8.496409512431077</v>
      </c>
      <c r="HY38" s="122">
        <v>961208.42614517873</v>
      </c>
    </row>
    <row r="39" spans="1:233" x14ac:dyDescent="0.55000000000000004">
      <c r="B39" s="21">
        <v>15</v>
      </c>
      <c r="C39" s="28" t="s">
        <v>257</v>
      </c>
      <c r="D39" s="122">
        <v>5.0746719765770756</v>
      </c>
      <c r="E39" s="122">
        <v>689.70452318000002</v>
      </c>
      <c r="F39" s="122">
        <v>4.433454701029925</v>
      </c>
      <c r="G39" s="122">
        <v>1096.0217976900001</v>
      </c>
      <c r="H39" s="122">
        <v>4.3759634195653652</v>
      </c>
      <c r="I39" s="122">
        <v>1621.8062500199999</v>
      </c>
      <c r="J39" s="122">
        <v>3.0427376258685781</v>
      </c>
      <c r="K39" s="122">
        <v>1513.94299578</v>
      </c>
      <c r="L39" s="122">
        <v>4.1392323521481407</v>
      </c>
      <c r="M39" s="122">
        <v>1506.86307035</v>
      </c>
      <c r="N39" s="122">
        <v>3.431006512457512</v>
      </c>
      <c r="O39" s="122">
        <v>1499.9172050300001</v>
      </c>
      <c r="P39" s="122">
        <v>3.2697991717917096</v>
      </c>
      <c r="Q39" s="122">
        <v>1512.4305777800002</v>
      </c>
      <c r="R39" s="122">
        <v>3.0390932762900902</v>
      </c>
      <c r="S39" s="122">
        <v>1473.3031456000001</v>
      </c>
      <c r="T39" s="122">
        <v>3.0602574024102758</v>
      </c>
      <c r="U39" s="122">
        <v>1478.0040544000001</v>
      </c>
      <c r="V39" s="122">
        <v>3.1638473645563003</v>
      </c>
      <c r="W39" s="122">
        <v>1473.3113559300002</v>
      </c>
      <c r="X39" s="122">
        <v>3.1638122759667158</v>
      </c>
      <c r="Y39" s="122">
        <v>1473.3065852100001</v>
      </c>
      <c r="Z39" s="122">
        <v>3.0358400771729972</v>
      </c>
      <c r="AA39" s="122">
        <v>1473.0007202600002</v>
      </c>
      <c r="AB39" s="122">
        <v>3.0368422117814173</v>
      </c>
      <c r="AC39" s="122">
        <v>1473.0007202600002</v>
      </c>
      <c r="AD39" s="122">
        <v>4.1395416982664042</v>
      </c>
      <c r="AE39" s="122">
        <v>1482.2540566700002</v>
      </c>
      <c r="AF39" s="122">
        <v>4.1395416982664042</v>
      </c>
      <c r="AG39" s="122">
        <v>1482.2540566700002</v>
      </c>
      <c r="AH39" s="122">
        <v>3.0919181578128088</v>
      </c>
      <c r="AI39" s="122">
        <v>1479.74359187</v>
      </c>
      <c r="AJ39" s="122">
        <v>4.133364488732143</v>
      </c>
      <c r="AK39" s="122">
        <v>1479.74828634</v>
      </c>
      <c r="AL39" s="122">
        <v>4.1392323521481407</v>
      </c>
      <c r="AM39" s="122">
        <v>1506.86307035</v>
      </c>
      <c r="AN39" s="122">
        <v>4.1262945222930929</v>
      </c>
      <c r="AO39" s="122">
        <v>1508.0630566700002</v>
      </c>
      <c r="AP39" s="122">
        <v>3.0666434120965929</v>
      </c>
      <c r="AQ39" s="122">
        <v>1506.96305667</v>
      </c>
      <c r="AR39" s="122">
        <v>2.3449238752355899</v>
      </c>
      <c r="AS39" s="122">
        <v>1518.6930566700003</v>
      </c>
      <c r="AT39" s="122">
        <v>3.0781498771621796</v>
      </c>
      <c r="AU39" s="122">
        <v>1497.3300566700002</v>
      </c>
      <c r="AV39" s="122">
        <v>3.0776154490472076</v>
      </c>
      <c r="AW39" s="122">
        <v>1507.6400566700001</v>
      </c>
      <c r="AX39" s="122">
        <v>3.0776154490472076</v>
      </c>
      <c r="AY39" s="122">
        <v>1507.6400566700001</v>
      </c>
      <c r="AZ39" s="122">
        <v>3.0776154490472076</v>
      </c>
      <c r="BA39" s="122">
        <v>1507.6400566700001</v>
      </c>
      <c r="BB39" s="122">
        <v>3.4250769303752153</v>
      </c>
      <c r="BC39" s="122">
        <v>1507.6400566700001</v>
      </c>
      <c r="BD39" s="122">
        <v>3.4316866062471236</v>
      </c>
      <c r="BE39" s="122">
        <v>1508.6229629700001</v>
      </c>
      <c r="BF39" s="122">
        <v>3.4235398498531806</v>
      </c>
      <c r="BG39" s="122">
        <v>1503.2536489699999</v>
      </c>
      <c r="BH39" s="122">
        <v>3.3727628641850487</v>
      </c>
      <c r="BI39" s="122">
        <v>1497.44680234</v>
      </c>
      <c r="BJ39" s="122">
        <v>3.431006512457512</v>
      </c>
      <c r="BK39" s="122">
        <v>1499.9172050300001</v>
      </c>
      <c r="BL39" s="122">
        <v>3.431006566689752</v>
      </c>
      <c r="BM39" s="122">
        <v>1499.9170163000001</v>
      </c>
      <c r="BN39" s="122">
        <v>3.4310065666783722</v>
      </c>
      <c r="BO39" s="122">
        <v>1499.91701627</v>
      </c>
      <c r="BP39" s="122">
        <v>3.4311026428646718</v>
      </c>
      <c r="BQ39" s="122">
        <v>1499.8750162799997</v>
      </c>
      <c r="BR39" s="122">
        <v>3.4309505617053535</v>
      </c>
      <c r="BS39" s="122">
        <v>1499.8523624199997</v>
      </c>
      <c r="BT39" s="122">
        <v>3.431332034511835</v>
      </c>
      <c r="BU39" s="122">
        <v>1499.8523624199997</v>
      </c>
      <c r="BV39" s="122">
        <v>4.0072736084875382</v>
      </c>
      <c r="BW39" s="122">
        <v>1500.4943624199998</v>
      </c>
      <c r="BX39" s="122">
        <v>4.9177837444854209</v>
      </c>
      <c r="BY39" s="122">
        <v>1499.8943624199999</v>
      </c>
      <c r="BZ39" s="122">
        <v>4.9518098576236067</v>
      </c>
      <c r="CA39" s="122">
        <v>1503.6912174199999</v>
      </c>
      <c r="CB39" s="122">
        <v>4.9194850603578786</v>
      </c>
      <c r="CC39" s="122">
        <v>1513.8002791699998</v>
      </c>
      <c r="CD39" s="122">
        <v>4.9162699836532111</v>
      </c>
      <c r="CE39" s="122">
        <v>1513.0002791699999</v>
      </c>
      <c r="CF39" s="122">
        <v>4.902914282967231</v>
      </c>
      <c r="CG39" s="122">
        <v>1509.6302791699998</v>
      </c>
      <c r="CH39" s="122">
        <v>4.9156969586091135</v>
      </c>
      <c r="CI39" s="122">
        <v>1512.81435549</v>
      </c>
      <c r="CJ39" s="122">
        <v>4.9156969586091135</v>
      </c>
      <c r="CK39" s="122">
        <v>1512.81435549</v>
      </c>
      <c r="CL39" s="122">
        <v>4.9156969586091135</v>
      </c>
      <c r="CM39" s="122">
        <v>1512.81435549</v>
      </c>
      <c r="CN39" s="122">
        <v>4.9029849043529303</v>
      </c>
      <c r="CO39" s="122">
        <v>1509.55735549</v>
      </c>
      <c r="CP39" s="122">
        <v>4.9031666536329439</v>
      </c>
      <c r="CQ39" s="122">
        <v>1509.55735549</v>
      </c>
      <c r="CR39" s="122">
        <v>4.9030549913881112</v>
      </c>
      <c r="CS39" s="122">
        <v>1509.53932173</v>
      </c>
      <c r="CT39" s="122">
        <v>4.8965353836496934</v>
      </c>
      <c r="CU39" s="122">
        <v>1508.4079116399998</v>
      </c>
      <c r="CV39" s="122">
        <v>4.8843033335312089</v>
      </c>
      <c r="CW39" s="122">
        <v>1508.4079116399998</v>
      </c>
      <c r="CX39" s="122">
        <v>4.8843033335312089</v>
      </c>
      <c r="CY39" s="122">
        <v>1508.4079116399998</v>
      </c>
      <c r="CZ39" s="122">
        <v>4.8825021923178689</v>
      </c>
      <c r="DA39" s="122">
        <v>1510.98791164</v>
      </c>
      <c r="DB39" s="122">
        <v>4.3091025024026646</v>
      </c>
      <c r="DC39" s="122">
        <v>1510.98791164</v>
      </c>
      <c r="DD39" s="122">
        <v>4.3057904602564232</v>
      </c>
      <c r="DE39" s="122">
        <v>1527.3587808999998</v>
      </c>
      <c r="DF39" s="122">
        <v>4.3155002149594317</v>
      </c>
      <c r="DG39" s="122">
        <v>1538.8858334500001</v>
      </c>
      <c r="DH39" s="122">
        <v>4.2306607827019658</v>
      </c>
      <c r="DI39" s="122">
        <v>1538.97393345</v>
      </c>
      <c r="DJ39" s="122">
        <v>5.0951885760368709</v>
      </c>
      <c r="DK39" s="122">
        <v>1423.1106001200001</v>
      </c>
      <c r="DL39" s="122">
        <v>5.7777349858054388</v>
      </c>
      <c r="DM39" s="122">
        <v>1167.5210918100001</v>
      </c>
      <c r="DN39" s="122">
        <v>5.2956744960486812</v>
      </c>
      <c r="DO39" s="122">
        <v>1422.7163126099999</v>
      </c>
      <c r="DP39" s="122">
        <v>4.3434922244886582</v>
      </c>
      <c r="DQ39" s="122">
        <v>1422.7167126100001</v>
      </c>
      <c r="DR39" s="122">
        <v>3.9787725083199792</v>
      </c>
      <c r="DS39" s="122">
        <v>1425.4255334499999</v>
      </c>
      <c r="DT39" s="122">
        <v>3.9268906192305111</v>
      </c>
      <c r="DU39" s="122">
        <v>1426.8559334499998</v>
      </c>
      <c r="DV39" s="122">
        <v>3.8144978026090213</v>
      </c>
      <c r="DW39" s="122">
        <v>1421.34893345</v>
      </c>
      <c r="DX39" s="122">
        <v>3.8001147510507471</v>
      </c>
      <c r="DY39" s="122">
        <v>1427.8036334500002</v>
      </c>
      <c r="DZ39" s="122">
        <v>3.7796664911074362</v>
      </c>
      <c r="EA39" s="122">
        <v>1422.6952329600001</v>
      </c>
      <c r="EB39" s="122">
        <v>4.0517934421988935</v>
      </c>
      <c r="EC39" s="122">
        <v>1503.6912016800002</v>
      </c>
      <c r="ED39" s="122">
        <v>4.0521477319401979</v>
      </c>
      <c r="EE39" s="122">
        <v>1493.4751798700001</v>
      </c>
      <c r="EF39" s="122">
        <v>3.1001039059977544</v>
      </c>
      <c r="EG39" s="122">
        <v>1975.6678116400001</v>
      </c>
      <c r="EH39" s="122">
        <v>4.1368619437482126</v>
      </c>
      <c r="EI39" s="122">
        <v>1362.2873180700001</v>
      </c>
      <c r="EJ39" s="122">
        <v>4.1522749403216954</v>
      </c>
      <c r="EK39" s="122">
        <v>1363.5170972699998</v>
      </c>
      <c r="EL39" s="122">
        <v>4.163948584687386</v>
      </c>
      <c r="EM39" s="122">
        <v>1363.4170972699999</v>
      </c>
      <c r="EN39" s="122">
        <v>4.4141570193109008</v>
      </c>
      <c r="EO39" s="122">
        <v>1363.2170972699998</v>
      </c>
      <c r="EP39" s="122">
        <v>4.4835679324578601</v>
      </c>
      <c r="EQ39" s="122">
        <v>1370.2920972700001</v>
      </c>
      <c r="ER39" s="122">
        <v>4.4371112655468252</v>
      </c>
      <c r="ES39" s="122">
        <v>1362.28709727</v>
      </c>
      <c r="ET39" s="122">
        <v>4.5717560470997993</v>
      </c>
      <c r="EU39" s="122">
        <v>1297.8263357299998</v>
      </c>
      <c r="EV39" s="122">
        <v>4.5991364240062964</v>
      </c>
      <c r="EW39" s="122">
        <v>1297.8264569299999</v>
      </c>
      <c r="EX39" s="122">
        <v>4.6060522183388457</v>
      </c>
      <c r="EY39" s="122">
        <v>1081.22656349</v>
      </c>
      <c r="EZ39" s="122">
        <v>4.6498311555773926</v>
      </c>
      <c r="FA39" s="122">
        <v>1086.1264569299999</v>
      </c>
      <c r="FB39" s="122">
        <v>4.6060551793388669</v>
      </c>
      <c r="FC39" s="122">
        <v>1081.22453632</v>
      </c>
      <c r="FD39" s="122">
        <v>6.4274957693625971</v>
      </c>
      <c r="FE39" s="122">
        <v>1081.2244266800001</v>
      </c>
      <c r="FF39" s="122">
        <v>4.640184082974347</v>
      </c>
      <c r="FG39" s="122">
        <v>1081.2244266800001</v>
      </c>
      <c r="FH39" s="122">
        <v>4.6819002300462076</v>
      </c>
      <c r="FI39" s="122">
        <v>1081.22250998</v>
      </c>
      <c r="FJ39" s="122">
        <v>4.7425753219905467</v>
      </c>
      <c r="FK39" s="122">
        <v>1081.2225099700001</v>
      </c>
      <c r="FL39" s="122">
        <v>3.5</v>
      </c>
      <c r="FM39" s="122">
        <v>1081.2225099700001</v>
      </c>
      <c r="FN39" s="122">
        <v>3.5214962864459247</v>
      </c>
      <c r="FO39" s="122">
        <v>1083.7602948399999</v>
      </c>
      <c r="FP39" s="122">
        <v>3.5119277638545019</v>
      </c>
      <c r="FQ39" s="122">
        <v>1083.75720409</v>
      </c>
      <c r="FR39" s="122">
        <v>3.523007814273881</v>
      </c>
      <c r="FS39" s="122">
        <v>1083.82299476</v>
      </c>
      <c r="FT39" s="122">
        <v>3.5010484279413197</v>
      </c>
      <c r="FU39" s="122">
        <v>1081.3585313000001</v>
      </c>
      <c r="FV39" s="122">
        <v>3.5010355162671472</v>
      </c>
      <c r="FW39" s="122">
        <v>1081.3585313199999</v>
      </c>
      <c r="FX39" s="122">
        <v>3.5008960701863003</v>
      </c>
      <c r="FY39" s="122">
        <v>1081.3585313000001</v>
      </c>
      <c r="FZ39" s="122">
        <v>3.6702980328925014</v>
      </c>
      <c r="GA39" s="122">
        <v>1081.5758371300001</v>
      </c>
      <c r="GB39" s="122">
        <v>3.5008037044245306</v>
      </c>
      <c r="GC39" s="122">
        <v>1176.1008879000001</v>
      </c>
      <c r="GD39" s="122">
        <v>3.5008678108335771</v>
      </c>
      <c r="GE39" s="122">
        <v>1176.1008879000001</v>
      </c>
      <c r="GF39" s="122">
        <v>3.5008595007533163</v>
      </c>
      <c r="GG39" s="122">
        <v>1176.10087449</v>
      </c>
      <c r="GH39" s="122">
        <v>3.5008357576385838</v>
      </c>
      <c r="GI39" s="122">
        <v>1176.10087449</v>
      </c>
      <c r="GJ39" s="122">
        <v>3.5007858970976455</v>
      </c>
      <c r="GK39" s="122">
        <v>1176.10087449</v>
      </c>
      <c r="GL39" s="122">
        <v>3.5007787729083963</v>
      </c>
      <c r="GM39" s="122">
        <v>1176.1027695299999</v>
      </c>
      <c r="GN39" s="122">
        <v>3.5007194154104417</v>
      </c>
      <c r="GO39" s="122">
        <v>1176.1024536299999</v>
      </c>
      <c r="GP39" s="122">
        <v>3.5006790521695921</v>
      </c>
      <c r="GQ39" s="122">
        <v>1176.1024536299999</v>
      </c>
      <c r="GR39" s="122">
        <v>3.5006790525126741</v>
      </c>
      <c r="GS39" s="122">
        <v>1176.10185942</v>
      </c>
      <c r="GT39" s="122">
        <v>3.5006790525126741</v>
      </c>
      <c r="GU39" s="122">
        <v>1176.10185942</v>
      </c>
      <c r="GV39" s="122">
        <v>3.5006790519871993</v>
      </c>
      <c r="GW39" s="122">
        <v>1176.1027695299999</v>
      </c>
      <c r="GX39" s="122">
        <v>3.50059239025118</v>
      </c>
      <c r="GY39" s="122">
        <v>1176.1017905200001</v>
      </c>
      <c r="GZ39" s="122">
        <v>3.50062206912148</v>
      </c>
      <c r="HA39" s="122">
        <v>1176.1017905200001</v>
      </c>
      <c r="HB39" s="122">
        <v>3.5005912030963682</v>
      </c>
      <c r="HC39" s="122">
        <v>1176.1017905200001</v>
      </c>
      <c r="HD39" s="122">
        <v>3.5005472779127604</v>
      </c>
      <c r="HE39" s="122">
        <v>1176.1027695299999</v>
      </c>
      <c r="HF39" s="122">
        <v>3.9063615175263036</v>
      </c>
      <c r="HG39" s="122">
        <v>1175.3366953300001</v>
      </c>
      <c r="HH39" s="122">
        <v>3.5022041486427278</v>
      </c>
      <c r="HI39" s="122">
        <v>1175.7135784600002</v>
      </c>
      <c r="HJ39" s="122">
        <v>3.5020769002976828</v>
      </c>
      <c r="HK39" s="122">
        <v>1175.7061322700001</v>
      </c>
      <c r="HL39" s="122">
        <v>3.5019890924652106</v>
      </c>
      <c r="HM39" s="122">
        <v>1175.6986256300002</v>
      </c>
      <c r="HN39" s="122">
        <v>3.5018889826588762</v>
      </c>
      <c r="HO39" s="122">
        <v>1175.6907744300001</v>
      </c>
      <c r="HP39" s="122">
        <v>3.5010520377269461</v>
      </c>
      <c r="HQ39" s="122">
        <v>1185.3686546200001</v>
      </c>
      <c r="HR39" s="122">
        <v>3.5009950461105763</v>
      </c>
      <c r="HS39" s="122">
        <v>1186.6679060899999</v>
      </c>
      <c r="HT39" s="122">
        <v>3.5016582271102106</v>
      </c>
      <c r="HU39" s="122">
        <v>1187.5847625900001</v>
      </c>
      <c r="HV39" s="122">
        <v>3.5004438900357684</v>
      </c>
      <c r="HW39" s="122">
        <v>1186.63481168</v>
      </c>
      <c r="HX39" s="122">
        <v>3.5004073940980343</v>
      </c>
      <c r="HY39" s="122">
        <v>1186.63481168</v>
      </c>
    </row>
    <row r="40" spans="1:233" x14ac:dyDescent="0.55000000000000004">
      <c r="B40" s="21">
        <v>16</v>
      </c>
      <c r="C40" s="28" t="s">
        <v>258</v>
      </c>
      <c r="D40" s="122">
        <v>12.480900265160589</v>
      </c>
      <c r="E40" s="122">
        <v>106275.67162739212</v>
      </c>
      <c r="F40" s="122">
        <v>10.856595536604859</v>
      </c>
      <c r="G40" s="122">
        <v>133845.88260593836</v>
      </c>
      <c r="H40" s="122">
        <v>9.8148122309678953</v>
      </c>
      <c r="I40" s="122">
        <v>160286.34113739323</v>
      </c>
      <c r="J40" s="122">
        <v>9.2915518714009533</v>
      </c>
      <c r="K40" s="122">
        <v>209284.18601491582</v>
      </c>
      <c r="L40" s="122">
        <v>12.211323239852607</v>
      </c>
      <c r="M40" s="122">
        <v>203818.47479996618</v>
      </c>
      <c r="N40" s="122">
        <v>13.521736681578403</v>
      </c>
      <c r="O40" s="122">
        <v>246475.63068741281</v>
      </c>
      <c r="P40" s="122">
        <v>9.2986103556243318</v>
      </c>
      <c r="Q40" s="122">
        <v>211643.05857441659</v>
      </c>
      <c r="R40" s="122">
        <v>9.258235037349662</v>
      </c>
      <c r="S40" s="122">
        <v>219658.59354015693</v>
      </c>
      <c r="T40" s="122">
        <v>8.8001767456071587</v>
      </c>
      <c r="U40" s="122">
        <v>226981.02422030552</v>
      </c>
      <c r="V40" s="122">
        <v>9.1462913010969249</v>
      </c>
      <c r="W40" s="122">
        <v>230059.63853386085</v>
      </c>
      <c r="X40" s="122">
        <v>9.5278379690117987</v>
      </c>
      <c r="Y40" s="122">
        <v>233521.44713623822</v>
      </c>
      <c r="Z40" s="122">
        <v>9.4500247177880397</v>
      </c>
      <c r="AA40" s="122">
        <v>248305.53903703578</v>
      </c>
      <c r="AB40" s="122">
        <v>11.206092449716172</v>
      </c>
      <c r="AC40" s="122">
        <v>174212.60537283434</v>
      </c>
      <c r="AD40" s="122">
        <v>11.954378763158058</v>
      </c>
      <c r="AE40" s="122">
        <v>185987.21469148991</v>
      </c>
      <c r="AF40" s="122">
        <v>11.926335869178756</v>
      </c>
      <c r="AG40" s="122">
        <v>188855.59111561315</v>
      </c>
      <c r="AH40" s="122">
        <v>11.641166911015731</v>
      </c>
      <c r="AI40" s="122">
        <v>189643.64763343218</v>
      </c>
      <c r="AJ40" s="122">
        <v>12.28108039243334</v>
      </c>
      <c r="AK40" s="122">
        <v>191662.55528724549</v>
      </c>
      <c r="AL40" s="122">
        <v>12.211323239852607</v>
      </c>
      <c r="AM40" s="122">
        <v>203818.47479996618</v>
      </c>
      <c r="AN40" s="122">
        <v>13.08019342447222</v>
      </c>
      <c r="AO40" s="122">
        <v>200457.43925569073</v>
      </c>
      <c r="AP40" s="122">
        <v>12.938661490984511</v>
      </c>
      <c r="AQ40" s="122">
        <v>203809.37283374</v>
      </c>
      <c r="AR40" s="122">
        <v>12.618011664918285</v>
      </c>
      <c r="AS40" s="122">
        <v>210697.81210700353</v>
      </c>
      <c r="AT40" s="122">
        <v>12.845802209306031</v>
      </c>
      <c r="AU40" s="122">
        <v>213470.7009199863</v>
      </c>
      <c r="AV40" s="122">
        <v>11.847640242049287</v>
      </c>
      <c r="AW40" s="122">
        <v>222065.31873625962</v>
      </c>
      <c r="AX40" s="122">
        <v>12.671549709730762</v>
      </c>
      <c r="AY40" s="122">
        <v>230779.66045905321</v>
      </c>
      <c r="AZ40" s="122">
        <v>12.754790403147902</v>
      </c>
      <c r="BA40" s="122">
        <v>234688.93575890514</v>
      </c>
      <c r="BB40" s="122">
        <v>12.946035761607465</v>
      </c>
      <c r="BC40" s="122">
        <v>251333.18948902155</v>
      </c>
      <c r="BD40" s="122">
        <v>12.234261558144716</v>
      </c>
      <c r="BE40" s="122">
        <v>333075.0794577573</v>
      </c>
      <c r="BF40" s="122">
        <v>13.218468380525703</v>
      </c>
      <c r="BG40" s="122">
        <v>249222.27931172686</v>
      </c>
      <c r="BH40" s="122">
        <v>12.593885074777774</v>
      </c>
      <c r="BI40" s="122">
        <v>334625.27170518268</v>
      </c>
      <c r="BJ40" s="122">
        <v>13.521736681578403</v>
      </c>
      <c r="BK40" s="122">
        <v>246475.63068741281</v>
      </c>
      <c r="BL40" s="122">
        <v>12.842947962851524</v>
      </c>
      <c r="BM40" s="122">
        <v>332775.8655786711</v>
      </c>
      <c r="BN40" s="122">
        <v>13.101081757547318</v>
      </c>
      <c r="BO40" s="122">
        <v>251328.83694976833</v>
      </c>
      <c r="BP40" s="122">
        <v>13.229694608299937</v>
      </c>
      <c r="BQ40" s="122">
        <v>260102.90361878905</v>
      </c>
      <c r="BR40" s="122">
        <v>13.179138162470577</v>
      </c>
      <c r="BS40" s="122">
        <v>261694.59184624959</v>
      </c>
      <c r="BT40" s="122">
        <v>13.297443014096102</v>
      </c>
      <c r="BU40" s="122">
        <v>263633.41702715843</v>
      </c>
      <c r="BV40" s="122">
        <v>13.30221178694952</v>
      </c>
      <c r="BW40" s="122">
        <v>237100.00812677015</v>
      </c>
      <c r="BX40" s="122">
        <v>13.429199269314578</v>
      </c>
      <c r="BY40" s="122">
        <v>239832.37616209741</v>
      </c>
      <c r="BZ40" s="122">
        <v>13.444242672884707</v>
      </c>
      <c r="CA40" s="122">
        <v>271175.64591558714</v>
      </c>
      <c r="CB40" s="122">
        <v>13.291732786818473</v>
      </c>
      <c r="CC40" s="122">
        <v>278591.55856387928</v>
      </c>
      <c r="CD40" s="122">
        <v>13.209121153427157</v>
      </c>
      <c r="CE40" s="122">
        <v>285619.9246890971</v>
      </c>
      <c r="CF40" s="122">
        <v>13.169964361321194</v>
      </c>
      <c r="CG40" s="122">
        <v>291764.28826763819</v>
      </c>
      <c r="CH40" s="122">
        <v>13.104432423181908</v>
      </c>
      <c r="CI40" s="122">
        <v>299780.91529615055</v>
      </c>
      <c r="CJ40" s="122">
        <v>13.021326285327097</v>
      </c>
      <c r="CK40" s="122">
        <v>301672.18142292427</v>
      </c>
      <c r="CL40" s="122">
        <v>12.923235046968513</v>
      </c>
      <c r="CM40" s="122">
        <v>311254.58749840729</v>
      </c>
      <c r="CN40" s="122">
        <v>12.932195675319592</v>
      </c>
      <c r="CO40" s="122">
        <v>321231.94168154494</v>
      </c>
      <c r="CP40" s="122">
        <v>12.979009699668387</v>
      </c>
      <c r="CQ40" s="122">
        <v>323500.12824015232</v>
      </c>
      <c r="CR40" s="122">
        <v>12.945738704557394</v>
      </c>
      <c r="CS40" s="122">
        <v>322792.02793867828</v>
      </c>
      <c r="CT40" s="122">
        <v>12.799811010486831</v>
      </c>
      <c r="CU40" s="122">
        <v>338861.48728213203</v>
      </c>
      <c r="CV40" s="122">
        <v>12.833120353562517</v>
      </c>
      <c r="CW40" s="122">
        <v>344209.45792245108</v>
      </c>
      <c r="CX40" s="122">
        <v>12.867648410990171</v>
      </c>
      <c r="CY40" s="122">
        <v>359704.41753491142</v>
      </c>
      <c r="CZ40" s="122">
        <v>12.785444190129533</v>
      </c>
      <c r="DA40" s="122">
        <v>360562.5075985291</v>
      </c>
      <c r="DB40" s="122">
        <v>12.684692369046916</v>
      </c>
      <c r="DC40" s="122">
        <v>356671.11061200878</v>
      </c>
      <c r="DD40" s="122">
        <v>12.149308836006144</v>
      </c>
      <c r="DE40" s="122">
        <v>358374.08140292618</v>
      </c>
      <c r="DF40" s="122">
        <v>11.454634415548938</v>
      </c>
      <c r="DG40" s="122">
        <v>376867.46988964872</v>
      </c>
      <c r="DH40" s="122">
        <v>11.455928604226237</v>
      </c>
      <c r="DI40" s="122">
        <v>380781.60852306103</v>
      </c>
      <c r="DJ40" s="122">
        <v>11.394382279462178</v>
      </c>
      <c r="DK40" s="122">
        <v>381240.13187610346</v>
      </c>
      <c r="DL40" s="122">
        <v>11.123954853836199</v>
      </c>
      <c r="DM40" s="122">
        <v>389985.732394722</v>
      </c>
      <c r="DN40" s="122">
        <v>10.672283070618789</v>
      </c>
      <c r="DO40" s="122">
        <v>397805.44866571599</v>
      </c>
      <c r="DP40" s="122">
        <v>10.395777109024282</v>
      </c>
      <c r="DQ40" s="122">
        <v>429675.82708898431</v>
      </c>
      <c r="DR40" s="122">
        <v>10.241981964308152</v>
      </c>
      <c r="DS40" s="122">
        <v>457271.73182329809</v>
      </c>
      <c r="DT40" s="122">
        <v>9.9669542917755329</v>
      </c>
      <c r="DU40" s="122">
        <v>472847.08554640994</v>
      </c>
      <c r="DV40" s="122">
        <v>9.8664409998616094</v>
      </c>
      <c r="DW40" s="122">
        <v>494326.08214478736</v>
      </c>
      <c r="DX40" s="122">
        <v>9.580263406843871</v>
      </c>
      <c r="DY40" s="122">
        <v>523030.07220519264</v>
      </c>
      <c r="DZ40" s="122">
        <v>9.5933121484661275</v>
      </c>
      <c r="EA40" s="122">
        <v>528499.06537747791</v>
      </c>
      <c r="EB40" s="122">
        <v>9.5523557085265871</v>
      </c>
      <c r="EC40" s="122">
        <v>506388.02891804354</v>
      </c>
      <c r="ED40" s="122">
        <v>9.5015873553847818</v>
      </c>
      <c r="EE40" s="122">
        <v>516469.67565925431</v>
      </c>
      <c r="EF40" s="122">
        <v>9.5042880474185498</v>
      </c>
      <c r="EG40" s="122">
        <v>530464.4314875789</v>
      </c>
      <c r="EH40" s="122">
        <v>9.5943382632243459</v>
      </c>
      <c r="EI40" s="122">
        <v>555842.38507379266</v>
      </c>
      <c r="EJ40" s="122">
        <v>9.5434785998044358</v>
      </c>
      <c r="EK40" s="122">
        <v>399622.87185379001</v>
      </c>
      <c r="EL40" s="122">
        <v>9.9769114526841527</v>
      </c>
      <c r="EM40" s="122">
        <v>350473.09516111697</v>
      </c>
      <c r="EN40" s="122">
        <v>10.120811437765752</v>
      </c>
      <c r="EO40" s="122">
        <v>312636.90193720622</v>
      </c>
      <c r="EP40" s="122">
        <v>10.416152050141317</v>
      </c>
      <c r="EQ40" s="122">
        <v>332747.82814265526</v>
      </c>
      <c r="ER40" s="122">
        <v>11.339152783168325</v>
      </c>
      <c r="ES40" s="122">
        <v>324300.74897335813</v>
      </c>
      <c r="ET40" s="122">
        <v>11.531395761075272</v>
      </c>
      <c r="EU40" s="122">
        <v>335060.17796672246</v>
      </c>
      <c r="EV40" s="122">
        <v>11.683512573006972</v>
      </c>
      <c r="EW40" s="122">
        <v>325228.70724364824</v>
      </c>
      <c r="EX40" s="122">
        <v>12.257339311936345</v>
      </c>
      <c r="EY40" s="122">
        <v>274945.46632757987</v>
      </c>
      <c r="EZ40" s="122">
        <v>12.239732244000509</v>
      </c>
      <c r="FA40" s="122">
        <v>277148.06793116312</v>
      </c>
      <c r="FB40" s="122">
        <v>12.260753606970377</v>
      </c>
      <c r="FC40" s="122">
        <v>311184.95459637523</v>
      </c>
      <c r="FD40" s="122">
        <v>12.670114763709227</v>
      </c>
      <c r="FE40" s="122">
        <v>296693.0838014633</v>
      </c>
      <c r="FF40" s="122">
        <v>12.640990840952696</v>
      </c>
      <c r="FG40" s="122">
        <v>260975.75737523672</v>
      </c>
      <c r="FH40" s="122">
        <v>12.675918486228698</v>
      </c>
      <c r="FI40" s="122">
        <v>269872.90078131435</v>
      </c>
      <c r="FJ40" s="122">
        <v>13.250927611353161</v>
      </c>
      <c r="FK40" s="122">
        <v>267274.53129044431</v>
      </c>
      <c r="FL40" s="122">
        <v>13.328139117867156</v>
      </c>
      <c r="FM40" s="122">
        <v>270090.57823859976</v>
      </c>
      <c r="FN40" s="122">
        <v>13.337033495892639</v>
      </c>
      <c r="FO40" s="122">
        <v>290725.70755299099</v>
      </c>
      <c r="FP40" s="122">
        <v>13.823333412115913</v>
      </c>
      <c r="FQ40" s="122">
        <v>278314.18080066412</v>
      </c>
      <c r="FR40" s="122">
        <v>13.772002776425593</v>
      </c>
      <c r="FS40" s="122">
        <v>277304.97950670921</v>
      </c>
      <c r="FT40" s="122">
        <v>13.597029184585235</v>
      </c>
      <c r="FU40" s="122">
        <v>272141.51315593615</v>
      </c>
      <c r="FV40" s="122">
        <v>12.98918004483463</v>
      </c>
      <c r="FW40" s="122">
        <v>263403.65517047432</v>
      </c>
      <c r="FX40" s="122">
        <v>13.249312517605805</v>
      </c>
      <c r="FY40" s="122">
        <v>256075.56927631667</v>
      </c>
      <c r="FZ40" s="122">
        <v>13.099434085215243</v>
      </c>
      <c r="GA40" s="122">
        <v>253875.43502631347</v>
      </c>
      <c r="GB40" s="122">
        <v>11.709557860727134</v>
      </c>
      <c r="GC40" s="122">
        <v>237490.22784260495</v>
      </c>
      <c r="GD40" s="122">
        <v>12.839261329391787</v>
      </c>
      <c r="GE40" s="122">
        <v>235759.48316002675</v>
      </c>
      <c r="GF40" s="122">
        <v>12.88618408276297</v>
      </c>
      <c r="GG40" s="122">
        <v>249137.33002210979</v>
      </c>
      <c r="GH40" s="122">
        <v>12.825776867011738</v>
      </c>
      <c r="GI40" s="122">
        <v>236254.13011814147</v>
      </c>
      <c r="GJ40" s="122">
        <v>12.654390935850618</v>
      </c>
      <c r="GK40" s="122">
        <v>235746.1192205906</v>
      </c>
      <c r="GL40" s="122">
        <v>12.377869545035436</v>
      </c>
      <c r="GM40" s="122">
        <v>236853.83327626405</v>
      </c>
      <c r="GN40" s="122">
        <v>12.122475322455703</v>
      </c>
      <c r="GO40" s="122">
        <v>238439.99686841981</v>
      </c>
      <c r="GP40" s="122">
        <v>11.765197600531677</v>
      </c>
      <c r="GQ40" s="122">
        <v>237941.22370467772</v>
      </c>
      <c r="GR40" s="122">
        <v>11.43886911081144</v>
      </c>
      <c r="GS40" s="122">
        <v>244587.09074130704</v>
      </c>
      <c r="GT40" s="122">
        <v>11.161973207142166</v>
      </c>
      <c r="GU40" s="122">
        <v>245210.31360168333</v>
      </c>
      <c r="GV40" s="122">
        <v>10.508686022893073</v>
      </c>
      <c r="GW40" s="122">
        <v>250302.67283824383</v>
      </c>
      <c r="GX40" s="122">
        <v>10.367208457459125</v>
      </c>
      <c r="GY40" s="122">
        <v>248547.63099953206</v>
      </c>
      <c r="GZ40" s="122">
        <v>10.56009346244943</v>
      </c>
      <c r="HA40" s="122">
        <v>244615.77242220051</v>
      </c>
      <c r="HB40" s="122">
        <v>10.344642395854189</v>
      </c>
      <c r="HC40" s="122">
        <v>245374.68506161834</v>
      </c>
      <c r="HD40" s="122">
        <v>10.113974297591374</v>
      </c>
      <c r="HE40" s="122">
        <v>246057.40976324555</v>
      </c>
      <c r="HF40" s="122">
        <v>9.845867961918696</v>
      </c>
      <c r="HG40" s="122">
        <v>246051.4651301956</v>
      </c>
      <c r="HH40" s="122">
        <v>9.7461239740481638</v>
      </c>
      <c r="HI40" s="122">
        <v>245962.28174072376</v>
      </c>
      <c r="HJ40" s="122">
        <v>9.5118540286873792</v>
      </c>
      <c r="HK40" s="122">
        <v>240548.46690626603</v>
      </c>
      <c r="HL40" s="122">
        <v>9.3299492232770369</v>
      </c>
      <c r="HM40" s="122">
        <v>238095.34553640289</v>
      </c>
      <c r="HN40" s="122">
        <v>9.1536159715194501</v>
      </c>
      <c r="HO40" s="122">
        <v>241490.8191176581</v>
      </c>
      <c r="HP40" s="122">
        <v>8.6290563685869497</v>
      </c>
      <c r="HQ40" s="122">
        <v>245553.96274898871</v>
      </c>
      <c r="HR40" s="122">
        <v>8.8661251138754498</v>
      </c>
      <c r="HS40" s="122">
        <v>244318.34841653809</v>
      </c>
      <c r="HT40" s="122">
        <v>8.806171743833378</v>
      </c>
      <c r="HU40" s="122">
        <v>246463.55163948613</v>
      </c>
      <c r="HV40" s="122">
        <v>8.783090451315088</v>
      </c>
      <c r="HW40" s="122">
        <v>240461.01130842057</v>
      </c>
      <c r="HX40" s="122">
        <v>8.641178930932421</v>
      </c>
      <c r="HY40" s="122">
        <v>249106.22694365284</v>
      </c>
    </row>
    <row r="41" spans="1:233" x14ac:dyDescent="0.55000000000000004">
      <c r="B41" s="331"/>
      <c r="C41" s="331" t="s">
        <v>670</v>
      </c>
      <c r="D41" s="332">
        <v>12.091636074309511</v>
      </c>
      <c r="E41" s="332">
        <v>624248.86150236486</v>
      </c>
      <c r="F41" s="332">
        <v>10.479539770461457</v>
      </c>
      <c r="G41" s="332">
        <v>850091.92719878291</v>
      </c>
      <c r="H41" s="332">
        <v>9.6236803954825039</v>
      </c>
      <c r="I41" s="332">
        <v>1085249.232729173</v>
      </c>
      <c r="J41" s="332">
        <v>8.8627390796693852</v>
      </c>
      <c r="K41" s="332">
        <v>1357682.955325054</v>
      </c>
      <c r="L41" s="332">
        <v>11.330871099975459</v>
      </c>
      <c r="M41" s="332">
        <v>1717067.4735662208</v>
      </c>
      <c r="N41" s="332">
        <v>12.474039051717256</v>
      </c>
      <c r="O41" s="332">
        <v>2053416.7188894842</v>
      </c>
      <c r="P41" s="332">
        <v>8.8849724575941309</v>
      </c>
      <c r="Q41" s="332">
        <v>1391062.9761471723</v>
      </c>
      <c r="R41" s="332">
        <v>8.770936414635047</v>
      </c>
      <c r="S41" s="332">
        <v>1430690.2964509411</v>
      </c>
      <c r="T41" s="332">
        <v>8.6227173365480265</v>
      </c>
      <c r="U41" s="332">
        <v>1465317.3947113797</v>
      </c>
      <c r="V41" s="332">
        <v>8.8831005706782786</v>
      </c>
      <c r="W41" s="332">
        <v>1485887.8279949545</v>
      </c>
      <c r="X41" s="332">
        <v>9.108362944803142</v>
      </c>
      <c r="Y41" s="332">
        <v>1512667.9139375687</v>
      </c>
      <c r="Z41" s="332">
        <v>9.320593793200139</v>
      </c>
      <c r="AA41" s="332">
        <v>1581373.7783997555</v>
      </c>
      <c r="AB41" s="332">
        <v>10.119643092985038</v>
      </c>
      <c r="AC41" s="332">
        <v>1612278.4327777948</v>
      </c>
      <c r="AD41" s="332">
        <v>10.59721056847998</v>
      </c>
      <c r="AE41" s="332">
        <v>1616946.4775392176</v>
      </c>
      <c r="AF41" s="332">
        <v>10.768996824709188</v>
      </c>
      <c r="AG41" s="332">
        <v>1640005.2742215961</v>
      </c>
      <c r="AH41" s="332">
        <v>10.6869140933374</v>
      </c>
      <c r="AI41" s="332">
        <v>1645541.1709220088</v>
      </c>
      <c r="AJ41" s="332">
        <v>11.293647561784748</v>
      </c>
      <c r="AK41" s="332">
        <v>1654508.5048616196</v>
      </c>
      <c r="AL41" s="332">
        <v>11.330871099975459</v>
      </c>
      <c r="AM41" s="332">
        <v>1717067.4735662208</v>
      </c>
      <c r="AN41" s="332">
        <v>11.677129485972685</v>
      </c>
      <c r="AO41" s="332">
        <v>1716454.9079643013</v>
      </c>
      <c r="AP41" s="332">
        <v>11.776851660684109</v>
      </c>
      <c r="AQ41" s="332">
        <v>1743129.3571612514</v>
      </c>
      <c r="AR41" s="332">
        <v>11.093642554147996</v>
      </c>
      <c r="AS41" s="332">
        <v>1789915.4697477384</v>
      </c>
      <c r="AT41" s="332">
        <v>11.637461434399516</v>
      </c>
      <c r="AU41" s="332">
        <v>1799070.6356744769</v>
      </c>
      <c r="AV41" s="332">
        <v>11.252921107091225</v>
      </c>
      <c r="AW41" s="332">
        <v>1844846.8062937139</v>
      </c>
      <c r="AX41" s="332">
        <v>11.789448059321915</v>
      </c>
      <c r="AY41" s="332">
        <v>1895199.4854972681</v>
      </c>
      <c r="AZ41" s="332">
        <v>11.903910782512302</v>
      </c>
      <c r="BA41" s="332">
        <v>1920830.9510838375</v>
      </c>
      <c r="BB41" s="332">
        <v>11.955679479846379</v>
      </c>
      <c r="BC41" s="332">
        <v>1929094.3462617309</v>
      </c>
      <c r="BD41" s="332">
        <v>12.095760392136375</v>
      </c>
      <c r="BE41" s="332">
        <v>1965611.2981204162</v>
      </c>
      <c r="BF41" s="332">
        <v>12.317973192508507</v>
      </c>
      <c r="BG41" s="332">
        <v>1997843.5053537746</v>
      </c>
      <c r="BH41" s="332">
        <v>12.417721658186325</v>
      </c>
      <c r="BI41" s="332">
        <v>2023105.9194502097</v>
      </c>
      <c r="BJ41" s="332">
        <v>12.474039051717256</v>
      </c>
      <c r="BK41" s="332">
        <v>2053416.7188894842</v>
      </c>
      <c r="BL41" s="332">
        <v>12.448651894232308</v>
      </c>
      <c r="BM41" s="332">
        <v>2080566.2248331825</v>
      </c>
      <c r="BN41" s="332">
        <v>12.309937324291186</v>
      </c>
      <c r="BO41" s="332">
        <v>2132011.4960533683</v>
      </c>
      <c r="BP41" s="332">
        <v>12.259346053607219</v>
      </c>
      <c r="BQ41" s="332">
        <v>2211756.406761256</v>
      </c>
      <c r="BR41" s="332">
        <v>12.261481948296858</v>
      </c>
      <c r="BS41" s="332">
        <v>2228980.9141721819</v>
      </c>
      <c r="BT41" s="332">
        <v>12.322112864374549</v>
      </c>
      <c r="BU41" s="332">
        <v>2256075.1287920438</v>
      </c>
      <c r="BV41" s="332">
        <v>12.291839968755971</v>
      </c>
      <c r="BW41" s="332">
        <v>2318601.7829959774</v>
      </c>
      <c r="BX41" s="332">
        <v>12.344648607378824</v>
      </c>
      <c r="BY41" s="332">
        <v>2329134.7378569813</v>
      </c>
      <c r="BZ41" s="332">
        <v>12.331042666436183</v>
      </c>
      <c r="CA41" s="332">
        <v>2337298.9267312023</v>
      </c>
      <c r="CB41" s="332">
        <v>12.275943576148686</v>
      </c>
      <c r="CC41" s="332">
        <v>2379571.8356803339</v>
      </c>
      <c r="CD41" s="332">
        <v>12.232319237532886</v>
      </c>
      <c r="CE41" s="332">
        <v>2386527.3087205784</v>
      </c>
      <c r="CF41" s="332">
        <v>12.199304661279401</v>
      </c>
      <c r="CG41" s="332">
        <v>2404206.5419554077</v>
      </c>
      <c r="CH41" s="332">
        <v>12.134092700177552</v>
      </c>
      <c r="CI41" s="332">
        <v>2429380.8333352651</v>
      </c>
      <c r="CJ41" s="332">
        <v>12.084038186426156</v>
      </c>
      <c r="CK41" s="332">
        <v>2435219.0792823737</v>
      </c>
      <c r="CL41" s="332">
        <v>11.97</v>
      </c>
      <c r="CM41" s="332">
        <v>2484427.3359362246</v>
      </c>
      <c r="CN41" s="332">
        <v>11.98479244278075</v>
      </c>
      <c r="CO41" s="332">
        <v>2556060.6394270575</v>
      </c>
      <c r="CP41" s="332">
        <v>12.073929961045465</v>
      </c>
      <c r="CQ41" s="332">
        <v>2565665.4848589692</v>
      </c>
      <c r="CR41" s="332">
        <v>11.93</v>
      </c>
      <c r="CS41" s="332">
        <v>2596150.4147887384</v>
      </c>
      <c r="CT41" s="332">
        <v>11.938543027385922</v>
      </c>
      <c r="CU41" s="332">
        <v>2661093.6621712772</v>
      </c>
      <c r="CV41" s="332">
        <v>11.94</v>
      </c>
      <c r="CW41" s="332">
        <v>2675824.7989007281</v>
      </c>
      <c r="CX41" s="332">
        <v>11.8</v>
      </c>
      <c r="CY41" s="332">
        <v>2723458.7775245463</v>
      </c>
      <c r="CZ41" s="332">
        <v>11.77</v>
      </c>
      <c r="DA41" s="332">
        <v>2761344.572194268</v>
      </c>
      <c r="DB41" s="332">
        <v>10.99</v>
      </c>
      <c r="DC41" s="332">
        <v>2746328.6814779509</v>
      </c>
      <c r="DD41" s="332">
        <v>10.426250629386633</v>
      </c>
      <c r="DE41" s="332">
        <v>2729712.7229301636</v>
      </c>
      <c r="DF41" s="332">
        <v>10.109165203675886</v>
      </c>
      <c r="DG41" s="332">
        <v>2820658.5206137071</v>
      </c>
      <c r="DH41" s="332">
        <v>10.47</v>
      </c>
      <c r="DI41" s="332">
        <v>2798043.327452933</v>
      </c>
      <c r="DJ41" s="332">
        <v>10.18</v>
      </c>
      <c r="DK41" s="332">
        <v>2827101.3273147237</v>
      </c>
      <c r="DL41" s="332">
        <v>9.8318649812907015</v>
      </c>
      <c r="DM41" s="332">
        <v>2946660.0112467655</v>
      </c>
      <c r="DN41" s="332">
        <v>9.517731632300432</v>
      </c>
      <c r="DO41" s="332">
        <v>2960568.2869373625</v>
      </c>
      <c r="DP41" s="332">
        <v>9.3697289946410578</v>
      </c>
      <c r="DQ41" s="332">
        <v>3012408.2417417211</v>
      </c>
      <c r="DR41" s="332">
        <v>9.09</v>
      </c>
      <c r="DS41" s="332">
        <v>3135015.3577900869</v>
      </c>
      <c r="DT41" s="332">
        <v>8.8912745435893399</v>
      </c>
      <c r="DU41" s="332">
        <v>3196825.4515890647</v>
      </c>
      <c r="DV41" s="332">
        <v>8.7276050942080641</v>
      </c>
      <c r="DW41" s="332">
        <v>3280279.4674591571</v>
      </c>
      <c r="DX41" s="332">
        <v>8.61</v>
      </c>
      <c r="DY41" s="332">
        <v>3428582.2747256728</v>
      </c>
      <c r="DZ41" s="332">
        <v>8.5342448085804961</v>
      </c>
      <c r="EA41" s="332">
        <v>3465398.1282351315</v>
      </c>
      <c r="EB41" s="332">
        <v>8.4591292533300528</v>
      </c>
      <c r="EC41" s="332">
        <v>3493884.3553973148</v>
      </c>
      <c r="ED41" s="332">
        <v>8.4348018971758574</v>
      </c>
      <c r="EE41" s="332">
        <v>3566532.8351074154</v>
      </c>
      <c r="EF41" s="326">
        <v>8.48</v>
      </c>
      <c r="EG41" s="326">
        <v>3611246.2957721846</v>
      </c>
      <c r="EH41" s="326">
        <v>8.57</v>
      </c>
      <c r="EI41" s="326">
        <v>3719880.0997626767</v>
      </c>
      <c r="EJ41" s="326">
        <v>8.69</v>
      </c>
      <c r="EK41" s="326">
        <v>3840421.8768847315</v>
      </c>
      <c r="EL41" s="326">
        <v>9.02</v>
      </c>
      <c r="EM41" s="326">
        <v>3882537.4786390918</v>
      </c>
      <c r="EN41" s="326">
        <v>9.2899999999999991</v>
      </c>
      <c r="EO41" s="326">
        <v>3937917.3145987317</v>
      </c>
      <c r="EP41" s="326">
        <v>9.4428426085328372</v>
      </c>
      <c r="EQ41" s="326">
        <v>4040583.7502980088</v>
      </c>
      <c r="ER41" s="326">
        <v>10.31</v>
      </c>
      <c r="ES41" s="326">
        <v>4074941.1589175137</v>
      </c>
      <c r="ET41" s="326">
        <v>10.6</v>
      </c>
      <c r="EU41" s="326">
        <v>4122580.3383081695</v>
      </c>
      <c r="EV41" s="326">
        <v>10.78</v>
      </c>
      <c r="EW41" s="326">
        <v>4155806.2384512746</v>
      </c>
      <c r="EX41" s="326">
        <v>11.42</v>
      </c>
      <c r="EY41" s="326">
        <v>4152443.9563759333</v>
      </c>
      <c r="EZ41" s="326">
        <v>11.54</v>
      </c>
      <c r="FA41" s="326">
        <v>4154417.0777088194</v>
      </c>
      <c r="FB41" s="326">
        <v>11.62</v>
      </c>
      <c r="FC41" s="326">
        <v>4141732.7115301536</v>
      </c>
      <c r="FD41" s="326">
        <v>11.94</v>
      </c>
      <c r="FE41" s="326">
        <v>4147573.3387724464</v>
      </c>
      <c r="FF41" s="326">
        <v>12.06</v>
      </c>
      <c r="FG41" s="326">
        <v>4162442.0544223222</v>
      </c>
      <c r="FH41" s="326">
        <v>12.19</v>
      </c>
      <c r="FI41" s="326">
        <v>4189642.7200986571</v>
      </c>
      <c r="FJ41" s="326">
        <v>12.65</v>
      </c>
      <c r="FK41" s="326">
        <v>4192994.9246963002</v>
      </c>
      <c r="FL41" s="326">
        <v>12.74</v>
      </c>
      <c r="FM41" s="326">
        <v>4194531.494594912</v>
      </c>
      <c r="FN41" s="326">
        <v>12.79</v>
      </c>
      <c r="FO41" s="326">
        <v>4247523.9674017178</v>
      </c>
      <c r="FP41" s="326">
        <v>13.033348190370932</v>
      </c>
      <c r="FQ41" s="326">
        <v>4258458.0765469577</v>
      </c>
      <c r="FR41" s="326">
        <v>13.03</v>
      </c>
      <c r="FS41" s="326">
        <v>4247528.693930978</v>
      </c>
      <c r="FT41" s="326">
        <v>12.839437652453611</v>
      </c>
      <c r="FU41" s="326">
        <v>4282618.9450482903</v>
      </c>
      <c r="FV41" s="326">
        <v>12.65</v>
      </c>
      <c r="FW41" s="326">
        <v>4269114.5122335227</v>
      </c>
      <c r="FX41" s="326">
        <v>12.53</v>
      </c>
      <c r="FY41" s="326">
        <v>4273360.883949046</v>
      </c>
      <c r="FZ41" s="326">
        <v>12.2968211469067</v>
      </c>
      <c r="GA41" s="326">
        <v>4046550.2646865547</v>
      </c>
      <c r="GB41" s="326">
        <v>12.243697262021449</v>
      </c>
      <c r="GC41" s="326">
        <v>4269821.7799778683</v>
      </c>
      <c r="GD41" s="326">
        <v>12.234427425431878</v>
      </c>
      <c r="GE41" s="326">
        <v>4314933.5861747181</v>
      </c>
      <c r="GF41" s="326">
        <v>12.10897667218951</v>
      </c>
      <c r="GG41" s="326">
        <v>4393045.255196047</v>
      </c>
      <c r="GH41" s="326">
        <v>11.95612012774439</v>
      </c>
      <c r="GI41" s="326">
        <v>4371846.360422614</v>
      </c>
      <c r="GJ41" s="326">
        <v>11.85</v>
      </c>
      <c r="GK41" s="326">
        <v>4383914.2873969665</v>
      </c>
      <c r="GL41" s="326">
        <v>11.38</v>
      </c>
      <c r="GM41" s="326">
        <v>4458408.0738974856</v>
      </c>
      <c r="GN41" s="326">
        <v>11.08</v>
      </c>
      <c r="GO41" s="326">
        <v>4461716.0278171413</v>
      </c>
      <c r="GP41" s="326">
        <v>10.775240061849351</v>
      </c>
      <c r="GQ41" s="326">
        <v>4460934.0071250107</v>
      </c>
      <c r="GR41" s="326">
        <v>10.55</v>
      </c>
      <c r="GS41" s="326">
        <v>4501224.1702945847</v>
      </c>
      <c r="GT41" s="326">
        <v>10.34</v>
      </c>
      <c r="GU41" s="326">
        <v>4485865.9880346479</v>
      </c>
      <c r="GV41" s="326">
        <v>10.154948961007413</v>
      </c>
      <c r="GW41" s="326">
        <v>4499169.2534841709</v>
      </c>
      <c r="GX41" s="326">
        <v>9.9340099482150723</v>
      </c>
      <c r="GY41" s="326">
        <v>4522367.7544946373</v>
      </c>
      <c r="GZ41" s="326">
        <v>9.6819707561813946</v>
      </c>
      <c r="HA41" s="326">
        <v>4522779.7895836001</v>
      </c>
      <c r="HB41" s="326">
        <v>9.5213623138278116</v>
      </c>
      <c r="HC41" s="326">
        <v>4574666.4608657537</v>
      </c>
      <c r="HD41" s="326">
        <v>9.3337851291244238</v>
      </c>
      <c r="HE41" s="326">
        <v>4631806.3720514793</v>
      </c>
      <c r="HF41" s="326">
        <v>9.0706822686876922</v>
      </c>
      <c r="HG41" s="326">
        <v>4631450.7152602375</v>
      </c>
      <c r="HH41" s="326">
        <v>8.8968826638385803</v>
      </c>
      <c r="HI41" s="326">
        <v>4649892.2981590629</v>
      </c>
      <c r="HJ41" s="326">
        <v>8.6921667278712587</v>
      </c>
      <c r="HK41" s="326">
        <v>4732794.9734163377</v>
      </c>
      <c r="HL41" s="326">
        <v>8.5450129605434491</v>
      </c>
      <c r="HM41" s="326">
        <v>4736261.7404063437</v>
      </c>
      <c r="HN41" s="326">
        <v>8.4015833654817484</v>
      </c>
      <c r="HO41" s="326">
        <v>4768466.158032516</v>
      </c>
      <c r="HP41" s="326">
        <v>8.2192154261003925</v>
      </c>
      <c r="HQ41" s="326">
        <v>4828673.2365169954</v>
      </c>
      <c r="HR41" s="326">
        <v>8.1067716867788207</v>
      </c>
      <c r="HS41" s="326">
        <v>4829860.9633252071</v>
      </c>
      <c r="HT41" s="326">
        <v>7.99369434046947</v>
      </c>
      <c r="HU41" s="326">
        <v>4862297.4768241793</v>
      </c>
      <c r="HV41" s="326">
        <v>7.8511803276959151</v>
      </c>
      <c r="HW41" s="326">
        <v>4883002.6965874815</v>
      </c>
      <c r="HX41" s="326">
        <v>7.7559166396523276</v>
      </c>
      <c r="HY41" s="326">
        <v>4874363.509548313</v>
      </c>
    </row>
    <row r="42" spans="1:233" x14ac:dyDescent="0.55000000000000004">
      <c r="A42" s="40"/>
      <c r="B42" s="40"/>
      <c r="C42" s="40"/>
      <c r="D42" s="40"/>
      <c r="E42" s="40"/>
      <c r="F42" s="40"/>
      <c r="G42" s="333"/>
      <c r="H42" s="40"/>
      <c r="I42" s="333"/>
      <c r="J42" s="40"/>
      <c r="K42" s="333"/>
      <c r="L42" s="40"/>
      <c r="M42" s="40"/>
      <c r="N42" s="40"/>
      <c r="O42" s="40"/>
      <c r="P42" s="40"/>
      <c r="Q42" s="40"/>
      <c r="R42" s="334"/>
      <c r="S42" s="334"/>
      <c r="T42" s="334"/>
      <c r="U42" s="334"/>
      <c r="V42" s="334"/>
      <c r="W42" s="334"/>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335"/>
      <c r="CH42" s="40"/>
      <c r="CI42" s="335"/>
      <c r="CJ42" s="40"/>
      <c r="CK42" s="335"/>
      <c r="CL42" s="40"/>
      <c r="CM42" s="335"/>
      <c r="CN42" s="40"/>
      <c r="CO42" s="335"/>
      <c r="CP42" s="40"/>
      <c r="CQ42" s="335"/>
      <c r="CR42" s="40"/>
      <c r="CS42" s="335"/>
      <c r="CT42" s="40"/>
      <c r="CU42" s="335"/>
      <c r="CV42" s="40"/>
      <c r="CW42" s="335"/>
      <c r="CX42" s="40"/>
      <c r="CY42" s="335"/>
      <c r="CZ42" s="40"/>
      <c r="DA42" s="335"/>
      <c r="DB42" s="40"/>
      <c r="DC42" s="335"/>
      <c r="DD42" s="40"/>
      <c r="DE42" s="335"/>
      <c r="DF42" s="40"/>
      <c r="DG42" s="335"/>
      <c r="DH42" s="40"/>
      <c r="DI42" s="335"/>
      <c r="DJ42" s="40"/>
      <c r="DK42" s="335"/>
      <c r="DL42" s="40"/>
      <c r="DM42" s="335"/>
      <c r="DN42" s="40"/>
      <c r="DO42" s="335"/>
      <c r="DP42" s="40"/>
      <c r="DQ42" s="335"/>
      <c r="DR42" s="40"/>
      <c r="DS42" s="335"/>
      <c r="DT42" s="40"/>
      <c r="DU42" s="335"/>
      <c r="DV42" s="40"/>
      <c r="DW42" s="335"/>
      <c r="DX42" s="40"/>
      <c r="DY42" s="335"/>
      <c r="DZ42" s="40"/>
      <c r="EA42" s="335"/>
      <c r="EB42" s="40"/>
      <c r="EC42" s="335"/>
      <c r="ED42" s="40"/>
      <c r="EE42" s="335"/>
      <c r="EF42" s="40"/>
      <c r="EG42" s="335"/>
      <c r="EH42" s="40"/>
      <c r="EI42" s="335"/>
      <c r="EJ42" s="40"/>
      <c r="EK42" s="335"/>
      <c r="EL42" s="40"/>
      <c r="EM42" s="335"/>
      <c r="EN42" s="40"/>
      <c r="EO42" s="335"/>
      <c r="EP42" s="40"/>
      <c r="EQ42" s="335"/>
      <c r="ER42" s="40"/>
      <c r="ES42" s="335"/>
      <c r="ET42" s="40"/>
      <c r="EU42" s="335"/>
      <c r="EV42" s="40"/>
      <c r="EW42" s="335"/>
      <c r="EX42" s="40"/>
      <c r="EY42" s="335"/>
      <c r="EZ42" s="40"/>
      <c r="FA42" s="335"/>
      <c r="FB42" s="40"/>
      <c r="FC42" s="335"/>
      <c r="FD42" s="40"/>
      <c r="FE42" s="335"/>
      <c r="FF42" s="40"/>
      <c r="FG42" s="335"/>
      <c r="FH42" s="40"/>
      <c r="FI42" s="335"/>
      <c r="FJ42" s="335"/>
      <c r="FK42" s="335"/>
      <c r="FL42" s="40"/>
      <c r="FM42" s="335"/>
      <c r="FN42" s="335"/>
      <c r="FO42" s="335"/>
      <c r="FP42" s="40"/>
      <c r="FQ42" s="335"/>
      <c r="FR42" s="335"/>
      <c r="FS42" s="335"/>
      <c r="FT42" s="40"/>
      <c r="FU42" s="335"/>
      <c r="FV42" s="40"/>
      <c r="FW42" s="335"/>
      <c r="FX42" s="40"/>
      <c r="FY42" s="335"/>
      <c r="FZ42" s="40"/>
      <c r="GA42" s="335"/>
      <c r="GB42" s="40"/>
      <c r="GC42" s="335"/>
      <c r="GD42" s="40"/>
      <c r="GE42" s="335"/>
      <c r="GF42" s="40"/>
      <c r="GG42" s="335"/>
      <c r="GH42" s="40"/>
      <c r="GI42" s="335"/>
      <c r="GJ42" s="40"/>
      <c r="GK42" s="335"/>
      <c r="GL42" s="40"/>
      <c r="GM42" s="335"/>
      <c r="GN42" s="40"/>
      <c r="GO42" s="335"/>
      <c r="GP42" s="40"/>
      <c r="GQ42" s="335"/>
      <c r="GR42" s="40"/>
      <c r="GS42" s="335"/>
      <c r="GT42" s="40"/>
      <c r="GU42" s="335"/>
      <c r="GV42" s="40"/>
      <c r="GW42" s="335"/>
      <c r="GX42" s="40"/>
      <c r="GY42" s="335"/>
      <c r="GZ42" s="40"/>
      <c r="HA42" s="335"/>
      <c r="HB42" s="40"/>
      <c r="HC42" s="335"/>
      <c r="HD42" s="40"/>
      <c r="HE42" s="335"/>
      <c r="HF42" s="40"/>
      <c r="HG42" s="335"/>
      <c r="HH42" s="40"/>
      <c r="HI42" s="335"/>
      <c r="HJ42" s="40"/>
      <c r="HK42" s="335"/>
      <c r="HL42" s="40"/>
      <c r="HM42" s="335"/>
      <c r="HN42" s="40"/>
      <c r="HO42" s="335"/>
      <c r="HP42" s="40"/>
      <c r="HQ42" s="335"/>
      <c r="HR42" s="40"/>
      <c r="HS42" s="335"/>
      <c r="HT42" s="40"/>
      <c r="HU42" s="335"/>
      <c r="HV42" s="40"/>
      <c r="HW42" s="335"/>
      <c r="HX42" s="40"/>
      <c r="HY42" s="335"/>
    </row>
    <row r="43" spans="1:233" x14ac:dyDescent="0.55000000000000004">
      <c r="B43" s="336" t="s">
        <v>676</v>
      </c>
      <c r="C43" s="337"/>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c r="BT43" s="338"/>
      <c r="BU43" s="338"/>
      <c r="BV43" s="338"/>
      <c r="BW43" s="338"/>
      <c r="BX43" s="338"/>
      <c r="BY43" s="338"/>
      <c r="BZ43" s="338"/>
      <c r="CA43" s="338"/>
      <c r="CB43" s="338"/>
      <c r="CC43" s="338"/>
      <c r="CD43" s="338"/>
      <c r="CE43" s="338"/>
      <c r="CF43" s="338"/>
      <c r="CG43" s="338"/>
      <c r="CH43" s="338"/>
      <c r="CI43" s="338"/>
      <c r="CJ43" s="338"/>
      <c r="CK43" s="338"/>
      <c r="CL43" s="338"/>
      <c r="CM43" s="338"/>
      <c r="CN43" s="338"/>
      <c r="CO43" s="338"/>
      <c r="CP43" s="338"/>
      <c r="CQ43" s="338"/>
      <c r="CR43" s="338"/>
      <c r="CS43" s="338"/>
      <c r="CT43" s="338"/>
      <c r="CU43" s="338"/>
      <c r="CV43" s="338"/>
      <c r="CW43" s="338"/>
      <c r="CX43" s="338"/>
      <c r="CY43" s="338"/>
      <c r="CZ43" s="338"/>
      <c r="DA43" s="338"/>
      <c r="DB43" s="338"/>
      <c r="DC43" s="338"/>
      <c r="DD43" s="338"/>
      <c r="DE43" s="338"/>
      <c r="DF43" s="338"/>
      <c r="DG43" s="338"/>
      <c r="DH43" s="338"/>
      <c r="DI43" s="338"/>
      <c r="DJ43" s="338"/>
      <c r="DK43" s="338"/>
      <c r="DL43" s="338"/>
      <c r="DM43" s="338"/>
      <c r="DN43" s="338"/>
      <c r="DO43" s="338"/>
      <c r="DP43" s="338"/>
      <c r="DQ43" s="338"/>
      <c r="DR43" s="338"/>
      <c r="DS43" s="338"/>
      <c r="DT43" s="338"/>
      <c r="DU43" s="338"/>
      <c r="DV43" s="338"/>
      <c r="DW43" s="338"/>
      <c r="DX43" s="338"/>
      <c r="DY43" s="338"/>
      <c r="DZ43" s="338"/>
      <c r="EA43" s="338"/>
      <c r="EB43" s="338"/>
      <c r="EC43" s="338"/>
      <c r="ED43" s="338"/>
      <c r="EE43" s="338"/>
      <c r="EF43" s="338"/>
      <c r="EG43" s="338"/>
      <c r="EH43" s="338"/>
      <c r="EI43" s="338"/>
      <c r="EJ43" s="338"/>
      <c r="EK43" s="338"/>
      <c r="EL43" s="338"/>
      <c r="EM43" s="338"/>
      <c r="EN43" s="338"/>
      <c r="EO43" s="338"/>
      <c r="EP43" s="338"/>
      <c r="EQ43" s="338"/>
      <c r="ER43" s="338"/>
      <c r="ES43" s="338"/>
      <c r="ET43" s="338"/>
      <c r="EU43" s="338"/>
      <c r="EV43" s="338"/>
      <c r="EW43" s="338"/>
      <c r="EX43" s="338"/>
      <c r="EY43" s="338"/>
      <c r="EZ43" s="338"/>
      <c r="FA43" s="338"/>
      <c r="FB43" s="338"/>
      <c r="FC43" s="338"/>
      <c r="FD43" s="338"/>
      <c r="FE43" s="338"/>
      <c r="FF43" s="338"/>
      <c r="FG43" s="338"/>
      <c r="FH43" s="338"/>
      <c r="FI43" s="338"/>
      <c r="FJ43" s="339"/>
      <c r="FK43" s="339"/>
      <c r="FL43" s="338"/>
      <c r="FM43" s="338"/>
      <c r="FN43" s="339"/>
      <c r="FO43" s="339"/>
      <c r="FP43" s="338"/>
      <c r="FQ43" s="338"/>
      <c r="FR43" s="339"/>
      <c r="FS43" s="339"/>
      <c r="FT43" s="338"/>
      <c r="FU43" s="338"/>
      <c r="FV43" s="338"/>
      <c r="FW43" s="338"/>
      <c r="FX43" s="338"/>
      <c r="FY43" s="338"/>
      <c r="FZ43" s="338"/>
      <c r="GA43" s="338"/>
      <c r="GB43" s="338"/>
      <c r="GC43" s="338"/>
      <c r="GD43" s="338"/>
      <c r="GE43" s="338"/>
      <c r="GF43" s="338"/>
      <c r="GG43" s="338"/>
      <c r="GH43" s="338"/>
      <c r="GI43" s="338"/>
      <c r="GJ43" s="338"/>
      <c r="GK43" s="338"/>
      <c r="GL43" s="338"/>
      <c r="GM43" s="338"/>
      <c r="GN43" s="338"/>
      <c r="GO43" s="338"/>
      <c r="GP43" s="338"/>
      <c r="GQ43" s="338"/>
      <c r="GR43" s="338"/>
      <c r="GS43" s="338"/>
      <c r="GT43" s="338"/>
      <c r="GU43" s="338"/>
      <c r="GV43" s="338"/>
      <c r="GW43" s="338"/>
      <c r="GX43" s="338"/>
      <c r="GY43" s="338"/>
      <c r="GZ43" s="338"/>
      <c r="HA43" s="338"/>
      <c r="HB43" s="338"/>
      <c r="HC43" s="338"/>
      <c r="HD43" s="338"/>
      <c r="HE43" s="338"/>
      <c r="HF43" s="338"/>
      <c r="HG43" s="338"/>
      <c r="HH43" s="338"/>
      <c r="HI43" s="338"/>
      <c r="HJ43" s="338"/>
      <c r="HK43" s="338"/>
      <c r="HL43" s="338"/>
      <c r="HM43" s="338"/>
      <c r="HN43" s="338"/>
      <c r="HO43" s="338"/>
      <c r="HP43" s="338"/>
      <c r="HQ43" s="338"/>
      <c r="HR43" s="338"/>
      <c r="HS43" s="338"/>
      <c r="HT43" s="338"/>
      <c r="HU43" s="338"/>
      <c r="HV43" s="338"/>
      <c r="HW43" s="338"/>
      <c r="HX43" s="338"/>
      <c r="HY43" s="338"/>
    </row>
    <row r="44" spans="1:233" s="262" customFormat="1" x14ac:dyDescent="0.55000000000000004">
      <c r="B44" s="340" t="s">
        <v>297</v>
      </c>
      <c r="C44" s="341" t="s">
        <v>653</v>
      </c>
      <c r="D44" s="321" t="s">
        <v>654</v>
      </c>
      <c r="E44" s="321" t="s">
        <v>655</v>
      </c>
      <c r="F44" s="321" t="s">
        <v>654</v>
      </c>
      <c r="G44" s="321" t="s">
        <v>655</v>
      </c>
      <c r="H44" s="321" t="s">
        <v>654</v>
      </c>
      <c r="I44" s="321" t="s">
        <v>655</v>
      </c>
      <c r="J44" s="321" t="s">
        <v>654</v>
      </c>
      <c r="K44" s="321" t="s">
        <v>655</v>
      </c>
      <c r="L44" s="322" t="s">
        <v>654</v>
      </c>
      <c r="M44" s="322" t="s">
        <v>655</v>
      </c>
      <c r="N44" s="322" t="s">
        <v>654</v>
      </c>
      <c r="O44" s="322" t="s">
        <v>655</v>
      </c>
      <c r="P44" s="329" t="s">
        <v>654</v>
      </c>
      <c r="Q44" s="321" t="s">
        <v>655</v>
      </c>
      <c r="R44" s="329" t="s">
        <v>654</v>
      </c>
      <c r="S44" s="321" t="s">
        <v>655</v>
      </c>
      <c r="T44" s="329" t="s">
        <v>654</v>
      </c>
      <c r="U44" s="321" t="s">
        <v>655</v>
      </c>
      <c r="V44" s="329" t="s">
        <v>654</v>
      </c>
      <c r="W44" s="321" t="s">
        <v>655</v>
      </c>
      <c r="X44" s="322" t="s">
        <v>654</v>
      </c>
      <c r="Y44" s="322" t="s">
        <v>655</v>
      </c>
      <c r="Z44" s="322" t="s">
        <v>654</v>
      </c>
      <c r="AA44" s="322" t="s">
        <v>655</v>
      </c>
      <c r="AB44" s="322" t="s">
        <v>654</v>
      </c>
      <c r="AC44" s="322" t="s">
        <v>655</v>
      </c>
      <c r="AD44" s="322" t="s">
        <v>654</v>
      </c>
      <c r="AE44" s="322" t="s">
        <v>655</v>
      </c>
      <c r="AF44" s="322" t="s">
        <v>654</v>
      </c>
      <c r="AG44" s="322" t="s">
        <v>655</v>
      </c>
      <c r="AH44" s="322" t="s">
        <v>654</v>
      </c>
      <c r="AI44" s="322" t="s">
        <v>655</v>
      </c>
      <c r="AJ44" s="322" t="s">
        <v>654</v>
      </c>
      <c r="AK44" s="322" t="s">
        <v>655</v>
      </c>
      <c r="AL44" s="322" t="s">
        <v>654</v>
      </c>
      <c r="AM44" s="322" t="s">
        <v>655</v>
      </c>
      <c r="AN44" s="322" t="s">
        <v>654</v>
      </c>
      <c r="AO44" s="322" t="s">
        <v>655</v>
      </c>
      <c r="AP44" s="322" t="s">
        <v>654</v>
      </c>
      <c r="AQ44" s="322" t="s">
        <v>655</v>
      </c>
      <c r="AR44" s="322" t="s">
        <v>654</v>
      </c>
      <c r="AS44" s="322" t="s">
        <v>655</v>
      </c>
      <c r="AT44" s="322" t="s">
        <v>654</v>
      </c>
      <c r="AU44" s="322" t="s">
        <v>655</v>
      </c>
      <c r="AV44" s="322" t="s">
        <v>654</v>
      </c>
      <c r="AW44" s="322" t="s">
        <v>655</v>
      </c>
      <c r="AX44" s="322" t="s">
        <v>654</v>
      </c>
      <c r="AY44" s="322" t="s">
        <v>655</v>
      </c>
      <c r="AZ44" s="322" t="s">
        <v>654</v>
      </c>
      <c r="BA44" s="322" t="s">
        <v>655</v>
      </c>
      <c r="BB44" s="322" t="s">
        <v>654</v>
      </c>
      <c r="BC44" s="322" t="s">
        <v>655</v>
      </c>
      <c r="BD44" s="322" t="s">
        <v>654</v>
      </c>
      <c r="BE44" s="322" t="s">
        <v>655</v>
      </c>
      <c r="BF44" s="322" t="s">
        <v>654</v>
      </c>
      <c r="BG44" s="322" t="s">
        <v>655</v>
      </c>
      <c r="BH44" s="322" t="s">
        <v>654</v>
      </c>
      <c r="BI44" s="322" t="s">
        <v>655</v>
      </c>
      <c r="BJ44" s="322" t="s">
        <v>654</v>
      </c>
      <c r="BK44" s="322" t="s">
        <v>655</v>
      </c>
      <c r="BL44" s="322" t="s">
        <v>654</v>
      </c>
      <c r="BM44" s="322" t="s">
        <v>655</v>
      </c>
      <c r="BN44" s="322" t="s">
        <v>654</v>
      </c>
      <c r="BO44" s="322" t="s">
        <v>655</v>
      </c>
      <c r="BP44" s="322" t="s">
        <v>654</v>
      </c>
      <c r="BQ44" s="322" t="s">
        <v>655</v>
      </c>
      <c r="BR44" s="322" t="s">
        <v>654</v>
      </c>
      <c r="BS44" s="322" t="s">
        <v>655</v>
      </c>
      <c r="BT44" s="322" t="s">
        <v>654</v>
      </c>
      <c r="BU44" s="322" t="s">
        <v>655</v>
      </c>
      <c r="BV44" s="322" t="s">
        <v>654</v>
      </c>
      <c r="BW44" s="322" t="s">
        <v>655</v>
      </c>
      <c r="BX44" s="322" t="s">
        <v>654</v>
      </c>
      <c r="BY44" s="322" t="s">
        <v>655</v>
      </c>
      <c r="BZ44" s="322" t="s">
        <v>654</v>
      </c>
      <c r="CA44" s="322" t="s">
        <v>655</v>
      </c>
      <c r="CB44" s="322" t="s">
        <v>654</v>
      </c>
      <c r="CC44" s="322" t="s">
        <v>655</v>
      </c>
      <c r="CD44" s="322" t="s">
        <v>654</v>
      </c>
      <c r="CE44" s="322" t="s">
        <v>655</v>
      </c>
      <c r="CF44" s="322" t="s">
        <v>654</v>
      </c>
      <c r="CG44" s="323" t="s">
        <v>655</v>
      </c>
      <c r="CH44" s="322" t="s">
        <v>654</v>
      </c>
      <c r="CI44" s="323" t="s">
        <v>655</v>
      </c>
      <c r="CJ44" s="322" t="s">
        <v>654</v>
      </c>
      <c r="CK44" s="323" t="s">
        <v>655</v>
      </c>
      <c r="CL44" s="322" t="s">
        <v>654</v>
      </c>
      <c r="CM44" s="323" t="s">
        <v>655</v>
      </c>
      <c r="CN44" s="322" t="s">
        <v>654</v>
      </c>
      <c r="CO44" s="323" t="s">
        <v>655</v>
      </c>
      <c r="CP44" s="322" t="s">
        <v>654</v>
      </c>
      <c r="CQ44" s="323" t="s">
        <v>655</v>
      </c>
      <c r="CR44" s="322" t="s">
        <v>654</v>
      </c>
      <c r="CS44" s="323" t="s">
        <v>655</v>
      </c>
      <c r="CT44" s="322" t="s">
        <v>654</v>
      </c>
      <c r="CU44" s="323" t="s">
        <v>655</v>
      </c>
      <c r="CV44" s="322" t="s">
        <v>654</v>
      </c>
      <c r="CW44" s="323" t="s">
        <v>655</v>
      </c>
      <c r="CX44" s="322" t="s">
        <v>654</v>
      </c>
      <c r="CY44" s="323" t="s">
        <v>655</v>
      </c>
      <c r="CZ44" s="322" t="s">
        <v>654</v>
      </c>
      <c r="DA44" s="323" t="s">
        <v>655</v>
      </c>
      <c r="DB44" s="322" t="s">
        <v>654</v>
      </c>
      <c r="DC44" s="323" t="s">
        <v>655</v>
      </c>
      <c r="DD44" s="322" t="s">
        <v>654</v>
      </c>
      <c r="DE44" s="323" t="s">
        <v>655</v>
      </c>
      <c r="DF44" s="322" t="s">
        <v>654</v>
      </c>
      <c r="DG44" s="323" t="s">
        <v>655</v>
      </c>
      <c r="DH44" s="322" t="s">
        <v>654</v>
      </c>
      <c r="DI44" s="323" t="s">
        <v>655</v>
      </c>
      <c r="DJ44" s="322" t="s">
        <v>654</v>
      </c>
      <c r="DK44" s="323" t="s">
        <v>655</v>
      </c>
      <c r="DL44" s="322" t="s">
        <v>654</v>
      </c>
      <c r="DM44" s="323" t="s">
        <v>655</v>
      </c>
      <c r="DN44" s="322" t="s">
        <v>654</v>
      </c>
      <c r="DO44" s="323" t="s">
        <v>655</v>
      </c>
      <c r="DP44" s="322" t="s">
        <v>654</v>
      </c>
      <c r="DQ44" s="323" t="s">
        <v>655</v>
      </c>
      <c r="DR44" s="322" t="s">
        <v>654</v>
      </c>
      <c r="DS44" s="323" t="s">
        <v>655</v>
      </c>
      <c r="DT44" s="322" t="s">
        <v>654</v>
      </c>
      <c r="DU44" s="323" t="s">
        <v>655</v>
      </c>
      <c r="DV44" s="322" t="s">
        <v>654</v>
      </c>
      <c r="DW44" s="323" t="s">
        <v>655</v>
      </c>
      <c r="DX44" s="322" t="s">
        <v>654</v>
      </c>
      <c r="DY44" s="323" t="s">
        <v>655</v>
      </c>
      <c r="DZ44" s="322" t="s">
        <v>654</v>
      </c>
      <c r="EA44" s="323" t="s">
        <v>655</v>
      </c>
      <c r="EB44" s="322" t="s">
        <v>654</v>
      </c>
      <c r="EC44" s="323" t="s">
        <v>655</v>
      </c>
      <c r="ED44" s="322" t="s">
        <v>654</v>
      </c>
      <c r="EE44" s="323" t="s">
        <v>655</v>
      </c>
      <c r="EF44" s="322" t="s">
        <v>654</v>
      </c>
      <c r="EG44" s="323" t="s">
        <v>655</v>
      </c>
      <c r="EH44" s="322" t="s">
        <v>654</v>
      </c>
      <c r="EI44" s="323" t="s">
        <v>655</v>
      </c>
      <c r="EJ44" s="322" t="s">
        <v>654</v>
      </c>
      <c r="EK44" s="323" t="s">
        <v>655</v>
      </c>
      <c r="EL44" s="322" t="s">
        <v>654</v>
      </c>
      <c r="EM44" s="323" t="s">
        <v>655</v>
      </c>
      <c r="EN44" s="322" t="s">
        <v>654</v>
      </c>
      <c r="EO44" s="323" t="s">
        <v>655</v>
      </c>
      <c r="EP44" s="322" t="s">
        <v>654</v>
      </c>
      <c r="EQ44" s="323" t="s">
        <v>655</v>
      </c>
      <c r="ER44" s="322" t="s">
        <v>654</v>
      </c>
      <c r="ES44" s="323" t="s">
        <v>655</v>
      </c>
      <c r="ET44" s="322" t="s">
        <v>654</v>
      </c>
      <c r="EU44" s="323" t="s">
        <v>655</v>
      </c>
      <c r="EV44" s="322" t="s">
        <v>654</v>
      </c>
      <c r="EW44" s="323" t="s">
        <v>655</v>
      </c>
      <c r="EX44" s="322" t="s">
        <v>654</v>
      </c>
      <c r="EY44" s="323" t="s">
        <v>655</v>
      </c>
      <c r="EZ44" s="322" t="s">
        <v>654</v>
      </c>
      <c r="FA44" s="323" t="s">
        <v>655</v>
      </c>
      <c r="FB44" s="322" t="s">
        <v>654</v>
      </c>
      <c r="FC44" s="323" t="s">
        <v>655</v>
      </c>
      <c r="FD44" s="322" t="s">
        <v>654</v>
      </c>
      <c r="FE44" s="323" t="s">
        <v>655</v>
      </c>
      <c r="FF44" s="322" t="s">
        <v>654</v>
      </c>
      <c r="FG44" s="323" t="s">
        <v>655</v>
      </c>
      <c r="FH44" s="322" t="s">
        <v>654</v>
      </c>
      <c r="FI44" s="323" t="s">
        <v>655</v>
      </c>
      <c r="FJ44" s="323" t="s">
        <v>654</v>
      </c>
      <c r="FK44" s="323" t="s">
        <v>655</v>
      </c>
      <c r="FL44" s="322" t="s">
        <v>654</v>
      </c>
      <c r="FM44" s="323" t="s">
        <v>655</v>
      </c>
      <c r="FN44" s="323" t="s">
        <v>654</v>
      </c>
      <c r="FO44" s="323" t="s">
        <v>655</v>
      </c>
      <c r="FP44" s="322" t="s">
        <v>654</v>
      </c>
      <c r="FQ44" s="323" t="s">
        <v>655</v>
      </c>
      <c r="FR44" s="323" t="s">
        <v>654</v>
      </c>
      <c r="FS44" s="323" t="s">
        <v>655</v>
      </c>
      <c r="FT44" s="323" t="s">
        <v>654</v>
      </c>
      <c r="FU44" s="323" t="s">
        <v>655</v>
      </c>
      <c r="FV44" s="323" t="s">
        <v>654</v>
      </c>
      <c r="FW44" s="323" t="s">
        <v>655</v>
      </c>
      <c r="FX44" s="323" t="s">
        <v>654</v>
      </c>
      <c r="FY44" s="323" t="s">
        <v>655</v>
      </c>
      <c r="FZ44" s="323" t="s">
        <v>654</v>
      </c>
      <c r="GA44" s="323" t="s">
        <v>655</v>
      </c>
      <c r="GB44" s="323" t="s">
        <v>654</v>
      </c>
      <c r="GC44" s="323" t="s">
        <v>655</v>
      </c>
      <c r="GD44" s="323" t="s">
        <v>654</v>
      </c>
      <c r="GE44" s="323" t="s">
        <v>655</v>
      </c>
      <c r="GF44" s="323" t="s">
        <v>654</v>
      </c>
      <c r="GG44" s="323" t="s">
        <v>655</v>
      </c>
      <c r="GH44" s="323" t="s">
        <v>654</v>
      </c>
      <c r="GI44" s="323" t="s">
        <v>655</v>
      </c>
      <c r="GJ44" s="323" t="s">
        <v>654</v>
      </c>
      <c r="GK44" s="323" t="s">
        <v>655</v>
      </c>
      <c r="GL44" s="323" t="s">
        <v>654</v>
      </c>
      <c r="GM44" s="323" t="s">
        <v>655</v>
      </c>
      <c r="GN44" s="323" t="s">
        <v>654</v>
      </c>
      <c r="GO44" s="323" t="s">
        <v>655</v>
      </c>
      <c r="GP44" s="323" t="s">
        <v>654</v>
      </c>
      <c r="GQ44" s="323" t="s">
        <v>655</v>
      </c>
      <c r="GR44" s="323" t="s">
        <v>654</v>
      </c>
      <c r="GS44" s="323" t="s">
        <v>655</v>
      </c>
      <c r="GT44" s="323" t="s">
        <v>654</v>
      </c>
      <c r="GU44" s="323" t="s">
        <v>655</v>
      </c>
      <c r="GV44" s="323" t="s">
        <v>654</v>
      </c>
      <c r="GW44" s="323" t="s">
        <v>655</v>
      </c>
      <c r="GX44" s="323" t="s">
        <v>654</v>
      </c>
      <c r="GY44" s="323" t="s">
        <v>655</v>
      </c>
      <c r="GZ44" s="323" t="s">
        <v>654</v>
      </c>
      <c r="HA44" s="323" t="s">
        <v>655</v>
      </c>
      <c r="HB44" s="323" t="s">
        <v>654</v>
      </c>
      <c r="HC44" s="323" t="s">
        <v>655</v>
      </c>
      <c r="HD44" s="323" t="s">
        <v>654</v>
      </c>
      <c r="HE44" s="323" t="s">
        <v>655</v>
      </c>
      <c r="HF44" s="323" t="s">
        <v>654</v>
      </c>
      <c r="HG44" s="323" t="s">
        <v>655</v>
      </c>
      <c r="HH44" s="323" t="s">
        <v>654</v>
      </c>
      <c r="HI44" s="323" t="s">
        <v>655</v>
      </c>
      <c r="HJ44" s="323" t="s">
        <v>654</v>
      </c>
      <c r="HK44" s="323" t="s">
        <v>655</v>
      </c>
      <c r="HL44" s="323" t="s">
        <v>654</v>
      </c>
      <c r="HM44" s="323" t="s">
        <v>655</v>
      </c>
      <c r="HN44" s="323" t="s">
        <v>654</v>
      </c>
      <c r="HO44" s="323" t="s">
        <v>655</v>
      </c>
      <c r="HP44" s="323" t="s">
        <v>654</v>
      </c>
      <c r="HQ44" s="323" t="s">
        <v>655</v>
      </c>
      <c r="HR44" s="323" t="s">
        <v>654</v>
      </c>
      <c r="HS44" s="323" t="s">
        <v>655</v>
      </c>
      <c r="HT44" s="323" t="s">
        <v>654</v>
      </c>
      <c r="HU44" s="323" t="s">
        <v>655</v>
      </c>
      <c r="HV44" s="323" t="s">
        <v>654</v>
      </c>
      <c r="HW44" s="323" t="s">
        <v>655</v>
      </c>
      <c r="HX44" s="323" t="s">
        <v>654</v>
      </c>
      <c r="HY44" s="323" t="s">
        <v>655</v>
      </c>
    </row>
    <row r="45" spans="1:233" x14ac:dyDescent="0.55000000000000004">
      <c r="B45" s="81">
        <v>1</v>
      </c>
      <c r="C45" s="342" t="s">
        <v>261</v>
      </c>
      <c r="D45" s="122">
        <v>12.168366908909052</v>
      </c>
      <c r="E45" s="122">
        <v>83513.984709680037</v>
      </c>
      <c r="F45" s="122">
        <v>11.110339632678288</v>
      </c>
      <c r="G45" s="122">
        <v>128891.11092077302</v>
      </c>
      <c r="H45" s="122">
        <v>10.367339538080376</v>
      </c>
      <c r="I45" s="122">
        <v>177808.96570341356</v>
      </c>
      <c r="J45" s="122">
        <v>9.3329130024954434</v>
      </c>
      <c r="K45" s="122">
        <v>220017.13784749003</v>
      </c>
      <c r="L45" s="122">
        <v>11.062366896116425</v>
      </c>
      <c r="M45" s="122">
        <v>277111.94260587997</v>
      </c>
      <c r="N45" s="122">
        <v>11.925417435174392</v>
      </c>
      <c r="O45" s="122">
        <v>363153.73906758195</v>
      </c>
      <c r="P45" s="122">
        <v>9.3024784021658284</v>
      </c>
      <c r="Q45" s="122">
        <v>224827.32727648498</v>
      </c>
      <c r="R45" s="122">
        <v>9.1564135631492771</v>
      </c>
      <c r="S45" s="122">
        <v>227038.66431230502</v>
      </c>
      <c r="T45" s="122">
        <v>8.9603401031310383</v>
      </c>
      <c r="U45" s="122">
        <v>233962.28437781642</v>
      </c>
      <c r="V45" s="122">
        <v>9.2194803004850314</v>
      </c>
      <c r="W45" s="122">
        <v>237651.13246366894</v>
      </c>
      <c r="X45" s="122">
        <v>9.3381763924283661</v>
      </c>
      <c r="Y45" s="122">
        <v>240907.32416424743</v>
      </c>
      <c r="Z45" s="122">
        <v>9.4399797836929089</v>
      </c>
      <c r="AA45" s="122">
        <v>244462.06014038002</v>
      </c>
      <c r="AB45" s="122">
        <v>10.017989507609444</v>
      </c>
      <c r="AC45" s="122">
        <v>246129.03827587195</v>
      </c>
      <c r="AD45" s="122">
        <v>10.361554255581057</v>
      </c>
      <c r="AE45" s="122">
        <v>249547.24204538608</v>
      </c>
      <c r="AF45" s="122">
        <v>10.564527641834118</v>
      </c>
      <c r="AG45" s="122">
        <v>250562.28390545287</v>
      </c>
      <c r="AH45" s="122">
        <v>10.17375024252533</v>
      </c>
      <c r="AI45" s="122">
        <v>253060.52578484896</v>
      </c>
      <c r="AJ45" s="122">
        <v>10.93662176218476</v>
      </c>
      <c r="AK45" s="122">
        <v>257682.54615738799</v>
      </c>
      <c r="AL45" s="122">
        <v>11.062366896116425</v>
      </c>
      <c r="AM45" s="122">
        <v>277111.94260587997</v>
      </c>
      <c r="AN45" s="122">
        <v>11.312659959914757</v>
      </c>
      <c r="AO45" s="122">
        <v>280491.83979009802</v>
      </c>
      <c r="AP45" s="122">
        <v>11.429196627045632</v>
      </c>
      <c r="AQ45" s="122">
        <v>285171.66771098692</v>
      </c>
      <c r="AR45" s="122">
        <v>11.470944076072003</v>
      </c>
      <c r="AS45" s="122">
        <v>290444.14207548695</v>
      </c>
      <c r="AT45" s="122">
        <v>11.264382343271979</v>
      </c>
      <c r="AU45" s="122">
        <v>289539.18510607147</v>
      </c>
      <c r="AV45" s="122">
        <v>10.827239009819365</v>
      </c>
      <c r="AW45" s="122">
        <v>303123.46227010223</v>
      </c>
      <c r="AX45" s="122">
        <v>11.474382183338662</v>
      </c>
      <c r="AY45" s="122">
        <v>308765.07489527308</v>
      </c>
      <c r="AZ45" s="122">
        <v>11.567769321177218</v>
      </c>
      <c r="BA45" s="122">
        <v>315917.8819729049</v>
      </c>
      <c r="BB45" s="122">
        <v>11.636055564559522</v>
      </c>
      <c r="BC45" s="122">
        <v>318316.24172262667</v>
      </c>
      <c r="BD45" s="122">
        <v>11.759991154978005</v>
      </c>
      <c r="BE45" s="122">
        <v>324318.81010334718</v>
      </c>
      <c r="BF45" s="122">
        <v>11.981228278342144</v>
      </c>
      <c r="BG45" s="122">
        <v>335598.80742211523</v>
      </c>
      <c r="BH45" s="122">
        <v>11.981228278342144</v>
      </c>
      <c r="BI45" s="122">
        <v>335598.80742211523</v>
      </c>
      <c r="BJ45" s="122">
        <v>11.925417435174392</v>
      </c>
      <c r="BK45" s="122">
        <v>363153.73906758195</v>
      </c>
      <c r="BL45" s="122">
        <v>12.032508619820311</v>
      </c>
      <c r="BM45" s="122">
        <v>371125.23923774692</v>
      </c>
      <c r="BN45" s="122">
        <v>11.959848791656611</v>
      </c>
      <c r="BO45" s="122">
        <v>378505.37184991472</v>
      </c>
      <c r="BP45" s="122">
        <v>11.95751090607574</v>
      </c>
      <c r="BQ45" s="122">
        <v>389289.85498886969</v>
      </c>
      <c r="BR45" s="122">
        <v>11.911827233754686</v>
      </c>
      <c r="BS45" s="122">
        <v>392989.57709257863</v>
      </c>
      <c r="BT45" s="122">
        <v>11.892423384100967</v>
      </c>
      <c r="BU45" s="122">
        <v>399715.90354523616</v>
      </c>
      <c r="BV45" s="122">
        <v>11.928509777185603</v>
      </c>
      <c r="BW45" s="122">
        <v>409391.09819548321</v>
      </c>
      <c r="BX45" s="122">
        <v>11.955030257900495</v>
      </c>
      <c r="BY45" s="122">
        <v>420621.82611045276</v>
      </c>
      <c r="BZ45" s="122">
        <v>11.844962971091659</v>
      </c>
      <c r="CA45" s="122">
        <v>427318.03235454828</v>
      </c>
      <c r="CB45" s="122">
        <v>11.861109984298798</v>
      </c>
      <c r="CC45" s="122">
        <v>439349.96335103712</v>
      </c>
      <c r="CD45" s="122">
        <v>11.793542745690329</v>
      </c>
      <c r="CE45" s="122">
        <v>445327.11900377902</v>
      </c>
      <c r="CF45" s="122">
        <v>11.826899524692514</v>
      </c>
      <c r="CG45" s="122">
        <v>456032.87530772708</v>
      </c>
      <c r="CH45" s="122">
        <v>11.783815406794414</v>
      </c>
      <c r="CI45" s="122">
        <v>466573.65714741265</v>
      </c>
      <c r="CJ45" s="122">
        <v>11.694620487350852</v>
      </c>
      <c r="CK45" s="122">
        <v>479429.9969788983</v>
      </c>
      <c r="CL45" s="122">
        <v>11.593494610560775</v>
      </c>
      <c r="CM45" s="122">
        <v>489218.30374133191</v>
      </c>
      <c r="CN45" s="122">
        <v>11.63546078841666</v>
      </c>
      <c r="CO45" s="122">
        <v>504773.97240063467</v>
      </c>
      <c r="CP45" s="122">
        <v>11.700627592513626</v>
      </c>
      <c r="CQ45" s="122">
        <v>511907.00886674307</v>
      </c>
      <c r="CR45" s="122">
        <v>11.657098273263575</v>
      </c>
      <c r="CS45" s="122">
        <v>522865.9899168259</v>
      </c>
      <c r="CT45" s="122">
        <v>11.695497925761295</v>
      </c>
      <c r="CU45" s="122">
        <v>542609.88326262741</v>
      </c>
      <c r="CV45" s="122">
        <v>11.572008456516429</v>
      </c>
      <c r="CW45" s="122">
        <v>552770.75715511024</v>
      </c>
      <c r="CX45" s="122">
        <v>11.592456729689781</v>
      </c>
      <c r="CY45" s="122">
        <v>569825.14327368478</v>
      </c>
      <c r="CZ45" s="122">
        <v>11.547765128102455</v>
      </c>
      <c r="DA45" s="122">
        <v>587558.32782559155</v>
      </c>
      <c r="DB45" s="122">
        <v>11.324121842718283</v>
      </c>
      <c r="DC45" s="122">
        <v>589816.01212038565</v>
      </c>
      <c r="DD45" s="122">
        <v>11.031689911790734</v>
      </c>
      <c r="DE45" s="122">
        <v>597357.47890688595</v>
      </c>
      <c r="DF45" s="122">
        <v>10.601130731715156</v>
      </c>
      <c r="DG45" s="122">
        <v>608333.34600613685</v>
      </c>
      <c r="DH45" s="122">
        <v>10.714418045162795</v>
      </c>
      <c r="DI45" s="122">
        <v>613974.9316075166</v>
      </c>
      <c r="DJ45" s="122">
        <v>10.41225922528786</v>
      </c>
      <c r="DK45" s="122">
        <v>616175.87477229186</v>
      </c>
      <c r="DL45" s="122">
        <v>9.8828892946198881</v>
      </c>
      <c r="DM45" s="122">
        <v>629178.40369643725</v>
      </c>
      <c r="DN45" s="122">
        <v>9.7699046826093614</v>
      </c>
      <c r="DO45" s="122">
        <v>640274.63175557496</v>
      </c>
      <c r="DP45" s="122">
        <v>9.3788773837692361</v>
      </c>
      <c r="DQ45" s="122">
        <v>647513.75679969636</v>
      </c>
      <c r="DR45" s="122">
        <v>8.9796767511952442</v>
      </c>
      <c r="DS45" s="122">
        <v>671682.82853892003</v>
      </c>
      <c r="DT45" s="122">
        <v>8.6805714133845626</v>
      </c>
      <c r="DU45" s="122">
        <v>680003.03755100037</v>
      </c>
      <c r="DV45" s="122">
        <v>8.6569360567613298</v>
      </c>
      <c r="DW45" s="122">
        <v>704691.22089389758</v>
      </c>
      <c r="DX45" s="122">
        <v>8.5156134690179002</v>
      </c>
      <c r="DY45" s="122">
        <v>736281.09171617532</v>
      </c>
      <c r="DZ45" s="122">
        <v>8.2925180360778263</v>
      </c>
      <c r="EA45" s="122">
        <v>752394.65968982247</v>
      </c>
      <c r="EB45" s="122">
        <v>8.2375919048484132</v>
      </c>
      <c r="EC45" s="122">
        <v>752139.48999571102</v>
      </c>
      <c r="ED45" s="122">
        <v>8.1508535052480973</v>
      </c>
      <c r="EE45" s="122">
        <v>785336.79107589449</v>
      </c>
      <c r="EF45" s="122">
        <v>8.1859335633753822</v>
      </c>
      <c r="EG45" s="122">
        <v>801190.61958081613</v>
      </c>
      <c r="EH45" s="122">
        <v>8.219535191140249</v>
      </c>
      <c r="EI45" s="122">
        <v>826523.40380751551</v>
      </c>
      <c r="EJ45" s="122">
        <v>8.2610408004687237</v>
      </c>
      <c r="EK45" s="122">
        <v>840192.78221650457</v>
      </c>
      <c r="EL45" s="122">
        <v>8.5606679283274314</v>
      </c>
      <c r="EM45" s="122">
        <v>845065.2611341041</v>
      </c>
      <c r="EN45" s="122">
        <v>8.7659480801295633</v>
      </c>
      <c r="EO45" s="122">
        <v>855781.38011059596</v>
      </c>
      <c r="EP45" s="122">
        <v>9.0236210146996445</v>
      </c>
      <c r="EQ45" s="122">
        <v>868038.23597746657</v>
      </c>
      <c r="ER45" s="122">
        <v>9.6844901013313951</v>
      </c>
      <c r="ES45" s="122">
        <v>879787.00756748347</v>
      </c>
      <c r="ET45" s="122">
        <v>9.8727159436991787</v>
      </c>
      <c r="EU45" s="122">
        <v>895441.3947988837</v>
      </c>
      <c r="EV45" s="122">
        <v>10.22400611533595</v>
      </c>
      <c r="EW45" s="122">
        <v>936387.15949833253</v>
      </c>
      <c r="EX45" s="122">
        <v>10.838002643167611</v>
      </c>
      <c r="EY45" s="122">
        <v>937917.0741933923</v>
      </c>
      <c r="EZ45" s="122">
        <v>10.951677222754769</v>
      </c>
      <c r="FA45" s="122">
        <v>974856.36620873911</v>
      </c>
      <c r="FB45" s="122">
        <v>11.031335237510849</v>
      </c>
      <c r="FC45" s="122">
        <v>1029228.1208625347</v>
      </c>
      <c r="FD45" s="122">
        <v>11.525238879719874</v>
      </c>
      <c r="FE45" s="122">
        <v>1050972.8290654998</v>
      </c>
      <c r="FF45" s="122">
        <v>11.667938748435221</v>
      </c>
      <c r="FG45" s="122">
        <v>1039147.5126213243</v>
      </c>
      <c r="FH45" s="122">
        <v>11.688128606840346</v>
      </c>
      <c r="FI45" s="122">
        <v>1071393.7469946577</v>
      </c>
      <c r="FJ45" s="122">
        <v>12.118961743364366</v>
      </c>
      <c r="FK45" s="122">
        <v>1078733.3301619473</v>
      </c>
      <c r="FL45" s="122">
        <v>12.180127251119211</v>
      </c>
      <c r="FM45" s="122">
        <v>1089840.7732531128</v>
      </c>
      <c r="FN45" s="122">
        <v>12.099625661790215</v>
      </c>
      <c r="FO45" s="122">
        <v>1142484.6548335636</v>
      </c>
      <c r="FP45" s="122">
        <v>12.934361906876594</v>
      </c>
      <c r="FQ45" s="122">
        <v>1183654.509058285</v>
      </c>
      <c r="FR45" s="122">
        <v>13.035590830945708</v>
      </c>
      <c r="FS45" s="122">
        <v>1179051.1778432683</v>
      </c>
      <c r="FT45" s="122">
        <v>13.148769477569719</v>
      </c>
      <c r="FU45" s="122">
        <v>1231507.9392488189</v>
      </c>
      <c r="FV45" s="122">
        <v>12.865855993913252</v>
      </c>
      <c r="FW45" s="122">
        <v>1253291.6644182841</v>
      </c>
      <c r="FX45" s="122">
        <v>12.695027189060754</v>
      </c>
      <c r="FY45" s="122">
        <v>1277835.571491569</v>
      </c>
      <c r="FZ45" s="122">
        <v>12.48481741781508</v>
      </c>
      <c r="GA45" s="122">
        <v>1278105.2688449405</v>
      </c>
      <c r="GB45" s="122">
        <v>12.125104595202188</v>
      </c>
      <c r="GC45" s="122">
        <v>1409236.040047637</v>
      </c>
      <c r="GD45" s="122">
        <v>12.358357600635337</v>
      </c>
      <c r="GE45" s="122">
        <v>1443931.3332045183</v>
      </c>
      <c r="GF45" s="122">
        <v>11.550524421056007</v>
      </c>
      <c r="GG45" s="122">
        <v>1474123.6757471727</v>
      </c>
      <c r="GH45" s="122">
        <v>12.258020867237784</v>
      </c>
      <c r="GI45" s="122">
        <v>1498289.0923541822</v>
      </c>
      <c r="GJ45" s="122">
        <v>12.090175225477957</v>
      </c>
      <c r="GK45" s="122">
        <v>1519085.1405224511</v>
      </c>
      <c r="GL45" s="122">
        <v>11.834136908876497</v>
      </c>
      <c r="GM45" s="122">
        <v>1561806.8480537641</v>
      </c>
      <c r="GN45" s="122">
        <v>11.486330803575335</v>
      </c>
      <c r="GO45" s="122">
        <v>1572696.2025398815</v>
      </c>
      <c r="GP45" s="122">
        <v>11.278503602818034</v>
      </c>
      <c r="GQ45" s="122">
        <v>1600232.8827432231</v>
      </c>
      <c r="GR45" s="122">
        <v>11.019966306033734</v>
      </c>
      <c r="GS45" s="122">
        <v>1624738.5342567221</v>
      </c>
      <c r="GT45" s="122">
        <v>10.763489540292825</v>
      </c>
      <c r="GU45" s="122">
        <v>1640364.3505549938</v>
      </c>
      <c r="GV45" s="122">
        <v>10.517541059522962</v>
      </c>
      <c r="GW45" s="122">
        <v>1652237.9659540718</v>
      </c>
      <c r="GX45" s="122">
        <v>10.326380688759166</v>
      </c>
      <c r="GY45" s="122">
        <v>1689689.3815773684</v>
      </c>
      <c r="GZ45" s="122">
        <v>10.128226885095525</v>
      </c>
      <c r="HA45" s="122">
        <v>1692750.3588814486</v>
      </c>
      <c r="HB45" s="122">
        <v>9.8957750229112591</v>
      </c>
      <c r="HC45" s="122">
        <v>1718491.1569457985</v>
      </c>
      <c r="HD45" s="122">
        <v>9.6099915486375842</v>
      </c>
      <c r="HE45" s="122">
        <v>1734321.2782334897</v>
      </c>
      <c r="HF45" s="122">
        <v>9.3900718382060742</v>
      </c>
      <c r="HG45" s="122">
        <v>1734865.2528778987</v>
      </c>
      <c r="HH45" s="122">
        <v>9.2527986302502541</v>
      </c>
      <c r="HI45" s="122">
        <v>1721777.9404047949</v>
      </c>
      <c r="HJ45" s="122">
        <v>8.9561784385811176</v>
      </c>
      <c r="HK45" s="122">
        <v>1737166.2697422609</v>
      </c>
      <c r="HL45" s="122">
        <v>8.7102772186594315</v>
      </c>
      <c r="HM45" s="122">
        <v>1748336.370970685</v>
      </c>
      <c r="HN45" s="122">
        <v>8.5359486429230351</v>
      </c>
      <c r="HO45" s="122">
        <v>1759868.9555744475</v>
      </c>
      <c r="HP45" s="122">
        <v>8.2972407774165013</v>
      </c>
      <c r="HQ45" s="122">
        <v>1768462.2975739478</v>
      </c>
      <c r="HR45" s="122">
        <v>8.2105771936978655</v>
      </c>
      <c r="HS45" s="122">
        <v>1771250.2434032091</v>
      </c>
      <c r="HT45" s="122">
        <v>8.1360963282002317</v>
      </c>
      <c r="HU45" s="122">
        <v>1769690.2845870708</v>
      </c>
      <c r="HV45" s="122">
        <v>7.9970899073239226</v>
      </c>
      <c r="HW45" s="122">
        <v>1803110.3593264478</v>
      </c>
      <c r="HX45" s="122">
        <v>7.8779884609274928</v>
      </c>
      <c r="HY45" s="122">
        <v>1807679.4774279858</v>
      </c>
    </row>
    <row r="46" spans="1:233" x14ac:dyDescent="0.55000000000000004">
      <c r="B46" s="81">
        <v>2</v>
      </c>
      <c r="C46" s="342" t="s">
        <v>262</v>
      </c>
      <c r="D46" s="122">
        <v>12.466921896069669</v>
      </c>
      <c r="E46" s="122">
        <v>134667.5952513814</v>
      </c>
      <c r="F46" s="122">
        <v>10.895549121464439</v>
      </c>
      <c r="G46" s="122">
        <v>163611.35215547998</v>
      </c>
      <c r="H46" s="122">
        <v>9.9246832652886692</v>
      </c>
      <c r="I46" s="122">
        <v>198141.51297102001</v>
      </c>
      <c r="J46" s="122">
        <v>9.4709182722281557</v>
      </c>
      <c r="K46" s="122">
        <v>237791.00025306101</v>
      </c>
      <c r="L46" s="122">
        <v>11.92888114850186</v>
      </c>
      <c r="M46" s="122">
        <v>310486.80034945789</v>
      </c>
      <c r="N46" s="122">
        <v>12.819766205620024</v>
      </c>
      <c r="O46" s="122">
        <v>348911.75798947777</v>
      </c>
      <c r="P46" s="122">
        <v>9.3212879801637829</v>
      </c>
      <c r="Q46" s="122">
        <v>242714.87287548688</v>
      </c>
      <c r="R46" s="122">
        <v>9.1975389387164608</v>
      </c>
      <c r="S46" s="122">
        <v>255207.21694222718</v>
      </c>
      <c r="T46" s="122">
        <v>9.2272620650682899</v>
      </c>
      <c r="U46" s="122">
        <v>260956.19522734682</v>
      </c>
      <c r="V46" s="122">
        <v>9.3622483683741873</v>
      </c>
      <c r="W46" s="122">
        <v>265017.462230907</v>
      </c>
      <c r="X46" s="122">
        <v>9.4405070352846749</v>
      </c>
      <c r="Y46" s="122">
        <v>277704.78903646703</v>
      </c>
      <c r="Z46" s="122">
        <v>9.7373649618791607</v>
      </c>
      <c r="AA46" s="122">
        <v>285840.26940890908</v>
      </c>
      <c r="AB46" s="122">
        <v>10.545758470901465</v>
      </c>
      <c r="AC46" s="122">
        <v>287328.53426568798</v>
      </c>
      <c r="AD46" s="122">
        <v>11.040284115884686</v>
      </c>
      <c r="AE46" s="122">
        <v>286657.06974427495</v>
      </c>
      <c r="AF46" s="122">
        <v>11.374770129957287</v>
      </c>
      <c r="AG46" s="122">
        <v>293230.95059713698</v>
      </c>
      <c r="AH46" s="122">
        <v>10.667400001517425</v>
      </c>
      <c r="AI46" s="122">
        <v>290775.43302072684</v>
      </c>
      <c r="AJ46" s="122">
        <v>11.793883396934886</v>
      </c>
      <c r="AK46" s="122">
        <v>290633.71295846399</v>
      </c>
      <c r="AL46" s="122">
        <v>11.92888114850186</v>
      </c>
      <c r="AM46" s="122">
        <v>310486.80034945789</v>
      </c>
      <c r="AN46" s="122">
        <v>12.201427960381295</v>
      </c>
      <c r="AO46" s="122">
        <v>303165.0813288152</v>
      </c>
      <c r="AP46" s="122">
        <v>12.416752656118026</v>
      </c>
      <c r="AQ46" s="122">
        <v>304901.56885597325</v>
      </c>
      <c r="AR46" s="122">
        <v>12.277432792375921</v>
      </c>
      <c r="AS46" s="122">
        <v>315068.67095262313</v>
      </c>
      <c r="AT46" s="122">
        <v>12.098210731694614</v>
      </c>
      <c r="AU46" s="122">
        <v>312067.51455826609</v>
      </c>
      <c r="AV46" s="122">
        <v>11.498873581010571</v>
      </c>
      <c r="AW46" s="122">
        <v>320363.58133056405</v>
      </c>
      <c r="AX46" s="122">
        <v>12.289565439762578</v>
      </c>
      <c r="AY46" s="122">
        <v>335972.26784683304</v>
      </c>
      <c r="AZ46" s="122">
        <v>12.392637232580395</v>
      </c>
      <c r="BA46" s="122">
        <v>340204.58765918505</v>
      </c>
      <c r="BB46" s="122">
        <v>12.533626944205313</v>
      </c>
      <c r="BC46" s="122">
        <v>340611.44378796814</v>
      </c>
      <c r="BD46" s="122">
        <v>12.636944368872404</v>
      </c>
      <c r="BE46" s="122">
        <v>348439.17792338791</v>
      </c>
      <c r="BF46" s="122">
        <v>12.95338530242597</v>
      </c>
      <c r="BG46" s="122">
        <v>351682.84847978497</v>
      </c>
      <c r="BH46" s="122">
        <v>12.95338530242597</v>
      </c>
      <c r="BI46" s="122">
        <v>351682.84847978497</v>
      </c>
      <c r="BJ46" s="122">
        <v>12.819766205620024</v>
      </c>
      <c r="BK46" s="122">
        <v>348911.75798947777</v>
      </c>
      <c r="BL46" s="122">
        <v>12.929145325699782</v>
      </c>
      <c r="BM46" s="122">
        <v>344194.12764277105</v>
      </c>
      <c r="BN46" s="122">
        <v>12.755241817589624</v>
      </c>
      <c r="BO46" s="122">
        <v>351228.00289183034</v>
      </c>
      <c r="BP46" s="122">
        <v>12.808575573073149</v>
      </c>
      <c r="BQ46" s="122">
        <v>362044.83150955418</v>
      </c>
      <c r="BR46" s="122">
        <v>12.599048594407419</v>
      </c>
      <c r="BS46" s="122">
        <v>361144.72928686929</v>
      </c>
      <c r="BT46" s="122">
        <v>12.588714691964201</v>
      </c>
      <c r="BU46" s="122">
        <v>365472.98850524903</v>
      </c>
      <c r="BV46" s="122">
        <v>12.600328843431827</v>
      </c>
      <c r="BW46" s="122">
        <v>378395.4564236523</v>
      </c>
      <c r="BX46" s="122">
        <v>12.846588740279794</v>
      </c>
      <c r="BY46" s="122">
        <v>379082.21092336398</v>
      </c>
      <c r="BZ46" s="122">
        <v>12.802085289839749</v>
      </c>
      <c r="CA46" s="122">
        <v>376968.91878107114</v>
      </c>
      <c r="CB46" s="122">
        <v>12.605994157685306</v>
      </c>
      <c r="CC46" s="122">
        <v>385468.18090922688</v>
      </c>
      <c r="CD46" s="122">
        <v>12.543496919895277</v>
      </c>
      <c r="CE46" s="122">
        <v>375228.26145259454</v>
      </c>
      <c r="CF46" s="122">
        <v>12.476536572261047</v>
      </c>
      <c r="CG46" s="122">
        <v>374464.83346492104</v>
      </c>
      <c r="CH46" s="122">
        <v>12.443615552116775</v>
      </c>
      <c r="CI46" s="122">
        <v>374788.38028456562</v>
      </c>
      <c r="CJ46" s="122">
        <v>12.365554841866263</v>
      </c>
      <c r="CK46" s="122">
        <v>368380.55448263447</v>
      </c>
      <c r="CL46" s="122">
        <v>12.253022227854776</v>
      </c>
      <c r="CM46" s="122">
        <v>373059.21579078439</v>
      </c>
      <c r="CN46" s="122">
        <v>12.228900224253636</v>
      </c>
      <c r="CO46" s="122">
        <v>382346.13026833191</v>
      </c>
      <c r="CP46" s="122">
        <v>12.257131502151626</v>
      </c>
      <c r="CQ46" s="122">
        <v>381762.77764392359</v>
      </c>
      <c r="CR46" s="122">
        <v>12.246163193829384</v>
      </c>
      <c r="CS46" s="122">
        <v>385777.33664954157</v>
      </c>
      <c r="CT46" s="122">
        <v>12.217906229037883</v>
      </c>
      <c r="CU46" s="122">
        <v>397789.10993568663</v>
      </c>
      <c r="CV46" s="122">
        <v>12.194812457654191</v>
      </c>
      <c r="CW46" s="122">
        <v>396507.85567233554</v>
      </c>
      <c r="CX46" s="122">
        <v>12.202758801901878</v>
      </c>
      <c r="CY46" s="122">
        <v>408368.6902867867</v>
      </c>
      <c r="CZ46" s="122">
        <v>12.125465819342748</v>
      </c>
      <c r="DA46" s="122">
        <v>414993.7363153809</v>
      </c>
      <c r="DB46" s="122">
        <v>12.051639431356305</v>
      </c>
      <c r="DC46" s="122">
        <v>405601.72875722306</v>
      </c>
      <c r="DD46" s="122">
        <v>11.612701001295692</v>
      </c>
      <c r="DE46" s="122">
        <v>401971.75884702033</v>
      </c>
      <c r="DF46" s="122">
        <v>11.182029190279131</v>
      </c>
      <c r="DG46" s="122">
        <v>421258.15984638978</v>
      </c>
      <c r="DH46" s="122">
        <v>10.916715034678754</v>
      </c>
      <c r="DI46" s="122">
        <v>411744.97609995119</v>
      </c>
      <c r="DJ46" s="122">
        <v>10.659207137168197</v>
      </c>
      <c r="DK46" s="122">
        <v>417436.90632546658</v>
      </c>
      <c r="DL46" s="122">
        <v>10.315894890460404</v>
      </c>
      <c r="DM46" s="122">
        <v>438658.42915670475</v>
      </c>
      <c r="DN46" s="122">
        <v>9.9855805314680559</v>
      </c>
      <c r="DO46" s="122">
        <v>440590.36120096972</v>
      </c>
      <c r="DP46" s="122">
        <v>9.826466447203309</v>
      </c>
      <c r="DQ46" s="122">
        <v>451030.92171399452</v>
      </c>
      <c r="DR46" s="122">
        <v>9.5342482891972704</v>
      </c>
      <c r="DS46" s="122">
        <v>478029.8796785645</v>
      </c>
      <c r="DT46" s="122">
        <v>9.2188604323503043</v>
      </c>
      <c r="DU46" s="122">
        <v>484835.99706888874</v>
      </c>
      <c r="DV46" s="122">
        <v>9.1513940974590078</v>
      </c>
      <c r="DW46" s="122">
        <v>503301.25283611461</v>
      </c>
      <c r="DX46" s="122">
        <v>8.9585061131363606</v>
      </c>
      <c r="DY46" s="122">
        <v>541190.62705870799</v>
      </c>
      <c r="DZ46" s="122">
        <v>8.7920489238679593</v>
      </c>
      <c r="EA46" s="122">
        <v>542892.9447460043</v>
      </c>
      <c r="EB46" s="122">
        <v>8.8245433690748349</v>
      </c>
      <c r="EC46" s="122">
        <v>544430.41293882928</v>
      </c>
      <c r="ED46" s="122">
        <v>8.7939380859557197</v>
      </c>
      <c r="EE46" s="122">
        <v>548473.70845108572</v>
      </c>
      <c r="EF46" s="122">
        <v>8.7884236871644639</v>
      </c>
      <c r="EG46" s="122">
        <v>558358.74502342555</v>
      </c>
      <c r="EH46" s="122">
        <v>8.8750494739825729</v>
      </c>
      <c r="EI46" s="122">
        <v>586769.38339671178</v>
      </c>
      <c r="EJ46" s="122">
        <v>8.9270537282239601</v>
      </c>
      <c r="EK46" s="122">
        <v>625605.56634549983</v>
      </c>
      <c r="EL46" s="122">
        <v>9.3870025508174137</v>
      </c>
      <c r="EM46" s="122">
        <v>630637.46646413091</v>
      </c>
      <c r="EN46" s="122">
        <v>9.5750249896401129</v>
      </c>
      <c r="EO46" s="122">
        <v>643653.931251231</v>
      </c>
      <c r="EP46" s="122">
        <v>9.6850935946315193</v>
      </c>
      <c r="EQ46" s="122">
        <v>666446.00365033792</v>
      </c>
      <c r="ER46" s="122">
        <v>10.619959446994038</v>
      </c>
      <c r="ES46" s="122">
        <v>667393.6491825158</v>
      </c>
      <c r="ET46" s="122">
        <v>10.830379384326031</v>
      </c>
      <c r="EU46" s="122">
        <v>669361.95820973278</v>
      </c>
      <c r="EV46" s="122">
        <v>11.072333876183011</v>
      </c>
      <c r="EW46" s="122">
        <v>673531.72532328067</v>
      </c>
      <c r="EX46" s="122">
        <v>11.869090247496858</v>
      </c>
      <c r="EY46" s="122">
        <v>647350.89062747033</v>
      </c>
      <c r="EZ46" s="122">
        <v>11.858974911239818</v>
      </c>
      <c r="FA46" s="122">
        <v>613730.10266491026</v>
      </c>
      <c r="FB46" s="122">
        <v>11.873177709611666</v>
      </c>
      <c r="FC46" s="122">
        <v>619785.23234355892</v>
      </c>
      <c r="FD46" s="122">
        <v>12.312085690332232</v>
      </c>
      <c r="FE46" s="122">
        <v>626997.09637311345</v>
      </c>
      <c r="FF46" s="122">
        <v>12.544991697397025</v>
      </c>
      <c r="FG46" s="122">
        <v>649523.81437057559</v>
      </c>
      <c r="FH46" s="122">
        <v>12.645497832510834</v>
      </c>
      <c r="FI46" s="122">
        <v>654900.78865018371</v>
      </c>
      <c r="FJ46" s="122">
        <v>13.288964670433698</v>
      </c>
      <c r="FK46" s="122">
        <v>687256.17281057779</v>
      </c>
      <c r="FL46" s="122">
        <v>13.334076069740577</v>
      </c>
      <c r="FM46" s="122">
        <v>686752.32820515777</v>
      </c>
      <c r="FN46" s="122">
        <v>13.246224777044114</v>
      </c>
      <c r="FO46" s="122">
        <v>679254.43943211716</v>
      </c>
      <c r="FP46" s="122">
        <v>14.406518814624695</v>
      </c>
      <c r="FQ46" s="122">
        <v>244840.12907178202</v>
      </c>
      <c r="FR46" s="122">
        <v>14.578575053766608</v>
      </c>
      <c r="FS46" s="122">
        <v>186636.88299617163</v>
      </c>
      <c r="FT46" s="122">
        <v>14.377031687016528</v>
      </c>
      <c r="FU46" s="122">
        <v>179913.18878158354</v>
      </c>
      <c r="FV46" s="122">
        <v>14.064331165223209</v>
      </c>
      <c r="FW46" s="122">
        <v>172608.86607702146</v>
      </c>
      <c r="FX46" s="122">
        <v>13.839790906481994</v>
      </c>
      <c r="FY46" s="122">
        <v>166879.92817806592</v>
      </c>
      <c r="FZ46" s="122">
        <v>13.564314665301849</v>
      </c>
      <c r="GA46" s="122">
        <v>161773.97036027003</v>
      </c>
      <c r="GB46" s="122">
        <v>12.042637828739462</v>
      </c>
      <c r="GC46" s="122">
        <v>101819.68173351994</v>
      </c>
      <c r="GD46" s="122">
        <v>13.840138000117941</v>
      </c>
      <c r="GE46" s="122">
        <v>92864.194329820006</v>
      </c>
      <c r="GF46" s="122">
        <v>13.654212902793123</v>
      </c>
      <c r="GG46" s="122">
        <v>92543.147731679899</v>
      </c>
      <c r="GH46" s="122">
        <v>13.912317999584108</v>
      </c>
      <c r="GI46" s="122">
        <v>91694.662859369942</v>
      </c>
      <c r="GJ46" s="122">
        <v>13.701783653852139</v>
      </c>
      <c r="GK46" s="122">
        <v>91867.197197149901</v>
      </c>
      <c r="GL46" s="122">
        <v>13.152367665749985</v>
      </c>
      <c r="GM46" s="122">
        <v>91755.711694769969</v>
      </c>
      <c r="GN46" s="122">
        <v>12.942293891499103</v>
      </c>
      <c r="GO46" s="122">
        <v>89596.055374049989</v>
      </c>
      <c r="GP46" s="122">
        <v>12.627979830200802</v>
      </c>
      <c r="GQ46" s="122">
        <v>88499.940186430016</v>
      </c>
      <c r="GR46" s="122">
        <v>12.171014860203261</v>
      </c>
      <c r="GS46" s="122">
        <v>87455.517332189978</v>
      </c>
      <c r="GT46" s="122">
        <v>11.938631835527547</v>
      </c>
      <c r="GU46" s="122">
        <v>86118.851933459402</v>
      </c>
      <c r="GV46" s="122">
        <v>11.656948989585677</v>
      </c>
      <c r="GW46" s="122">
        <v>84611.214815899948</v>
      </c>
      <c r="GX46" s="122">
        <v>11.328342876531501</v>
      </c>
      <c r="GY46" s="122">
        <v>92019.649245279958</v>
      </c>
      <c r="GZ46" s="122">
        <v>11.077625819566407</v>
      </c>
      <c r="HA46" s="122">
        <v>88878.478653559956</v>
      </c>
      <c r="HB46" s="122">
        <v>10.660988070858171</v>
      </c>
      <c r="HC46" s="122">
        <v>89941.255455882434</v>
      </c>
      <c r="HD46" s="122">
        <v>10.353286001458995</v>
      </c>
      <c r="HE46" s="122">
        <v>89465.626897983879</v>
      </c>
      <c r="HF46" s="122">
        <v>10.059703534785505</v>
      </c>
      <c r="HG46" s="122">
        <v>88500.221658639945</v>
      </c>
      <c r="HH46" s="122">
        <v>9.9786300970353743</v>
      </c>
      <c r="HI46" s="122">
        <v>85019.572006793867</v>
      </c>
      <c r="HJ46" s="122">
        <v>9.8171238285761575</v>
      </c>
      <c r="HK46" s="122">
        <v>85664.30317501651</v>
      </c>
      <c r="HL46" s="122">
        <v>9.6131231191308526</v>
      </c>
      <c r="HM46" s="122">
        <v>83668.409708449952</v>
      </c>
      <c r="HN46" s="122">
        <v>9.4154223429499773</v>
      </c>
      <c r="HO46" s="122">
        <v>83783.166026429972</v>
      </c>
      <c r="HP46" s="122">
        <v>8.6430713091220035</v>
      </c>
      <c r="HQ46" s="122">
        <v>84477.277320319976</v>
      </c>
      <c r="HR46" s="122">
        <v>9.1118099729522175</v>
      </c>
      <c r="HS46" s="122">
        <v>83923.613190663862</v>
      </c>
      <c r="HT46" s="122">
        <v>8.9784872586101603</v>
      </c>
      <c r="HU46" s="122">
        <v>84078.382946610014</v>
      </c>
      <c r="HV46" s="122">
        <v>8.620377497210276</v>
      </c>
      <c r="HW46" s="122">
        <v>86616.525147803855</v>
      </c>
      <c r="HX46" s="122">
        <v>8.4720594922409074</v>
      </c>
      <c r="HY46" s="122">
        <v>84210.102312793882</v>
      </c>
    </row>
    <row r="47" spans="1:233" x14ac:dyDescent="0.55000000000000004">
      <c r="B47" s="81">
        <v>3</v>
      </c>
      <c r="C47" s="342" t="s">
        <v>263</v>
      </c>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2"/>
      <c r="CH47" s="122"/>
      <c r="CI47" s="122"/>
      <c r="CJ47" s="122"/>
      <c r="CK47" s="122"/>
      <c r="CL47" s="122"/>
      <c r="CM47" s="122"/>
      <c r="CN47" s="122"/>
      <c r="CO47" s="122"/>
      <c r="CP47" s="122"/>
      <c r="CQ47" s="122"/>
      <c r="CR47" s="122"/>
      <c r="CS47" s="122"/>
      <c r="CT47" s="122"/>
      <c r="CU47" s="122"/>
      <c r="CV47" s="122"/>
      <c r="CW47" s="122"/>
      <c r="CX47" s="122"/>
      <c r="CY47" s="122"/>
      <c r="CZ47" s="122"/>
      <c r="DA47" s="122"/>
      <c r="DB47" s="122"/>
      <c r="DC47" s="122"/>
      <c r="DD47" s="122"/>
      <c r="DE47" s="122"/>
      <c r="DF47" s="122"/>
      <c r="DG47" s="122"/>
      <c r="DH47" s="122"/>
      <c r="DI47" s="122"/>
      <c r="DJ47" s="122"/>
      <c r="DK47" s="122"/>
      <c r="DL47" s="122"/>
      <c r="DM47" s="122"/>
      <c r="DN47" s="122"/>
      <c r="DO47" s="122"/>
      <c r="DP47" s="122"/>
      <c r="DQ47" s="122"/>
      <c r="DR47" s="122"/>
      <c r="DS47" s="122"/>
      <c r="DT47" s="122"/>
      <c r="DU47" s="122"/>
      <c r="DV47" s="122"/>
      <c r="DW47" s="122"/>
      <c r="DX47" s="122"/>
      <c r="DY47" s="122"/>
      <c r="DZ47" s="122"/>
      <c r="EA47" s="122"/>
      <c r="EB47" s="122"/>
      <c r="EC47" s="122"/>
      <c r="ED47" s="122"/>
      <c r="EE47" s="122"/>
      <c r="EF47" s="122"/>
      <c r="EG47" s="122"/>
      <c r="EH47" s="122"/>
      <c r="EI47" s="122"/>
      <c r="EJ47" s="122"/>
      <c r="EK47" s="122"/>
      <c r="EL47" s="122"/>
      <c r="EM47" s="122"/>
      <c r="EN47" s="122"/>
      <c r="EO47" s="122"/>
      <c r="EP47" s="122"/>
      <c r="EQ47" s="122"/>
      <c r="ER47" s="122"/>
      <c r="ES47" s="122"/>
      <c r="ET47" s="122"/>
      <c r="EU47" s="122"/>
      <c r="EV47" s="122"/>
      <c r="EW47" s="122"/>
      <c r="EX47" s="122"/>
      <c r="EY47" s="122"/>
      <c r="EZ47" s="122"/>
      <c r="FA47" s="122"/>
      <c r="FB47" s="122"/>
      <c r="FC47" s="122"/>
      <c r="FD47" s="122"/>
      <c r="FE47" s="122"/>
      <c r="FF47" s="122"/>
      <c r="FG47" s="122"/>
      <c r="FH47" s="122"/>
      <c r="FI47" s="122"/>
      <c r="FJ47" s="122"/>
      <c r="FK47" s="122"/>
      <c r="FL47" s="122"/>
      <c r="FM47" s="122"/>
      <c r="FN47" s="122"/>
      <c r="FO47" s="122"/>
      <c r="FP47" s="122">
        <v>13.338620570432047</v>
      </c>
      <c r="FQ47" s="122">
        <v>454979.46231172752</v>
      </c>
      <c r="FR47" s="122">
        <v>13.888161622187077</v>
      </c>
      <c r="FS47" s="122">
        <v>498886.63997342362</v>
      </c>
      <c r="FT47" s="122">
        <v>13.420142987143397</v>
      </c>
      <c r="FU47" s="122">
        <v>489175.70580810466</v>
      </c>
      <c r="FV47" s="122">
        <v>13.187297225208296</v>
      </c>
      <c r="FW47" s="122">
        <v>507785.90880977485</v>
      </c>
      <c r="FX47" s="122">
        <v>12.825895711456681</v>
      </c>
      <c r="FY47" s="122">
        <v>495302.17804633733</v>
      </c>
      <c r="FZ47" s="122">
        <v>12.66730095819697</v>
      </c>
      <c r="GA47" s="122">
        <v>460573.96897078544</v>
      </c>
      <c r="GB47" s="122">
        <v>12.629529155519569</v>
      </c>
      <c r="GC47" s="122">
        <v>533565.10767235747</v>
      </c>
      <c r="GD47" s="122">
        <v>12.361455103815866</v>
      </c>
      <c r="GE47" s="122">
        <v>536208.6494578874</v>
      </c>
      <c r="GF47" s="122">
        <v>12.311364511331893</v>
      </c>
      <c r="GG47" s="122">
        <v>553366.09798485984</v>
      </c>
      <c r="GH47" s="122">
        <v>12.373293604484036</v>
      </c>
      <c r="GI47" s="122">
        <v>546536.62028584804</v>
      </c>
      <c r="GJ47" s="122">
        <v>12.348779011237799</v>
      </c>
      <c r="GK47" s="122">
        <v>550285.97617340344</v>
      </c>
      <c r="GL47" s="122">
        <v>11.874699779562086</v>
      </c>
      <c r="GM47" s="122">
        <v>615436.36702906305</v>
      </c>
      <c r="GN47" s="122">
        <v>11.589897495645335</v>
      </c>
      <c r="GO47" s="122">
        <v>607886.01272776327</v>
      </c>
      <c r="GP47" s="122">
        <v>11.264558529572827</v>
      </c>
      <c r="GQ47" s="122">
        <v>601005.19688361301</v>
      </c>
      <c r="GR47" s="122">
        <v>10.976359913692713</v>
      </c>
      <c r="GS47" s="122">
        <v>616285.53235297068</v>
      </c>
      <c r="GT47" s="122">
        <v>10.667805344248304</v>
      </c>
      <c r="GU47" s="122">
        <v>607835.06068386696</v>
      </c>
      <c r="GV47" s="122">
        <v>10.425352916327089</v>
      </c>
      <c r="GW47" s="122">
        <v>603013.37092365022</v>
      </c>
      <c r="GX47" s="122">
        <v>10.246074783428377</v>
      </c>
      <c r="GY47" s="122">
        <v>587955.80267546047</v>
      </c>
      <c r="GZ47" s="122">
        <v>10.03354597439766</v>
      </c>
      <c r="HA47" s="122">
        <v>588603.10990623722</v>
      </c>
      <c r="HB47" s="122">
        <v>9.7692438091220133</v>
      </c>
      <c r="HC47" s="122">
        <v>592900.04358653573</v>
      </c>
      <c r="HD47" s="122">
        <v>9.4439355766559583</v>
      </c>
      <c r="HE47" s="122">
        <v>595642.0306385255</v>
      </c>
      <c r="HF47" s="122">
        <v>9.2148057908556193</v>
      </c>
      <c r="HG47" s="122">
        <v>589929.81659908697</v>
      </c>
      <c r="HH47" s="122">
        <v>9.0684587030516894</v>
      </c>
      <c r="HI47" s="122">
        <v>594217.57995195594</v>
      </c>
      <c r="HJ47" s="122">
        <v>8.8228710854346097</v>
      </c>
      <c r="HK47" s="122">
        <v>611360.03820699209</v>
      </c>
      <c r="HL47" s="122">
        <v>8.5858805300230969</v>
      </c>
      <c r="HM47" s="122">
        <v>606783.46970852488</v>
      </c>
      <c r="HN47" s="122">
        <v>8.4097736557527512</v>
      </c>
      <c r="HO47" s="122">
        <v>606354.03608563496</v>
      </c>
      <c r="HP47" s="122">
        <v>8.2471670950417799</v>
      </c>
      <c r="HQ47" s="122">
        <v>615381.024403285</v>
      </c>
      <c r="HR47" s="122">
        <v>8.1475317677546482</v>
      </c>
      <c r="HS47" s="122">
        <v>604489.27627554769</v>
      </c>
      <c r="HT47" s="122">
        <v>7.987051508029821</v>
      </c>
      <c r="HU47" s="122">
        <v>588570.72965464497</v>
      </c>
      <c r="HV47" s="122">
        <v>7.8990555561770508</v>
      </c>
      <c r="HW47" s="122">
        <v>585254.48012096179</v>
      </c>
      <c r="HX47" s="122">
        <v>7.5125988826011119</v>
      </c>
      <c r="HY47" s="122">
        <v>581557.80969212414</v>
      </c>
    </row>
    <row r="48" spans="1:233" x14ac:dyDescent="0.55000000000000004">
      <c r="B48" s="81">
        <v>4</v>
      </c>
      <c r="C48" s="343" t="s">
        <v>395</v>
      </c>
      <c r="D48" s="122">
        <v>10.979385924415435</v>
      </c>
      <c r="E48" s="122">
        <v>37292.185279001496</v>
      </c>
      <c r="F48" s="122">
        <v>8.8287790778847643</v>
      </c>
      <c r="G48" s="122">
        <v>44824.416457215986</v>
      </c>
      <c r="H48" s="122">
        <v>7.71253663454997</v>
      </c>
      <c r="I48" s="122">
        <v>50370.208387892002</v>
      </c>
      <c r="J48" s="122">
        <v>6.2719029105524813</v>
      </c>
      <c r="K48" s="122">
        <v>68689.241337663989</v>
      </c>
      <c r="L48" s="122">
        <v>9.6480541415898475</v>
      </c>
      <c r="M48" s="122">
        <v>58642.729393527989</v>
      </c>
      <c r="N48" s="122">
        <v>10.209269247024825</v>
      </c>
      <c r="O48" s="122">
        <v>63240.606050551003</v>
      </c>
      <c r="P48" s="122">
        <v>6.3908707545989065</v>
      </c>
      <c r="Q48" s="122">
        <v>74242.902190593988</v>
      </c>
      <c r="R48" s="122">
        <v>6.4214565261866561</v>
      </c>
      <c r="S48" s="122">
        <v>76462.382212836019</v>
      </c>
      <c r="T48" s="122">
        <v>6.3698631549852864</v>
      </c>
      <c r="U48" s="122">
        <v>74540.177194307005</v>
      </c>
      <c r="V48" s="122">
        <v>6.8433029576886248</v>
      </c>
      <c r="W48" s="122">
        <v>75476.368736462973</v>
      </c>
      <c r="X48" s="122">
        <v>7.0887392875715287</v>
      </c>
      <c r="Y48" s="122">
        <v>75792.063500309028</v>
      </c>
      <c r="Z48" s="122">
        <v>7.2510130342956405</v>
      </c>
      <c r="AA48" s="122">
        <v>74884.188884149975</v>
      </c>
      <c r="AB48" s="122">
        <v>8.0709727618815634</v>
      </c>
      <c r="AC48" s="122">
        <v>80217.224131430485</v>
      </c>
      <c r="AD48" s="122">
        <v>8.6587250895530801</v>
      </c>
      <c r="AE48" s="122">
        <v>79505.3210047795</v>
      </c>
      <c r="AF48" s="122">
        <v>9.1258744740854052</v>
      </c>
      <c r="AG48" s="122">
        <v>70864.665247982979</v>
      </c>
      <c r="AH48" s="122">
        <v>9.1631287378074067</v>
      </c>
      <c r="AI48" s="122">
        <v>68536.99706301096</v>
      </c>
      <c r="AJ48" s="122">
        <v>9.6472159890333558</v>
      </c>
      <c r="AK48" s="122">
        <v>65966.978121967491</v>
      </c>
      <c r="AL48" s="122">
        <v>9.6480541415898475</v>
      </c>
      <c r="AM48" s="122">
        <v>58642.729393527989</v>
      </c>
      <c r="AN48" s="122">
        <v>10.019280256418872</v>
      </c>
      <c r="AO48" s="122">
        <v>61655.105636081993</v>
      </c>
      <c r="AP48" s="122">
        <v>9.8792260469164006</v>
      </c>
      <c r="AQ48" s="122">
        <v>64895.706417232002</v>
      </c>
      <c r="AR48" s="122">
        <v>9.6067067507365618</v>
      </c>
      <c r="AS48" s="122">
        <v>66662.093410273417</v>
      </c>
      <c r="AT48" s="122">
        <v>9.0804021278619818</v>
      </c>
      <c r="AU48" s="122">
        <v>75896.086591259984</v>
      </c>
      <c r="AV48" s="122">
        <v>9.2918014648076017</v>
      </c>
      <c r="AW48" s="122">
        <v>75514.511152359482</v>
      </c>
      <c r="AX48" s="122">
        <v>9.5955898680708831</v>
      </c>
      <c r="AY48" s="122">
        <v>72938.892040733917</v>
      </c>
      <c r="AZ48" s="122">
        <v>9.7868687144735755</v>
      </c>
      <c r="BA48" s="122">
        <v>77709.971075984315</v>
      </c>
      <c r="BB48" s="122">
        <v>9.9298457534234288</v>
      </c>
      <c r="BC48" s="122">
        <v>77759.681104760311</v>
      </c>
      <c r="BD48" s="122">
        <v>9.9866160294496993</v>
      </c>
      <c r="BE48" s="122">
        <v>78443.215065352269</v>
      </c>
      <c r="BF48" s="122">
        <v>10.30712299727646</v>
      </c>
      <c r="BG48" s="122">
        <v>80846.111000720994</v>
      </c>
      <c r="BH48" s="122">
        <v>10.30712299727646</v>
      </c>
      <c r="BI48" s="122">
        <v>80846.111000720994</v>
      </c>
      <c r="BJ48" s="122">
        <v>10.209269247024825</v>
      </c>
      <c r="BK48" s="122">
        <v>63240.606050551003</v>
      </c>
      <c r="BL48" s="122">
        <v>10.420582627856461</v>
      </c>
      <c r="BM48" s="122">
        <v>77780.990059671021</v>
      </c>
      <c r="BN48" s="122">
        <v>10.52365659927265</v>
      </c>
      <c r="BO48" s="122">
        <v>81475.041308241503</v>
      </c>
      <c r="BP48" s="122">
        <v>10.449746292500194</v>
      </c>
      <c r="BQ48" s="122">
        <v>83045.800442603664</v>
      </c>
      <c r="BR48" s="122">
        <v>10.502664371249796</v>
      </c>
      <c r="BS48" s="122">
        <v>87834.90588969113</v>
      </c>
      <c r="BT48" s="122">
        <v>10.464087763514131</v>
      </c>
      <c r="BU48" s="122">
        <v>87614.418086839141</v>
      </c>
      <c r="BV48" s="122">
        <v>10.119366608185565</v>
      </c>
      <c r="BW48" s="122">
        <v>81631.458124199664</v>
      </c>
      <c r="BX48" s="122">
        <v>10.473268769494622</v>
      </c>
      <c r="BY48" s="122">
        <v>84203.717724523987</v>
      </c>
      <c r="BZ48" s="122">
        <v>10.663662179537056</v>
      </c>
      <c r="CA48" s="122">
        <v>82954.882069479063</v>
      </c>
      <c r="CB48" s="122">
        <v>10.299195719697215</v>
      </c>
      <c r="CC48" s="122">
        <v>78537.984015808091</v>
      </c>
      <c r="CD48" s="122">
        <v>10.701231503167699</v>
      </c>
      <c r="CE48" s="122">
        <v>78548.702919741569</v>
      </c>
      <c r="CF48" s="122">
        <v>10.221117248206353</v>
      </c>
      <c r="CG48" s="122">
        <v>75119.203019519671</v>
      </c>
      <c r="CH48" s="122">
        <v>10.721604972015374</v>
      </c>
      <c r="CI48" s="122">
        <v>70190.950623221739</v>
      </c>
      <c r="CJ48" s="122">
        <v>10.607337717116238</v>
      </c>
      <c r="CK48" s="122">
        <v>73302.386528417614</v>
      </c>
      <c r="CL48" s="122">
        <v>10.009499534416179</v>
      </c>
      <c r="CM48" s="122">
        <v>77981.382453704049</v>
      </c>
      <c r="CN48" s="122">
        <v>9.8778271436419409</v>
      </c>
      <c r="CO48" s="122">
        <v>77104.260818622221</v>
      </c>
      <c r="CP48" s="122">
        <v>10.022425429437479</v>
      </c>
      <c r="CQ48" s="122">
        <v>76486.400404284723</v>
      </c>
      <c r="CR48" s="122">
        <v>9.7570705616940643</v>
      </c>
      <c r="CS48" s="122">
        <v>77437.436691473355</v>
      </c>
      <c r="CT48" s="122">
        <v>9.4672923131316686</v>
      </c>
      <c r="CU48" s="122">
        <v>73745.923236518953</v>
      </c>
      <c r="CV48" s="122">
        <v>9.4875258582124502</v>
      </c>
      <c r="CW48" s="122">
        <v>76535.035855392329</v>
      </c>
      <c r="CX48" s="122">
        <v>9.320885597659526</v>
      </c>
      <c r="CY48" s="122">
        <v>78893.517686535459</v>
      </c>
      <c r="CZ48" s="122">
        <v>9.2979120049404553</v>
      </c>
      <c r="DA48" s="122">
        <v>80193.71786718248</v>
      </c>
      <c r="DB48" s="122">
        <v>9.2309821155340757</v>
      </c>
      <c r="DC48" s="122">
        <v>84425.627947619156</v>
      </c>
      <c r="DD48" s="122">
        <v>8.7797751965229303</v>
      </c>
      <c r="DE48" s="122">
        <v>86531.825309378735</v>
      </c>
      <c r="DF48" s="122">
        <v>8.5185133358980831</v>
      </c>
      <c r="DG48" s="122">
        <v>71861.491673077006</v>
      </c>
      <c r="DH48" s="122">
        <v>8.8676176391162826</v>
      </c>
      <c r="DI48" s="122">
        <v>60468.158604802098</v>
      </c>
      <c r="DJ48" s="122">
        <v>8.4900792329421293</v>
      </c>
      <c r="DK48" s="122">
        <v>62021.149108719081</v>
      </c>
      <c r="DL48" s="122">
        <v>8.0623211578783902</v>
      </c>
      <c r="DM48" s="122">
        <v>61371.836690953416</v>
      </c>
      <c r="DN48" s="122">
        <v>7.7182700223415575</v>
      </c>
      <c r="DO48" s="122">
        <v>63173.400281069291</v>
      </c>
      <c r="DP48" s="122">
        <v>8.2221722500714662</v>
      </c>
      <c r="DQ48" s="122">
        <v>58736.721347921331</v>
      </c>
      <c r="DR48" s="122">
        <v>7.958055159935669</v>
      </c>
      <c r="DS48" s="122">
        <v>58118.325735134727</v>
      </c>
      <c r="DT48" s="122">
        <v>7.5928054941766394</v>
      </c>
      <c r="DU48" s="122">
        <v>64642.832908425742</v>
      </c>
      <c r="DV48" s="122">
        <v>7.5426891074149465</v>
      </c>
      <c r="DW48" s="122">
        <v>70556.852710771695</v>
      </c>
      <c r="DX48" s="122">
        <v>7.4746660070034237</v>
      </c>
      <c r="DY48" s="122">
        <v>71916.728639145062</v>
      </c>
      <c r="DZ48" s="122">
        <v>7.294131293878575</v>
      </c>
      <c r="EA48" s="122">
        <v>78610.966283363217</v>
      </c>
      <c r="EB48" s="122">
        <v>7.2454094740329298</v>
      </c>
      <c r="EC48" s="122">
        <v>82544.830035247272</v>
      </c>
      <c r="ED48" s="122">
        <v>7.0869060725302289</v>
      </c>
      <c r="EE48" s="122">
        <v>72866.701966880748</v>
      </c>
      <c r="EF48" s="122">
        <v>7.1108598562779948</v>
      </c>
      <c r="EG48" s="122">
        <v>73817.309560439957</v>
      </c>
      <c r="EH48" s="122">
        <v>7.1659088213870179</v>
      </c>
      <c r="EI48" s="122">
        <v>78500.695630600021</v>
      </c>
      <c r="EJ48" s="122">
        <v>7.2301098795317325</v>
      </c>
      <c r="EK48" s="122">
        <v>82138.188131093979</v>
      </c>
      <c r="EL48" s="122">
        <v>7.7004199772709656</v>
      </c>
      <c r="EM48" s="122">
        <v>88850.953304671013</v>
      </c>
      <c r="EN48" s="122">
        <v>8.0843900690695243</v>
      </c>
      <c r="EO48" s="122">
        <v>93616.116008996978</v>
      </c>
      <c r="EP48" s="122">
        <v>8.3537408918659075</v>
      </c>
      <c r="EQ48" s="122">
        <v>89427.714908128968</v>
      </c>
      <c r="ER48" s="122">
        <v>9.3656352158393119</v>
      </c>
      <c r="ES48" s="122">
        <v>88649.964657918958</v>
      </c>
      <c r="ET48" s="122">
        <v>9.6985290438909004</v>
      </c>
      <c r="EU48" s="122">
        <v>86479.391800790007</v>
      </c>
      <c r="EV48" s="122">
        <v>10.564535956221784</v>
      </c>
      <c r="EW48" s="122">
        <v>76658.631544064992</v>
      </c>
      <c r="EX48" s="122">
        <v>11.700984559551632</v>
      </c>
      <c r="EY48" s="122">
        <v>74171.596105753531</v>
      </c>
      <c r="EZ48" s="122">
        <v>11.776694603972626</v>
      </c>
      <c r="FA48" s="122">
        <v>75863.687194936501</v>
      </c>
      <c r="FB48" s="122">
        <v>11.779674749499923</v>
      </c>
      <c r="FC48" s="122">
        <v>64595.411573979989</v>
      </c>
      <c r="FD48" s="122">
        <v>12.331916602307432</v>
      </c>
      <c r="FE48" s="122">
        <v>69013.988512889991</v>
      </c>
      <c r="FF48" s="122">
        <v>12.442255307026937</v>
      </c>
      <c r="FG48" s="122">
        <v>71186.91901849999</v>
      </c>
      <c r="FH48" s="122">
        <v>12.517060758253646</v>
      </c>
      <c r="FI48" s="122">
        <v>71414.370948280601</v>
      </c>
      <c r="FJ48" s="122">
        <v>13.202634944436756</v>
      </c>
      <c r="FK48" s="122">
        <v>74293.074652358759</v>
      </c>
      <c r="FL48" s="122">
        <v>13.204876044034712</v>
      </c>
      <c r="FM48" s="122">
        <v>70652.086109969794</v>
      </c>
      <c r="FN48" s="122">
        <v>13.193189168944119</v>
      </c>
      <c r="FO48" s="122">
        <v>63452.960628719993</v>
      </c>
      <c r="FP48" s="122">
        <v>13.824612557083709</v>
      </c>
      <c r="FQ48" s="122">
        <v>68261.100083369965</v>
      </c>
      <c r="FR48" s="122">
        <v>13.816297759647076</v>
      </c>
      <c r="FS48" s="122">
        <v>71452.940948870018</v>
      </c>
      <c r="FT48" s="122">
        <v>13.650410158580835</v>
      </c>
      <c r="FU48" s="122">
        <v>71652.503916209971</v>
      </c>
      <c r="FV48" s="122">
        <v>13.139364939834513</v>
      </c>
      <c r="FW48" s="122">
        <v>74583.13604780157</v>
      </c>
      <c r="FX48" s="122">
        <v>13.2782274485567</v>
      </c>
      <c r="FY48" s="122">
        <v>74301.366633785001</v>
      </c>
      <c r="FZ48" s="122">
        <v>12.883329156111479</v>
      </c>
      <c r="GA48" s="122">
        <v>60756.854785491487</v>
      </c>
      <c r="GB48" s="122">
        <v>12.57306412365141</v>
      </c>
      <c r="GC48" s="122">
        <v>63117.034275973187</v>
      </c>
      <c r="GD48" s="122">
        <v>12.632882289774123</v>
      </c>
      <c r="GE48" s="122">
        <v>66042.975398143986</v>
      </c>
      <c r="GF48" s="122">
        <v>11.209494197518985</v>
      </c>
      <c r="GG48" s="122">
        <v>67058.065720364</v>
      </c>
      <c r="GH48" s="122">
        <v>12.34990785679118</v>
      </c>
      <c r="GI48" s="122">
        <v>68088.306950092505</v>
      </c>
      <c r="GJ48" s="122">
        <v>12.353587653393827</v>
      </c>
      <c r="GK48" s="122">
        <v>65052.345986701992</v>
      </c>
      <c r="GL48" s="122">
        <v>11.838345426792833</v>
      </c>
      <c r="GM48" s="122">
        <v>56715.645439012013</v>
      </c>
      <c r="GN48" s="122">
        <v>11.665985730228309</v>
      </c>
      <c r="GO48" s="122">
        <v>58511.405284078784</v>
      </c>
      <c r="GP48" s="122">
        <v>11.232535548166526</v>
      </c>
      <c r="GQ48" s="122">
        <v>59120.403230997501</v>
      </c>
      <c r="GR48" s="122">
        <v>11.035232141633612</v>
      </c>
      <c r="GS48" s="122">
        <v>55039.701282344002</v>
      </c>
      <c r="GT48" s="122">
        <v>10.732228146256446</v>
      </c>
      <c r="GU48" s="122">
        <v>52439.404919872002</v>
      </c>
      <c r="GV48" s="122">
        <v>10.658336908236723</v>
      </c>
      <c r="GW48" s="122">
        <v>52023.898281902992</v>
      </c>
      <c r="GX48" s="122">
        <v>10.262578395319133</v>
      </c>
      <c r="GY48" s="122">
        <v>52007.070321242005</v>
      </c>
      <c r="GZ48" s="122">
        <v>10.081430733315791</v>
      </c>
      <c r="HA48" s="122">
        <v>56984.624279312004</v>
      </c>
      <c r="HB48" s="122">
        <v>9.8600196523561845</v>
      </c>
      <c r="HC48" s="122">
        <v>63233.310205874521</v>
      </c>
      <c r="HD48" s="122">
        <v>9.7236174945778764</v>
      </c>
      <c r="HE48" s="122">
        <v>63506.599990157003</v>
      </c>
      <c r="HF48" s="122">
        <v>9.0594963848069252</v>
      </c>
      <c r="HG48" s="122">
        <v>69495.718241550509</v>
      </c>
      <c r="HH48" s="122">
        <v>9.0804437233969253</v>
      </c>
      <c r="HI48" s="122">
        <v>68522.804553902504</v>
      </c>
      <c r="HJ48" s="122">
        <v>9.1044740661067305</v>
      </c>
      <c r="HK48" s="122">
        <v>64356.701466382008</v>
      </c>
      <c r="HL48" s="122">
        <v>8.5041045673306535</v>
      </c>
      <c r="HM48" s="122">
        <v>67172.158596571957</v>
      </c>
      <c r="HN48" s="122">
        <v>8.3369161400202074</v>
      </c>
      <c r="HO48" s="122">
        <v>66545.68279849198</v>
      </c>
      <c r="HP48" s="122">
        <v>8.0258256441308546</v>
      </c>
      <c r="HQ48" s="122">
        <v>62825.279396771977</v>
      </c>
      <c r="HR48" s="122">
        <v>7.9352438545914055</v>
      </c>
      <c r="HS48" s="122">
        <v>66441.904449931986</v>
      </c>
      <c r="HT48" s="122">
        <v>7.9461787388918941</v>
      </c>
      <c r="HU48" s="122">
        <v>66455.171485071987</v>
      </c>
      <c r="HV48" s="122">
        <v>7.8249379265259211</v>
      </c>
      <c r="HW48" s="122">
        <v>59151.50522087203</v>
      </c>
      <c r="HX48" s="122">
        <v>7.6607517777517717</v>
      </c>
      <c r="HY48" s="122">
        <v>62816.340715401995</v>
      </c>
    </row>
    <row r="49" spans="2:233" x14ac:dyDescent="0.55000000000000004">
      <c r="B49" s="81">
        <v>5</v>
      </c>
      <c r="C49" s="343" t="s">
        <v>396</v>
      </c>
      <c r="D49" s="122">
        <v>11.926180690883605</v>
      </c>
      <c r="E49" s="122">
        <v>146580.576814834</v>
      </c>
      <c r="F49" s="122">
        <v>10.165268454443414</v>
      </c>
      <c r="G49" s="122">
        <v>209227.10408400078</v>
      </c>
      <c r="H49" s="122">
        <v>9.480816223797822</v>
      </c>
      <c r="I49" s="122">
        <v>260709.85218834277</v>
      </c>
      <c r="J49" s="122">
        <v>8.4775929577756166</v>
      </c>
      <c r="K49" s="122">
        <v>329660.72714356706</v>
      </c>
      <c r="L49" s="122">
        <v>11.085169621455092</v>
      </c>
      <c r="M49" s="122">
        <v>385828.33144095441</v>
      </c>
      <c r="N49" s="122">
        <v>12.08124783924606</v>
      </c>
      <c r="O49" s="122">
        <v>478751.51445569826</v>
      </c>
      <c r="P49" s="122">
        <v>8.5530332851234814</v>
      </c>
      <c r="Q49" s="122">
        <v>336527.17721822736</v>
      </c>
      <c r="R49" s="122">
        <v>8.4488794416846389</v>
      </c>
      <c r="S49" s="122">
        <v>349882.39285913634</v>
      </c>
      <c r="T49" s="122">
        <v>8.3065159575343603</v>
      </c>
      <c r="U49" s="122">
        <v>357245.73583352735</v>
      </c>
      <c r="V49" s="122">
        <v>8.6456472234636284</v>
      </c>
      <c r="W49" s="122">
        <v>359727.16687965748</v>
      </c>
      <c r="X49" s="122">
        <v>8.8335504411096633</v>
      </c>
      <c r="Y49" s="122">
        <v>354020.05278725817</v>
      </c>
      <c r="Z49" s="122">
        <v>9.0046913421013564</v>
      </c>
      <c r="AA49" s="122">
        <v>372455.07563197491</v>
      </c>
      <c r="AB49" s="122">
        <v>9.8097726171768844</v>
      </c>
      <c r="AC49" s="122">
        <v>380254.88686985575</v>
      </c>
      <c r="AD49" s="122">
        <v>10.23422054313783</v>
      </c>
      <c r="AE49" s="122">
        <v>376652.26795878611</v>
      </c>
      <c r="AF49" s="122">
        <v>10.537542262206079</v>
      </c>
      <c r="AG49" s="122">
        <v>382365.31875846244</v>
      </c>
      <c r="AH49" s="122">
        <v>10.525428237224578</v>
      </c>
      <c r="AI49" s="122">
        <v>384390.08387729735</v>
      </c>
      <c r="AJ49" s="122">
        <v>11.12691737898227</v>
      </c>
      <c r="AK49" s="122">
        <v>384490.2674430043</v>
      </c>
      <c r="AL49" s="122">
        <v>11.085169621455092</v>
      </c>
      <c r="AM49" s="122">
        <v>385828.33144095441</v>
      </c>
      <c r="AN49" s="122">
        <v>11.409840200111086</v>
      </c>
      <c r="AO49" s="122">
        <v>385860.66123977531</v>
      </c>
      <c r="AP49" s="122">
        <v>11.574870136618458</v>
      </c>
      <c r="AQ49" s="122">
        <v>397957.00213757931</v>
      </c>
      <c r="AR49" s="122">
        <v>11.487896034326221</v>
      </c>
      <c r="AS49" s="122">
        <v>418675.97956219647</v>
      </c>
      <c r="AT49" s="122">
        <v>11.377090486151808</v>
      </c>
      <c r="AU49" s="122">
        <v>420214.35390029784</v>
      </c>
      <c r="AV49" s="122">
        <v>11.271815744782408</v>
      </c>
      <c r="AW49" s="122">
        <v>427441.43086866406</v>
      </c>
      <c r="AX49" s="122">
        <v>11.560875244590751</v>
      </c>
      <c r="AY49" s="122">
        <v>439239.76272320253</v>
      </c>
      <c r="AZ49" s="122">
        <v>11.681166517083524</v>
      </c>
      <c r="BA49" s="122">
        <v>444053.20543779951</v>
      </c>
      <c r="BB49" s="122">
        <v>11.773950125582408</v>
      </c>
      <c r="BC49" s="122">
        <v>434029.16934572189</v>
      </c>
      <c r="BD49" s="122">
        <v>11.847204348829511</v>
      </c>
      <c r="BE49" s="122">
        <v>447396.68778066151</v>
      </c>
      <c r="BF49" s="122">
        <v>12.096434119876454</v>
      </c>
      <c r="BG49" s="122">
        <v>466948.9194701839</v>
      </c>
      <c r="BH49" s="122">
        <v>12.096434119876454</v>
      </c>
      <c r="BI49" s="122">
        <v>466948.9194701839</v>
      </c>
      <c r="BJ49" s="122">
        <v>12.08124783924606</v>
      </c>
      <c r="BK49" s="122">
        <v>478751.51445569826</v>
      </c>
      <c r="BL49" s="122">
        <v>12.259379359746818</v>
      </c>
      <c r="BM49" s="122">
        <v>491133.24622700701</v>
      </c>
      <c r="BN49" s="122">
        <v>12.13493029513695</v>
      </c>
      <c r="BO49" s="122">
        <v>506505.26554341667</v>
      </c>
      <c r="BP49" s="122">
        <v>11.93175826507235</v>
      </c>
      <c r="BQ49" s="122">
        <v>538446.71326733159</v>
      </c>
      <c r="BR49" s="122">
        <v>12.085334854925822</v>
      </c>
      <c r="BS49" s="122">
        <v>545895.59942477546</v>
      </c>
      <c r="BT49" s="122">
        <v>12.174005752227826</v>
      </c>
      <c r="BU49" s="122">
        <v>550786.73618633975</v>
      </c>
      <c r="BV49" s="122">
        <v>12.195074431600878</v>
      </c>
      <c r="BW49" s="122">
        <v>575433.44027451507</v>
      </c>
      <c r="BX49" s="122">
        <v>12.131743008426961</v>
      </c>
      <c r="BY49" s="122">
        <v>570359.85909925913</v>
      </c>
      <c r="BZ49" s="122">
        <v>12.147905943111585</v>
      </c>
      <c r="CA49" s="122">
        <v>573602.21597272682</v>
      </c>
      <c r="CB49" s="122">
        <v>12.074518131526952</v>
      </c>
      <c r="CC49" s="122">
        <v>583929.23685365519</v>
      </c>
      <c r="CD49" s="122">
        <v>12.026292039330167</v>
      </c>
      <c r="CE49" s="122">
        <v>591013.50493933319</v>
      </c>
      <c r="CF49" s="122">
        <v>12.008314208203419</v>
      </c>
      <c r="CG49" s="122">
        <v>594058.71919195482</v>
      </c>
      <c r="CH49" s="122">
        <v>11.974267136999771</v>
      </c>
      <c r="CI49" s="122">
        <v>597674.12726616953</v>
      </c>
      <c r="CJ49" s="122">
        <v>11.91993749731809</v>
      </c>
      <c r="CK49" s="122">
        <v>595256.79851590144</v>
      </c>
      <c r="CL49" s="122">
        <v>11.807730314041567</v>
      </c>
      <c r="CM49" s="122">
        <v>611579.10236644105</v>
      </c>
      <c r="CN49" s="122">
        <v>11.752875053813378</v>
      </c>
      <c r="CO49" s="122">
        <v>633260.77018104692</v>
      </c>
      <c r="CP49" s="122">
        <v>11.861243659331874</v>
      </c>
      <c r="CQ49" s="122">
        <v>637863.19922706753</v>
      </c>
      <c r="CR49" s="122">
        <v>11.800984904853923</v>
      </c>
      <c r="CS49" s="122">
        <v>644768.72537042899</v>
      </c>
      <c r="CT49" s="122">
        <v>11.827388270243144</v>
      </c>
      <c r="CU49" s="122">
        <v>657967.22752950981</v>
      </c>
      <c r="CV49" s="122">
        <v>11.740390829012849</v>
      </c>
      <c r="CW49" s="122">
        <v>660793.08624414005</v>
      </c>
      <c r="CX49" s="122">
        <v>11.732863324327264</v>
      </c>
      <c r="CY49" s="122">
        <v>660390.46369933791</v>
      </c>
      <c r="CZ49" s="122">
        <v>11.711749590774922</v>
      </c>
      <c r="DA49" s="122">
        <v>665405.41776814277</v>
      </c>
      <c r="DB49" s="122">
        <v>11.531147359043118</v>
      </c>
      <c r="DC49" s="122">
        <v>667192.33779864281</v>
      </c>
      <c r="DD49" s="122">
        <v>11.228779746271533</v>
      </c>
      <c r="DE49" s="122">
        <v>659378.54432378605</v>
      </c>
      <c r="DF49" s="122">
        <v>10.750053075250257</v>
      </c>
      <c r="DG49" s="122">
        <v>683545.18280588707</v>
      </c>
      <c r="DH49" s="122">
        <v>10.262364732953069</v>
      </c>
      <c r="DI49" s="122">
        <v>687275.48299664259</v>
      </c>
      <c r="DJ49" s="122">
        <v>9.9856847654048142</v>
      </c>
      <c r="DK49" s="122">
        <v>702335.94097394252</v>
      </c>
      <c r="DL49" s="122">
        <v>9.6481935591453709</v>
      </c>
      <c r="DM49" s="122">
        <v>747491.35472557752</v>
      </c>
      <c r="DN49" s="122">
        <v>9.3767045868137515</v>
      </c>
      <c r="DO49" s="122">
        <v>733979.65042506659</v>
      </c>
      <c r="DP49" s="122">
        <v>9.2494568927183014</v>
      </c>
      <c r="DQ49" s="122">
        <v>748221.76691104553</v>
      </c>
      <c r="DR49" s="122">
        <v>9.0784088341924836</v>
      </c>
      <c r="DS49" s="122">
        <v>773344.52573354938</v>
      </c>
      <c r="DT49" s="122">
        <v>8.7076250218871838</v>
      </c>
      <c r="DU49" s="122">
        <v>795779.46399057482</v>
      </c>
      <c r="DV49" s="122">
        <v>8.6141013284554351</v>
      </c>
      <c r="DW49" s="122">
        <v>798595.36918881489</v>
      </c>
      <c r="DX49" s="122">
        <v>8.4994726462474315</v>
      </c>
      <c r="DY49" s="122">
        <v>817337.11283486395</v>
      </c>
      <c r="DZ49" s="122">
        <v>8.3949207902722858</v>
      </c>
      <c r="EA49" s="122">
        <v>823476.72001835972</v>
      </c>
      <c r="EB49" s="122">
        <v>8.3613451412080799</v>
      </c>
      <c r="EC49" s="122">
        <v>846292.83341003978</v>
      </c>
      <c r="ED49" s="122">
        <v>8.3273962762894111</v>
      </c>
      <c r="EE49" s="122">
        <v>854298.77422755014</v>
      </c>
      <c r="EF49" s="122">
        <v>8.326719703359748</v>
      </c>
      <c r="EG49" s="122">
        <v>861961.27148363995</v>
      </c>
      <c r="EH49" s="122">
        <v>8.280560303612468</v>
      </c>
      <c r="EI49" s="122">
        <v>883495.25724221021</v>
      </c>
      <c r="EJ49" s="122">
        <v>8.4071304305690813</v>
      </c>
      <c r="EK49" s="122">
        <v>908273.91327740008</v>
      </c>
      <c r="EL49" s="122">
        <v>8.8571065832074289</v>
      </c>
      <c r="EM49" s="122">
        <v>886410.68462253618</v>
      </c>
      <c r="EN49" s="122">
        <v>9.3310521062451226</v>
      </c>
      <c r="EO49" s="122">
        <v>901458.35634539614</v>
      </c>
      <c r="EP49" s="122">
        <v>9.5857126191370217</v>
      </c>
      <c r="EQ49" s="122">
        <v>950965.11594932317</v>
      </c>
      <c r="ER49" s="122">
        <v>10.633411406591243</v>
      </c>
      <c r="ES49" s="122">
        <v>966779.94161562505</v>
      </c>
      <c r="ET49" s="122">
        <v>10.883492152173028</v>
      </c>
      <c r="EU49" s="122">
        <v>990591.47766596288</v>
      </c>
      <c r="EV49" s="122">
        <v>11.064694447472647</v>
      </c>
      <c r="EW49" s="122">
        <v>1006965.608239542</v>
      </c>
      <c r="EX49" s="122">
        <v>11.695268167522748</v>
      </c>
      <c r="EY49" s="122">
        <v>1013816.5081083018</v>
      </c>
      <c r="EZ49" s="122">
        <v>11.780202184726981</v>
      </c>
      <c r="FA49" s="122">
        <v>1013132.5916109316</v>
      </c>
      <c r="FB49" s="122">
        <v>11.817081155427859</v>
      </c>
      <c r="FC49" s="122">
        <v>989100.83981516608</v>
      </c>
      <c r="FD49" s="122">
        <v>12.224361270327435</v>
      </c>
      <c r="FE49" s="122">
        <v>1000923.2945045066</v>
      </c>
      <c r="FF49" s="122">
        <v>12.309641690172638</v>
      </c>
      <c r="FG49" s="122">
        <v>1001595.3943920187</v>
      </c>
      <c r="FH49" s="122">
        <v>12.482114942616633</v>
      </c>
      <c r="FI49" s="122">
        <v>1018730.8123404725</v>
      </c>
      <c r="FJ49" s="122">
        <v>13.0970388116442</v>
      </c>
      <c r="FK49" s="122">
        <v>1024631.3038956105</v>
      </c>
      <c r="FL49" s="122">
        <v>13.090158911652692</v>
      </c>
      <c r="FM49" s="122">
        <v>1026115.8017360611</v>
      </c>
      <c r="FN49" s="122">
        <v>12.902072537655242</v>
      </c>
      <c r="FO49" s="122">
        <v>1028217.5590407018</v>
      </c>
      <c r="FP49" s="122">
        <v>13.482031361082816</v>
      </c>
      <c r="FQ49" s="122">
        <v>997552.38419421844</v>
      </c>
      <c r="FR49" s="122">
        <v>13.583120670755815</v>
      </c>
      <c r="FS49" s="122">
        <v>997143.26510207844</v>
      </c>
      <c r="FT49" s="122">
        <v>13.422466428401039</v>
      </c>
      <c r="FU49" s="122">
        <v>979180.40505082754</v>
      </c>
      <c r="FV49" s="122">
        <v>13.255371336661826</v>
      </c>
      <c r="FW49" s="122">
        <v>955708.64807071176</v>
      </c>
      <c r="FX49" s="122">
        <v>12.974562891389432</v>
      </c>
      <c r="FY49" s="122">
        <v>939377.7806866694</v>
      </c>
      <c r="FZ49" s="122">
        <v>12.553601268279767</v>
      </c>
      <c r="GA49" s="122">
        <v>806884.27744046331</v>
      </c>
      <c r="GB49" s="122">
        <v>11.017834983479839</v>
      </c>
      <c r="GC49" s="122">
        <v>845495.10688480886</v>
      </c>
      <c r="GD49" s="122">
        <v>12.554027801582494</v>
      </c>
      <c r="GE49" s="122">
        <v>847215.37688369839</v>
      </c>
      <c r="GF49" s="122">
        <v>12.426293036900015</v>
      </c>
      <c r="GG49" s="122">
        <v>854213.42275639402</v>
      </c>
      <c r="GH49" s="122">
        <v>12.470119368183012</v>
      </c>
      <c r="GI49" s="122">
        <v>825615.94357424427</v>
      </c>
      <c r="GJ49" s="122">
        <v>12.180045771987439</v>
      </c>
      <c r="GK49" s="122">
        <v>817808.03583031916</v>
      </c>
      <c r="GL49" s="122">
        <v>11.884948997975219</v>
      </c>
      <c r="GM49" s="122">
        <v>773311.9946073594</v>
      </c>
      <c r="GN49" s="122">
        <v>11.527094511699474</v>
      </c>
      <c r="GO49" s="122">
        <v>778258.47734780016</v>
      </c>
      <c r="GP49" s="122">
        <v>11.025649947085448</v>
      </c>
      <c r="GQ49" s="122">
        <v>763492.06474291044</v>
      </c>
      <c r="GR49" s="122">
        <v>10.834527726692366</v>
      </c>
      <c r="GS49" s="122">
        <v>747678.92692564044</v>
      </c>
      <c r="GT49" s="122">
        <v>10.481764073744577</v>
      </c>
      <c r="GU49" s="122">
        <v>740939.02810372016</v>
      </c>
      <c r="GV49" s="122">
        <v>10.267923767438591</v>
      </c>
      <c r="GW49" s="122">
        <v>734594.18264387001</v>
      </c>
      <c r="GX49" s="122">
        <v>10.112702924560265</v>
      </c>
      <c r="GY49" s="122">
        <v>709015.94702270429</v>
      </c>
      <c r="GZ49" s="122">
        <v>9.8765647553307865</v>
      </c>
      <c r="HA49" s="122">
        <v>712679.79918311385</v>
      </c>
      <c r="HB49" s="122">
        <v>9.5546397770930653</v>
      </c>
      <c r="HC49" s="122">
        <v>721785.57101034361</v>
      </c>
      <c r="HD49" s="122">
        <v>9.0074290452687364</v>
      </c>
      <c r="HE49" s="122">
        <v>743815.77469669364</v>
      </c>
      <c r="HF49" s="122">
        <v>8.7290571092138993</v>
      </c>
      <c r="HG49" s="122">
        <v>754686.25518483401</v>
      </c>
      <c r="HH49" s="122">
        <v>8.6315373830968145</v>
      </c>
      <c r="HI49" s="122">
        <v>771978.97770031379</v>
      </c>
      <c r="HJ49" s="122">
        <v>8.3340768716525524</v>
      </c>
      <c r="HK49" s="122">
        <v>798416.97025509924</v>
      </c>
      <c r="HL49" s="122">
        <v>8.1368958784338883</v>
      </c>
      <c r="HM49" s="122">
        <v>799045.5931001443</v>
      </c>
      <c r="HN49" s="122">
        <v>7.9450084799111655</v>
      </c>
      <c r="HO49" s="122">
        <v>813490.15938589373</v>
      </c>
      <c r="HP49" s="122">
        <v>7.3140112406342448</v>
      </c>
      <c r="HQ49" s="122">
        <v>832782.62383078446</v>
      </c>
      <c r="HR49" s="122">
        <v>7.6222557584523187</v>
      </c>
      <c r="HS49" s="122">
        <v>836640.30379678891</v>
      </c>
      <c r="HT49" s="122">
        <v>7.4875506814844313</v>
      </c>
      <c r="HU49" s="122">
        <v>835662.95255835506</v>
      </c>
      <c r="HV49" s="122">
        <v>7.3708422386256265</v>
      </c>
      <c r="HW49" s="122">
        <v>802075.91180517955</v>
      </c>
      <c r="HX49" s="122">
        <v>7.2686787811442795</v>
      </c>
      <c r="HY49" s="122">
        <v>811087.49384551879</v>
      </c>
    </row>
    <row r="50" spans="2:233" ht="31.35" x14ac:dyDescent="0.55000000000000004">
      <c r="B50" s="81">
        <v>6</v>
      </c>
      <c r="C50" s="344" t="s">
        <v>266</v>
      </c>
      <c r="D50" s="122">
        <v>12.596998695592458</v>
      </c>
      <c r="E50" s="122">
        <v>40237.090276078285</v>
      </c>
      <c r="F50" s="122">
        <v>11.334878651283079</v>
      </c>
      <c r="G50" s="122">
        <v>61158.015869998308</v>
      </c>
      <c r="H50" s="122">
        <v>10.149112403849914</v>
      </c>
      <c r="I50" s="122">
        <v>87168.513137134199</v>
      </c>
      <c r="J50" s="122">
        <v>9.2880054943544241</v>
      </c>
      <c r="K50" s="122">
        <v>108177.8537521937</v>
      </c>
      <c r="L50" s="122">
        <v>11.334885510319708</v>
      </c>
      <c r="M50" s="122">
        <v>140053.24027175127</v>
      </c>
      <c r="N50" s="122">
        <v>12.318686608973213</v>
      </c>
      <c r="O50" s="122">
        <v>167178.61767820138</v>
      </c>
      <c r="P50" s="122">
        <v>9.2424100521526213</v>
      </c>
      <c r="Q50" s="122">
        <v>111697.04559486372</v>
      </c>
      <c r="R50" s="122">
        <v>9.1619899927499056</v>
      </c>
      <c r="S50" s="122">
        <v>114413.22126531212</v>
      </c>
      <c r="T50" s="122">
        <v>9.067552713174857</v>
      </c>
      <c r="U50" s="122">
        <v>117325.24714384203</v>
      </c>
      <c r="V50" s="122">
        <v>9.242731553067598</v>
      </c>
      <c r="W50" s="122">
        <v>119545.74067009198</v>
      </c>
      <c r="X50" s="122">
        <v>9.3691191167937635</v>
      </c>
      <c r="Y50" s="122">
        <v>122180.51677547373</v>
      </c>
      <c r="Z50" s="122">
        <v>9.4176820198951745</v>
      </c>
      <c r="AA50" s="122">
        <v>127759.81405859331</v>
      </c>
      <c r="AB50" s="122">
        <v>10.14689838706612</v>
      </c>
      <c r="AC50" s="122">
        <v>129870.30378175835</v>
      </c>
      <c r="AD50" s="122">
        <v>10.596539990203402</v>
      </c>
      <c r="AE50" s="122">
        <v>130940.37186948002</v>
      </c>
      <c r="AF50" s="122">
        <v>10.747139566104707</v>
      </c>
      <c r="AG50" s="122">
        <v>133265.54606344827</v>
      </c>
      <c r="AH50" s="122">
        <v>10.734506964729807</v>
      </c>
      <c r="AI50" s="122">
        <v>133628.23732985236</v>
      </c>
      <c r="AJ50" s="122">
        <v>11.164608414102752</v>
      </c>
      <c r="AK50" s="122">
        <v>134504.67563097531</v>
      </c>
      <c r="AL50" s="122">
        <v>11.334885510319708</v>
      </c>
      <c r="AM50" s="122">
        <v>140053.24027175127</v>
      </c>
      <c r="AN50" s="122">
        <v>11.68522127645671</v>
      </c>
      <c r="AO50" s="122">
        <v>142469.21286740596</v>
      </c>
      <c r="AP50" s="122">
        <v>11.800272355182127</v>
      </c>
      <c r="AQ50" s="122">
        <v>145530.98248890118</v>
      </c>
      <c r="AR50" s="122">
        <v>11.800230556186451</v>
      </c>
      <c r="AS50" s="122">
        <v>149380.81678851636</v>
      </c>
      <c r="AT50" s="122">
        <v>11.811774530186824</v>
      </c>
      <c r="AU50" s="122">
        <v>150139.34144755703</v>
      </c>
      <c r="AV50" s="122">
        <v>11.461946903333223</v>
      </c>
      <c r="AW50" s="122">
        <v>154017.66486351701</v>
      </c>
      <c r="AX50" s="122">
        <v>11.851298957408934</v>
      </c>
      <c r="AY50" s="122">
        <v>156701.42059787095</v>
      </c>
      <c r="AZ50" s="122">
        <v>11.978890377268483</v>
      </c>
      <c r="BA50" s="122">
        <v>158524.28359108203</v>
      </c>
      <c r="BB50" s="122">
        <v>12.01325657758392</v>
      </c>
      <c r="BC50" s="122">
        <v>156391.304979907</v>
      </c>
      <c r="BD50" s="122">
        <v>12.12894030964573</v>
      </c>
      <c r="BE50" s="122">
        <v>158181.84644389033</v>
      </c>
      <c r="BF50" s="122">
        <v>12.411817991767814</v>
      </c>
      <c r="BG50" s="122">
        <v>162744.54216766736</v>
      </c>
      <c r="BH50" s="122">
        <v>12.411817991767814</v>
      </c>
      <c r="BI50" s="122">
        <v>162744.54216766736</v>
      </c>
      <c r="BJ50" s="122">
        <v>12.318686608973213</v>
      </c>
      <c r="BK50" s="122">
        <v>167178.61767820138</v>
      </c>
      <c r="BL50" s="122">
        <v>12.600229957123311</v>
      </c>
      <c r="BM50" s="122">
        <v>168660.28953613143</v>
      </c>
      <c r="BN50" s="122">
        <v>12.053982999318535</v>
      </c>
      <c r="BO50" s="122">
        <v>171269.18493950117</v>
      </c>
      <c r="BP50" s="122">
        <v>12.022620031918507</v>
      </c>
      <c r="BQ50" s="122">
        <v>174043.74561668301</v>
      </c>
      <c r="BR50" s="122">
        <v>12.020624014182266</v>
      </c>
      <c r="BS50" s="122">
        <v>174332.62914440306</v>
      </c>
      <c r="BT50" s="122">
        <v>12.025193571870798</v>
      </c>
      <c r="BU50" s="122">
        <v>175927.45753525093</v>
      </c>
      <c r="BV50" s="122">
        <v>12.039245840224631</v>
      </c>
      <c r="BW50" s="122">
        <v>177062.15402488303</v>
      </c>
      <c r="BX50" s="122">
        <v>12.188847774468634</v>
      </c>
      <c r="BY50" s="122">
        <v>179092.063723053</v>
      </c>
      <c r="BZ50" s="122">
        <v>12.17246244548809</v>
      </c>
      <c r="CA50" s="122">
        <v>180209.97857151038</v>
      </c>
      <c r="CB50" s="122">
        <v>12.394271046625613</v>
      </c>
      <c r="CC50" s="122">
        <v>182065.08242857241</v>
      </c>
      <c r="CD50" s="122">
        <v>12.343484638722023</v>
      </c>
      <c r="CE50" s="122">
        <v>182279.22381015652</v>
      </c>
      <c r="CF50" s="122">
        <v>12.294548391161243</v>
      </c>
      <c r="CG50" s="122">
        <v>184369.20775592542</v>
      </c>
      <c r="CH50" s="122">
        <v>12.270041158528352</v>
      </c>
      <c r="CI50" s="122">
        <v>186650.65348838596</v>
      </c>
      <c r="CJ50" s="122">
        <v>12.236996449722751</v>
      </c>
      <c r="CK50" s="122">
        <v>186507.94028148855</v>
      </c>
      <c r="CL50" s="122">
        <v>12.202771460668147</v>
      </c>
      <c r="CM50" s="122">
        <v>190416.53278664596</v>
      </c>
      <c r="CN50" s="122">
        <v>12.222705979375393</v>
      </c>
      <c r="CO50" s="122">
        <v>196343.435208946</v>
      </c>
      <c r="CP50" s="122">
        <v>12.165609720521651</v>
      </c>
      <c r="CQ50" s="122">
        <v>197476.15984856803</v>
      </c>
      <c r="CR50" s="122">
        <v>12.245389989773752</v>
      </c>
      <c r="CS50" s="122">
        <v>199584.26330062814</v>
      </c>
      <c r="CT50" s="122">
        <v>12.261402052704495</v>
      </c>
      <c r="CU50" s="122">
        <v>202156.39163708608</v>
      </c>
      <c r="CV50" s="122">
        <v>12.208632885175065</v>
      </c>
      <c r="CW50" s="122">
        <v>202505.42480534597</v>
      </c>
      <c r="CX50" s="122">
        <v>12.199986210065367</v>
      </c>
      <c r="CY50" s="122">
        <v>208375.93285823605</v>
      </c>
      <c r="CZ50" s="122">
        <v>12.175674305365355</v>
      </c>
      <c r="DA50" s="122">
        <v>208520.18313449097</v>
      </c>
      <c r="DB50" s="122">
        <v>11.924447930607819</v>
      </c>
      <c r="DC50" s="122">
        <v>207666.18593042291</v>
      </c>
      <c r="DD50" s="122">
        <v>11.208823358498657</v>
      </c>
      <c r="DE50" s="122">
        <v>206501.06198931346</v>
      </c>
      <c r="DF50" s="122">
        <v>11.003207831137839</v>
      </c>
      <c r="DG50" s="122">
        <v>208542.62764113344</v>
      </c>
      <c r="DH50" s="122">
        <v>10.913954965034318</v>
      </c>
      <c r="DI50" s="122">
        <v>207779.20496059599</v>
      </c>
      <c r="DJ50" s="122">
        <v>10.8270881605859</v>
      </c>
      <c r="DK50" s="122">
        <v>209886.45368305387</v>
      </c>
      <c r="DL50" s="122">
        <v>10.554670470787368</v>
      </c>
      <c r="DM50" s="122">
        <v>213311.36661917594</v>
      </c>
      <c r="DN50" s="122">
        <v>10.247203186809243</v>
      </c>
      <c r="DO50" s="122">
        <v>213937.46146479962</v>
      </c>
      <c r="DP50" s="122">
        <v>10.102437471289587</v>
      </c>
      <c r="DQ50" s="122">
        <v>213022.19212334781</v>
      </c>
      <c r="DR50" s="122">
        <v>9.971226320139511</v>
      </c>
      <c r="DS50" s="122">
        <v>217308.38369683558</v>
      </c>
      <c r="DT50" s="122">
        <v>9.6147566952189827</v>
      </c>
      <c r="DU50" s="122">
        <v>219499.25586261688</v>
      </c>
      <c r="DV50" s="122">
        <v>9.4822863099905028</v>
      </c>
      <c r="DW50" s="122">
        <v>225606.248117487</v>
      </c>
      <c r="DX50" s="122">
        <v>9.4676617300428898</v>
      </c>
      <c r="DY50" s="122">
        <v>230945.29311747273</v>
      </c>
      <c r="DZ50" s="122">
        <v>9.3172613629257874</v>
      </c>
      <c r="EA50" s="122">
        <v>233152.63501793452</v>
      </c>
      <c r="EB50" s="122">
        <v>9.2608995439311972</v>
      </c>
      <c r="EC50" s="122">
        <v>235647.34966969388</v>
      </c>
      <c r="ED50" s="122">
        <v>9.2172156474463165</v>
      </c>
      <c r="EE50" s="122">
        <v>248991.29830927806</v>
      </c>
      <c r="EF50" s="122">
        <v>9.2361593226775547</v>
      </c>
      <c r="EG50" s="122">
        <v>247833.55104379886</v>
      </c>
      <c r="EH50" s="122">
        <v>9.31589712073737</v>
      </c>
      <c r="EI50" s="122">
        <v>252102.27257889966</v>
      </c>
      <c r="EJ50" s="122">
        <v>9.3087358168002527</v>
      </c>
      <c r="EK50" s="122">
        <v>257026.69090330027</v>
      </c>
      <c r="EL50" s="122">
        <v>9.6307018257434258</v>
      </c>
      <c r="EM50" s="122">
        <v>257817.57970075493</v>
      </c>
      <c r="EN50" s="122">
        <v>9.6852347410681716</v>
      </c>
      <c r="EO50" s="122">
        <v>258803.63156665288</v>
      </c>
      <c r="EP50" s="122">
        <v>9.7523545191739505</v>
      </c>
      <c r="EQ50" s="122">
        <v>278190.31866195198</v>
      </c>
      <c r="ER50" s="122">
        <v>10.740774414494098</v>
      </c>
      <c r="ES50" s="122">
        <v>279985.41704547434</v>
      </c>
      <c r="ET50" s="122">
        <v>10.839983314006782</v>
      </c>
      <c r="EU50" s="122">
        <v>280951.94678180618</v>
      </c>
      <c r="EV50" s="122">
        <v>10.974085946228177</v>
      </c>
      <c r="EW50" s="122">
        <v>282992.95527455606</v>
      </c>
      <c r="EX50" s="122">
        <v>11.646394569318456</v>
      </c>
      <c r="EY50" s="122">
        <v>280638.54321339598</v>
      </c>
      <c r="EZ50" s="122">
        <v>11.664374800902417</v>
      </c>
      <c r="FA50" s="122">
        <v>281438.50785516598</v>
      </c>
      <c r="FB50" s="122">
        <v>11.619125699918214</v>
      </c>
      <c r="FC50" s="122">
        <v>279105.89313079597</v>
      </c>
      <c r="FD50" s="122">
        <v>12.096355880533956</v>
      </c>
      <c r="FE50" s="122">
        <v>282073.57060073013</v>
      </c>
      <c r="FF50" s="122">
        <v>11.980106722334796</v>
      </c>
      <c r="FG50" s="122">
        <v>283104.60363927978</v>
      </c>
      <c r="FH50" s="122">
        <v>12.09972757454508</v>
      </c>
      <c r="FI50" s="122">
        <v>281447.48914658389</v>
      </c>
      <c r="FJ50" s="122">
        <v>12.658504661651468</v>
      </c>
      <c r="FK50" s="122">
        <v>282651.35592438234</v>
      </c>
      <c r="FL50" s="122">
        <v>12.693045564879021</v>
      </c>
      <c r="FM50" s="122">
        <v>282262.10324864381</v>
      </c>
      <c r="FN50" s="122">
        <v>12.414421771560114</v>
      </c>
      <c r="FO50" s="122">
        <v>283883.71104909934</v>
      </c>
      <c r="FP50" s="122">
        <v>13.212735314988688</v>
      </c>
      <c r="FQ50" s="122">
        <v>282102.79295911995</v>
      </c>
      <c r="FR50" s="122">
        <v>13.168546908563867</v>
      </c>
      <c r="FS50" s="122">
        <v>281702.10877944937</v>
      </c>
      <c r="FT50" s="122">
        <v>13.126821757288132</v>
      </c>
      <c r="FU50" s="122">
        <v>282123.87994516001</v>
      </c>
      <c r="FV50" s="122">
        <v>12.873627458553926</v>
      </c>
      <c r="FW50" s="122">
        <v>281158.79047460901</v>
      </c>
      <c r="FX50" s="122">
        <v>12.626450832941483</v>
      </c>
      <c r="FY50" s="122">
        <v>281268.08237762837</v>
      </c>
      <c r="FZ50" s="122">
        <v>12.425339143007696</v>
      </c>
      <c r="GA50" s="122">
        <v>264070.31747784023</v>
      </c>
      <c r="GB50" s="122">
        <v>11.969296226973096</v>
      </c>
      <c r="GC50" s="122">
        <v>288652.83159022976</v>
      </c>
      <c r="GD50" s="122">
        <v>12.068045611271184</v>
      </c>
      <c r="GE50" s="122">
        <v>293675.5857711322</v>
      </c>
      <c r="GF50" s="122">
        <v>12.383005972806014</v>
      </c>
      <c r="GG50" s="122">
        <v>302111.86616590002</v>
      </c>
      <c r="GH50" s="122">
        <v>12.310142386245026</v>
      </c>
      <c r="GI50" s="122">
        <v>303327.11452041974</v>
      </c>
      <c r="GJ50" s="122">
        <v>12.105028228199398</v>
      </c>
      <c r="GK50" s="122">
        <v>304035.31197606033</v>
      </c>
      <c r="GL50" s="122">
        <v>11.74199465516949</v>
      </c>
      <c r="GM50" s="122">
        <v>306110.03542727989</v>
      </c>
      <c r="GN50" s="122">
        <v>11.608456074333519</v>
      </c>
      <c r="GO50" s="122">
        <v>305511.24010668002</v>
      </c>
      <c r="GP50" s="122">
        <v>11.210599407135289</v>
      </c>
      <c r="GQ50" s="122">
        <v>308935.70579552016</v>
      </c>
      <c r="GR50" s="122">
        <v>10.907665688248068</v>
      </c>
      <c r="GS50" s="122">
        <v>310331.23664932029</v>
      </c>
      <c r="GT50" s="122">
        <v>10.618429177387656</v>
      </c>
      <c r="GU50" s="122">
        <v>312637.11251760006</v>
      </c>
      <c r="GV50" s="122">
        <v>10.429873501500063</v>
      </c>
      <c r="GW50" s="122">
        <v>315098.60013424035</v>
      </c>
      <c r="GX50" s="122">
        <v>10.279676516828101</v>
      </c>
      <c r="GY50" s="122">
        <v>316089.01557192008</v>
      </c>
      <c r="GZ50" s="122">
        <v>10.149750218039365</v>
      </c>
      <c r="HA50" s="122">
        <v>316374.41890579002</v>
      </c>
      <c r="HB50" s="122">
        <v>9.9261189559881906</v>
      </c>
      <c r="HC50" s="122">
        <v>317963.38907057984</v>
      </c>
      <c r="HD50" s="122">
        <v>9.7097375585480474</v>
      </c>
      <c r="HE50" s="122">
        <v>319583.71311899013</v>
      </c>
      <c r="HF50" s="122">
        <v>9.4229465389930613</v>
      </c>
      <c r="HG50" s="122">
        <v>319645.57145046006</v>
      </c>
      <c r="HH50" s="122">
        <v>9.3127979634980598</v>
      </c>
      <c r="HI50" s="122">
        <v>319814.30822083016</v>
      </c>
      <c r="HJ50" s="122">
        <v>9.0772400914707916</v>
      </c>
      <c r="HK50" s="122">
        <v>322050.46899189113</v>
      </c>
      <c r="HL50" s="122">
        <v>8.8548734725549831</v>
      </c>
      <c r="HM50" s="122">
        <v>318845.82219236315</v>
      </c>
      <c r="HN50" s="122">
        <v>8.688207121521021</v>
      </c>
      <c r="HO50" s="122">
        <v>322522.1883214502</v>
      </c>
      <c r="HP50" s="122">
        <v>8.4353169532709558</v>
      </c>
      <c r="HQ50" s="122">
        <v>324559.99799859023</v>
      </c>
      <c r="HR50" s="122">
        <v>8.4284350794169764</v>
      </c>
      <c r="HS50" s="122">
        <v>325363.27102720022</v>
      </c>
      <c r="HT50" s="122">
        <v>8.333081971733014</v>
      </c>
      <c r="HU50" s="122">
        <v>326726.01018304983</v>
      </c>
      <c r="HV50" s="122">
        <v>8.2444797725217107</v>
      </c>
      <c r="HW50" s="122">
        <v>332053.26684623008</v>
      </c>
      <c r="HX50" s="122">
        <v>8.1557913696987097</v>
      </c>
      <c r="HY50" s="122">
        <v>337933.67361502023</v>
      </c>
    </row>
    <row r="51" spans="2:233" x14ac:dyDescent="0.55000000000000004">
      <c r="B51" s="81">
        <v>7</v>
      </c>
      <c r="C51" s="343" t="s">
        <v>267</v>
      </c>
      <c r="D51" s="122">
        <v>13.23395665969846</v>
      </c>
      <c r="E51" s="122">
        <v>57758.921425389999</v>
      </c>
      <c r="F51" s="122">
        <v>11.540767320568426</v>
      </c>
      <c r="G51" s="122">
        <v>57673.183244221</v>
      </c>
      <c r="H51" s="122">
        <v>10.570552655599155</v>
      </c>
      <c r="I51" s="122">
        <v>61728.820918210004</v>
      </c>
      <c r="J51" s="122">
        <v>9.3698001996509497</v>
      </c>
      <c r="K51" s="122">
        <v>81240.8687336</v>
      </c>
      <c r="L51" s="122">
        <v>11.942340466551894</v>
      </c>
      <c r="M51" s="122">
        <v>104245.21593393</v>
      </c>
      <c r="N51" s="122">
        <v>12.826315694744252</v>
      </c>
      <c r="O51" s="122">
        <v>114735.10752489998</v>
      </c>
      <c r="P51" s="122">
        <v>9.4161929695800719</v>
      </c>
      <c r="Q51" s="122">
        <v>83266.441590989998</v>
      </c>
      <c r="R51" s="122">
        <v>9.2025850555689708</v>
      </c>
      <c r="S51" s="122">
        <v>85276.335041109982</v>
      </c>
      <c r="T51" s="122">
        <v>9.1593080126761901</v>
      </c>
      <c r="U51" s="122">
        <v>87993.078317730979</v>
      </c>
      <c r="V51" s="122">
        <v>9.376551617369822</v>
      </c>
      <c r="W51" s="122">
        <v>89301.714988200998</v>
      </c>
      <c r="X51" s="122">
        <v>9.5367287069350812</v>
      </c>
      <c r="Y51" s="122">
        <v>92542.173336070991</v>
      </c>
      <c r="Z51" s="122">
        <v>9.8020761479522545</v>
      </c>
      <c r="AA51" s="122">
        <v>96619.075106080985</v>
      </c>
      <c r="AB51" s="122">
        <v>10.593909033538344</v>
      </c>
      <c r="AC51" s="122">
        <v>98968.334685529975</v>
      </c>
      <c r="AD51" s="122">
        <v>11.134455251208125</v>
      </c>
      <c r="AE51" s="122">
        <v>100204.02428081998</v>
      </c>
      <c r="AF51" s="122">
        <v>11.417589683474723</v>
      </c>
      <c r="AG51" s="122">
        <v>101058.01809242999</v>
      </c>
      <c r="AH51" s="122">
        <v>10.794007325515363</v>
      </c>
      <c r="AI51" s="122">
        <v>101613.49581617001</v>
      </c>
      <c r="AJ51" s="122">
        <v>11.823303322541639</v>
      </c>
      <c r="AK51" s="122">
        <v>102695.96765161603</v>
      </c>
      <c r="AL51" s="122">
        <v>11.942340466551894</v>
      </c>
      <c r="AM51" s="122">
        <v>104245.21593393</v>
      </c>
      <c r="AN51" s="122">
        <v>12.278012677030382</v>
      </c>
      <c r="AO51" s="122">
        <v>104291.36589618998</v>
      </c>
      <c r="AP51" s="122">
        <v>12.364755744348937</v>
      </c>
      <c r="AQ51" s="122">
        <v>103146.407913991</v>
      </c>
      <c r="AR51" s="122">
        <v>12.376464547969476</v>
      </c>
      <c r="AS51" s="122">
        <v>103197.13699300103</v>
      </c>
      <c r="AT51" s="122">
        <v>12.171872152649643</v>
      </c>
      <c r="AU51" s="122">
        <v>104347.16828566094</v>
      </c>
      <c r="AV51" s="122">
        <v>11.432941534089679</v>
      </c>
      <c r="AW51" s="122">
        <v>105581.271899571</v>
      </c>
      <c r="AX51" s="122">
        <v>12.262726498162662</v>
      </c>
      <c r="AY51" s="122">
        <v>108370.27815622998</v>
      </c>
      <c r="AZ51" s="122">
        <v>12.469025076664961</v>
      </c>
      <c r="BA51" s="122">
        <v>108672.59102714098</v>
      </c>
      <c r="BB51" s="122">
        <v>12.546046015256209</v>
      </c>
      <c r="BC51" s="122">
        <v>111270.42172696999</v>
      </c>
      <c r="BD51" s="122">
        <v>12.719149301977305</v>
      </c>
      <c r="BE51" s="122">
        <v>113778.22997335</v>
      </c>
      <c r="BF51" s="122">
        <v>12.93471849767608</v>
      </c>
      <c r="BG51" s="122">
        <v>113388.86669447001</v>
      </c>
      <c r="BH51" s="122">
        <v>12.93471849767608</v>
      </c>
      <c r="BI51" s="122">
        <v>113388.86669447001</v>
      </c>
      <c r="BJ51" s="122">
        <v>12.826315694744252</v>
      </c>
      <c r="BK51" s="122">
        <v>114735.10752489998</v>
      </c>
      <c r="BL51" s="122">
        <v>13.086948007151562</v>
      </c>
      <c r="BM51" s="122">
        <v>115915.71255314996</v>
      </c>
      <c r="BN51" s="122">
        <v>12.993250413502041</v>
      </c>
      <c r="BO51" s="122">
        <v>116250.68921794102</v>
      </c>
      <c r="BP51" s="122">
        <v>12.945247867795338</v>
      </c>
      <c r="BQ51" s="122">
        <v>119107.03299129095</v>
      </c>
      <c r="BR51" s="122">
        <v>12.869314172369897</v>
      </c>
      <c r="BS51" s="122">
        <v>120076.12806368101</v>
      </c>
      <c r="BT51" s="122">
        <v>12.882887776347875</v>
      </c>
      <c r="BU51" s="122">
        <v>118694.36305065101</v>
      </c>
      <c r="BV51" s="122">
        <v>12.911760024579888</v>
      </c>
      <c r="BW51" s="122">
        <v>117566.01786618101</v>
      </c>
      <c r="BX51" s="122">
        <v>12.872438998133948</v>
      </c>
      <c r="BY51" s="122">
        <v>116847.41069422998</v>
      </c>
      <c r="BZ51" s="122">
        <v>12.846283853792823</v>
      </c>
      <c r="CA51" s="122">
        <v>116723.37914032416</v>
      </c>
      <c r="CB51" s="122">
        <v>12.706484255860467</v>
      </c>
      <c r="CC51" s="122">
        <v>117291.9266382511</v>
      </c>
      <c r="CD51" s="122">
        <v>12.634852311156981</v>
      </c>
      <c r="CE51" s="122">
        <v>118075.44875714107</v>
      </c>
      <c r="CF51" s="122">
        <v>12.544868749558992</v>
      </c>
      <c r="CG51" s="122">
        <v>119436.75465494108</v>
      </c>
      <c r="CH51" s="122">
        <v>12.450951981099507</v>
      </c>
      <c r="CI51" s="122">
        <v>118860.33896084109</v>
      </c>
      <c r="CJ51" s="122">
        <v>12.431442418657861</v>
      </c>
      <c r="CK51" s="122">
        <v>118203.13435648003</v>
      </c>
      <c r="CL51" s="122">
        <v>12.386458139258844</v>
      </c>
      <c r="CM51" s="122">
        <v>119631.28861992</v>
      </c>
      <c r="CN51" s="122">
        <v>12.394377047309352</v>
      </c>
      <c r="CO51" s="122">
        <v>129590.38854260999</v>
      </c>
      <c r="CP51" s="122">
        <v>12.396378378451429</v>
      </c>
      <c r="CQ51" s="122">
        <v>129710.21888410916</v>
      </c>
      <c r="CR51" s="122">
        <v>12.379417328275943</v>
      </c>
      <c r="CS51" s="122">
        <v>131716.22519281</v>
      </c>
      <c r="CT51" s="122">
        <v>12.324917990248551</v>
      </c>
      <c r="CU51" s="122">
        <v>133995.68223580997</v>
      </c>
      <c r="CV51" s="122">
        <v>12.258389398431095</v>
      </c>
      <c r="CW51" s="122">
        <v>134958.87541139001</v>
      </c>
      <c r="CX51" s="122">
        <v>12.266809521261836</v>
      </c>
      <c r="CY51" s="122">
        <v>133160.27984501002</v>
      </c>
      <c r="CZ51" s="122">
        <v>12.217024921794312</v>
      </c>
      <c r="DA51" s="122">
        <v>133493.92477725996</v>
      </c>
      <c r="DB51" s="122">
        <v>12.052259809333838</v>
      </c>
      <c r="DC51" s="122">
        <v>132736.79839615</v>
      </c>
      <c r="DD51" s="122">
        <v>11.562070008081132</v>
      </c>
      <c r="DE51" s="122">
        <v>132012.80095549999</v>
      </c>
      <c r="DF51" s="122">
        <v>11.162373694025179</v>
      </c>
      <c r="DG51" s="122">
        <v>140543.75075357</v>
      </c>
      <c r="DH51" s="122">
        <v>10.910656426056185</v>
      </c>
      <c r="DI51" s="122">
        <v>142081.95076178998</v>
      </c>
      <c r="DJ51" s="122">
        <v>10.665740417195346</v>
      </c>
      <c r="DK51" s="122">
        <v>138324.10156314998</v>
      </c>
      <c r="DL51" s="122">
        <v>10.406994062183214</v>
      </c>
      <c r="DM51" s="122">
        <v>137972.22808106005</v>
      </c>
      <c r="DN51" s="122">
        <v>10.027392940115559</v>
      </c>
      <c r="DO51" s="122">
        <v>139673.50509381003</v>
      </c>
      <c r="DP51" s="122">
        <v>9.9109850784103006</v>
      </c>
      <c r="DQ51" s="122">
        <v>145572.05743069007</v>
      </c>
      <c r="DR51" s="122">
        <v>9.7148309917755533</v>
      </c>
      <c r="DS51" s="122">
        <v>145278.92336491993</v>
      </c>
      <c r="DT51" s="122">
        <v>9.3853435391663904</v>
      </c>
      <c r="DU51" s="122">
        <v>147930.75440829</v>
      </c>
      <c r="DV51" s="122">
        <v>9.3273141662566275</v>
      </c>
      <c r="DW51" s="122">
        <v>148095.45006798999</v>
      </c>
      <c r="DX51" s="122">
        <v>9.1927484079487822</v>
      </c>
      <c r="DY51" s="122">
        <v>162722.07991502006</v>
      </c>
      <c r="DZ51" s="122">
        <v>9.1310034823641466</v>
      </c>
      <c r="EA51" s="122">
        <v>155016.37898135005</v>
      </c>
      <c r="EB51" s="122">
        <v>9.0874132806992893</v>
      </c>
      <c r="EC51" s="122">
        <v>155730.54764732</v>
      </c>
      <c r="ED51" s="122">
        <v>9.0557806006550461</v>
      </c>
      <c r="EE51" s="122">
        <v>159217.48707697989</v>
      </c>
      <c r="EF51" s="122">
        <v>9.0398364989139743</v>
      </c>
      <c r="EG51" s="122">
        <v>165224.89871432001</v>
      </c>
      <c r="EH51" s="122">
        <v>9.1174639678395355</v>
      </c>
      <c r="EI51" s="122">
        <v>165641.32571230998</v>
      </c>
      <c r="EJ51" s="122">
        <v>9.1353067662577896</v>
      </c>
      <c r="EK51" s="122">
        <v>171418.99400418194</v>
      </c>
      <c r="EL51" s="122">
        <v>9.4505213533613937</v>
      </c>
      <c r="EM51" s="122">
        <v>174850.70477451183</v>
      </c>
      <c r="EN51" s="122">
        <v>9.6259872118422489</v>
      </c>
      <c r="EO51" s="122">
        <v>176939.95881009178</v>
      </c>
      <c r="EP51" s="122">
        <v>9.726639249904526</v>
      </c>
      <c r="EQ51" s="122">
        <v>180786.4710888236</v>
      </c>
      <c r="ER51" s="122">
        <v>10.772926146098282</v>
      </c>
      <c r="ES51" s="122">
        <v>181202.48010095995</v>
      </c>
      <c r="ET51" s="122">
        <v>10.9358094341639</v>
      </c>
      <c r="EU51" s="122">
        <v>182304.59203764002</v>
      </c>
      <c r="EV51" s="122">
        <v>11.021630852325773</v>
      </c>
      <c r="EW51" s="122">
        <v>171657.47726747001</v>
      </c>
      <c r="EX51" s="122">
        <v>11.885239845499031</v>
      </c>
      <c r="EY51" s="122">
        <v>192099.16473116999</v>
      </c>
      <c r="EZ51" s="122">
        <v>11.958602482291816</v>
      </c>
      <c r="FA51" s="122">
        <v>195620.19472884995</v>
      </c>
      <c r="FB51" s="122">
        <v>11.825932976462939</v>
      </c>
      <c r="FC51" s="122">
        <v>199641.17362327009</v>
      </c>
      <c r="FD51" s="122">
        <v>12.408123123981433</v>
      </c>
      <c r="FE51" s="122">
        <v>211542.46113174999</v>
      </c>
      <c r="FF51" s="122">
        <v>11.853661294266651</v>
      </c>
      <c r="FG51" s="122">
        <v>227259.95561202019</v>
      </c>
      <c r="FH51" s="122">
        <v>12.495646809816344</v>
      </c>
      <c r="FI51" s="122">
        <v>206845.94942768017</v>
      </c>
      <c r="FJ51" s="122">
        <v>13.072436913151497</v>
      </c>
      <c r="FK51" s="122">
        <v>205740.24661524006</v>
      </c>
      <c r="FL51" s="122">
        <v>13.042803210386372</v>
      </c>
      <c r="FM51" s="122">
        <v>191823.86421353006</v>
      </c>
      <c r="FN51" s="122">
        <v>12.969014213635148</v>
      </c>
      <c r="FO51" s="122">
        <v>194089.22374653997</v>
      </c>
      <c r="FP51" s="122">
        <v>13.553622822053102</v>
      </c>
      <c r="FQ51" s="122">
        <v>201982.97994209995</v>
      </c>
      <c r="FR51" s="122">
        <v>13.302471172218556</v>
      </c>
      <c r="FS51" s="122">
        <v>203256.93634597995</v>
      </c>
      <c r="FT51" s="122">
        <v>13.318273897415031</v>
      </c>
      <c r="FU51" s="122">
        <v>208893.87306845994</v>
      </c>
      <c r="FV51" s="122">
        <v>13.087481454948339</v>
      </c>
      <c r="FW51" s="122">
        <v>211254.87095615998</v>
      </c>
      <c r="FX51" s="122">
        <v>12.856096066503641</v>
      </c>
      <c r="FY51" s="122">
        <v>214620.50270054003</v>
      </c>
      <c r="FZ51" s="122">
        <v>12.630197655356506</v>
      </c>
      <c r="GA51" s="122">
        <v>202635.54454976993</v>
      </c>
      <c r="GB51" s="122">
        <v>12.47051659441807</v>
      </c>
      <c r="GC51" s="122">
        <v>208471.52697217994</v>
      </c>
      <c r="GD51" s="122">
        <v>12.494514986217142</v>
      </c>
      <c r="GE51" s="122">
        <v>209411.6611049799</v>
      </c>
      <c r="GF51" s="122">
        <v>12.604484381302115</v>
      </c>
      <c r="GG51" s="122">
        <v>208295.02854820003</v>
      </c>
      <c r="GH51" s="122">
        <v>12.551020354917323</v>
      </c>
      <c r="GI51" s="122">
        <v>211894.45459247997</v>
      </c>
      <c r="GJ51" s="122">
        <v>12.421902947228745</v>
      </c>
      <c r="GK51" s="122">
        <v>211213.89198112985</v>
      </c>
      <c r="GL51" s="122">
        <v>11.976760398046491</v>
      </c>
      <c r="GM51" s="122">
        <v>210984.07932368998</v>
      </c>
      <c r="GN51" s="122">
        <v>11.848281504251263</v>
      </c>
      <c r="GO51" s="122">
        <v>213208.68395211993</v>
      </c>
      <c r="GP51" s="122">
        <v>11.420935105100913</v>
      </c>
      <c r="GQ51" s="122">
        <v>213420.62292430992</v>
      </c>
      <c r="GR51" s="122">
        <v>11.108247133000992</v>
      </c>
      <c r="GS51" s="122">
        <v>216051.56455886003</v>
      </c>
      <c r="GT51" s="122">
        <v>10.861950446132795</v>
      </c>
      <c r="GU51" s="122">
        <v>213204.58010246835</v>
      </c>
      <c r="GV51" s="122">
        <v>10.705537880774884</v>
      </c>
      <c r="GW51" s="122">
        <v>217119.48643792988</v>
      </c>
      <c r="GX51" s="122">
        <v>10.44673618603181</v>
      </c>
      <c r="GY51" s="122">
        <v>224655.82451514003</v>
      </c>
      <c r="GZ51" s="122">
        <v>10.33081333643335</v>
      </c>
      <c r="HA51" s="122">
        <v>224537.00535566002</v>
      </c>
      <c r="HB51" s="122">
        <v>10.139215950349868</v>
      </c>
      <c r="HC51" s="122">
        <v>222454.12643052824</v>
      </c>
      <c r="HD51" s="122">
        <v>9.8351251814329927</v>
      </c>
      <c r="HE51" s="122">
        <v>225898.01527365835</v>
      </c>
      <c r="HF51" s="122">
        <v>9.6022910165699162</v>
      </c>
      <c r="HG51" s="122">
        <v>225977.85043715982</v>
      </c>
      <c r="HH51" s="122">
        <v>9.4141772117376412</v>
      </c>
      <c r="HI51" s="122">
        <v>234057.35803330995</v>
      </c>
      <c r="HJ51" s="122">
        <v>9.1415857675437717</v>
      </c>
      <c r="HK51" s="122">
        <v>229909.22645863445</v>
      </c>
      <c r="HL51" s="122">
        <v>8.9085206446172851</v>
      </c>
      <c r="HM51" s="122">
        <v>232995.14454050179</v>
      </c>
      <c r="HN51" s="122">
        <v>8.7186275769412394</v>
      </c>
      <c r="HO51" s="122">
        <v>234940.30792224169</v>
      </c>
      <c r="HP51" s="122">
        <v>8.5480860560627043</v>
      </c>
      <c r="HQ51" s="122">
        <v>235083.50379324169</v>
      </c>
      <c r="HR51" s="122">
        <v>8.4438129931330934</v>
      </c>
      <c r="HS51" s="122">
        <v>236435.79213071</v>
      </c>
      <c r="HT51" s="122">
        <v>8.3523196257233927</v>
      </c>
      <c r="HU51" s="122">
        <v>232372.43243614174</v>
      </c>
      <c r="HV51" s="122">
        <v>8.2549156670292501</v>
      </c>
      <c r="HW51" s="122">
        <v>230937.27392530005</v>
      </c>
      <c r="HX51" s="122">
        <v>8.1494665329539036</v>
      </c>
      <c r="HY51" s="122">
        <v>226014.48977857007</v>
      </c>
    </row>
    <row r="52" spans="2:233" x14ac:dyDescent="0.55000000000000004">
      <c r="B52" s="81">
        <v>8</v>
      </c>
      <c r="C52" s="343" t="s">
        <v>268</v>
      </c>
      <c r="D52" s="122">
        <v>12.725605746780273</v>
      </c>
      <c r="E52" s="122">
        <v>5319.8847653549992</v>
      </c>
      <c r="F52" s="122">
        <v>10.354396657659903</v>
      </c>
      <c r="G52" s="122">
        <v>10229.41987673</v>
      </c>
      <c r="H52" s="122">
        <v>9.5456521066654396</v>
      </c>
      <c r="I52" s="122">
        <v>16083.921973379998</v>
      </c>
      <c r="J52" s="122">
        <v>8.0055796649916147</v>
      </c>
      <c r="K52" s="122">
        <v>27939.104650909998</v>
      </c>
      <c r="L52" s="122">
        <v>12.273483606622754</v>
      </c>
      <c r="M52" s="122">
        <v>34419.827632520006</v>
      </c>
      <c r="N52" s="122">
        <v>12.591253643110512</v>
      </c>
      <c r="O52" s="122">
        <v>33207.616342446985</v>
      </c>
      <c r="P52" s="122">
        <v>8.4339732603718378</v>
      </c>
      <c r="Q52" s="122">
        <v>28475.147404489995</v>
      </c>
      <c r="R52" s="122">
        <v>7.8737712135260098</v>
      </c>
      <c r="S52" s="122">
        <v>28652.202998549998</v>
      </c>
      <c r="T52" s="122">
        <v>7.8680356447772377</v>
      </c>
      <c r="U52" s="122">
        <v>29857.026999310008</v>
      </c>
      <c r="V52" s="122">
        <v>8.1813892755649515</v>
      </c>
      <c r="W52" s="122">
        <v>30000.562961499996</v>
      </c>
      <c r="X52" s="122">
        <v>8.5162811811768471</v>
      </c>
      <c r="Y52" s="122">
        <v>29588.696428140003</v>
      </c>
      <c r="Z52" s="122">
        <v>9.1493410305966503</v>
      </c>
      <c r="AA52" s="122">
        <v>32288.119386059996</v>
      </c>
      <c r="AB52" s="122">
        <v>10.427394967998628</v>
      </c>
      <c r="AC52" s="122">
        <v>33801.56700974999</v>
      </c>
      <c r="AD52" s="122">
        <v>11.006680621079708</v>
      </c>
      <c r="AE52" s="122">
        <v>31943.370709680003</v>
      </c>
      <c r="AF52" s="122">
        <v>11.396779717048185</v>
      </c>
      <c r="AG52" s="122">
        <v>31298.754963629999</v>
      </c>
      <c r="AH52" s="122">
        <v>11.161019730039582</v>
      </c>
      <c r="AI52" s="122">
        <v>31213.79312808</v>
      </c>
      <c r="AJ52" s="122">
        <v>12.016696554475212</v>
      </c>
      <c r="AK52" s="122">
        <v>31743.316802450005</v>
      </c>
      <c r="AL52" s="122">
        <v>12.273483606622754</v>
      </c>
      <c r="AM52" s="122">
        <v>34419.827632520006</v>
      </c>
      <c r="AN52" s="122">
        <v>12.426024406321963</v>
      </c>
      <c r="AO52" s="122">
        <v>34044.756403259998</v>
      </c>
      <c r="AP52" s="122">
        <v>12.396898129466571</v>
      </c>
      <c r="AQ52" s="122">
        <v>33747.406536559996</v>
      </c>
      <c r="AR52" s="122">
        <v>12.272132746838317</v>
      </c>
      <c r="AS52" s="122">
        <v>34893.561025740004</v>
      </c>
      <c r="AT52" s="122">
        <v>12.052299571744937</v>
      </c>
      <c r="AU52" s="122">
        <v>33957.9043466</v>
      </c>
      <c r="AV52" s="122">
        <v>11.361970820533049</v>
      </c>
      <c r="AW52" s="122">
        <v>35367.48017998998</v>
      </c>
      <c r="AX52" s="122">
        <v>12.0599945927778</v>
      </c>
      <c r="AY52" s="122">
        <v>34966.699184709993</v>
      </c>
      <c r="AZ52" s="122">
        <v>12.254066388229175</v>
      </c>
      <c r="BA52" s="122">
        <v>35243.408044796997</v>
      </c>
      <c r="BB52" s="122">
        <v>12.358276957718887</v>
      </c>
      <c r="BC52" s="122">
        <v>34497.883352700002</v>
      </c>
      <c r="BD52" s="122">
        <v>12.414453857542956</v>
      </c>
      <c r="BE52" s="122">
        <v>34112.557094797005</v>
      </c>
      <c r="BF52" s="122">
        <v>12.737360772362953</v>
      </c>
      <c r="BG52" s="122">
        <v>33585.546765177009</v>
      </c>
      <c r="BH52" s="122">
        <v>12.737360772362953</v>
      </c>
      <c r="BI52" s="122">
        <v>33585.546765177009</v>
      </c>
      <c r="BJ52" s="122">
        <v>12.591253643110512</v>
      </c>
      <c r="BK52" s="122">
        <v>33207.616342446985</v>
      </c>
      <c r="BL52" s="122">
        <v>12.845969384577604</v>
      </c>
      <c r="BM52" s="122">
        <v>32400.656296087003</v>
      </c>
      <c r="BN52" s="122">
        <v>12.722904589889506</v>
      </c>
      <c r="BO52" s="122">
        <v>33172.960112087007</v>
      </c>
      <c r="BP52" s="122">
        <v>12.747047239090138</v>
      </c>
      <c r="BQ52" s="122">
        <v>33621.419956616999</v>
      </c>
      <c r="BR52" s="122">
        <v>12.653040248645624</v>
      </c>
      <c r="BS52" s="122">
        <v>31194.410975646995</v>
      </c>
      <c r="BT52" s="122">
        <v>12.57554022148658</v>
      </c>
      <c r="BU52" s="122">
        <v>31941.440228516993</v>
      </c>
      <c r="BV52" s="122">
        <v>12.627455642325817</v>
      </c>
      <c r="BW52" s="122">
        <v>33917.954242956992</v>
      </c>
      <c r="BX52" s="122">
        <v>12.552783783120516</v>
      </c>
      <c r="BY52" s="122">
        <v>32898.184603267007</v>
      </c>
      <c r="BZ52" s="122">
        <v>12.398285339172286</v>
      </c>
      <c r="CA52" s="122">
        <v>32548.713719306994</v>
      </c>
      <c r="CB52" s="122">
        <v>12.392442350306741</v>
      </c>
      <c r="CC52" s="122">
        <v>33297.751772740005</v>
      </c>
      <c r="CD52" s="122">
        <v>12.291560214535643</v>
      </c>
      <c r="CE52" s="122">
        <v>33774.071411740006</v>
      </c>
      <c r="CF52" s="122">
        <v>12.241469198881431</v>
      </c>
      <c r="CG52" s="122">
        <v>33565.128289270004</v>
      </c>
      <c r="CH52" s="122">
        <v>12.207411706649754</v>
      </c>
      <c r="CI52" s="122">
        <v>35571.386322130005</v>
      </c>
      <c r="CJ52" s="122">
        <v>12.180511287927846</v>
      </c>
      <c r="CK52" s="122">
        <v>35221.403258819992</v>
      </c>
      <c r="CL52" s="122">
        <v>12.041494205354326</v>
      </c>
      <c r="CM52" s="122">
        <v>34929.877100780002</v>
      </c>
      <c r="CN52" s="122">
        <v>12.019322264809411</v>
      </c>
      <c r="CO52" s="122">
        <v>35615.75602973999</v>
      </c>
      <c r="CP52" s="122">
        <v>12.131442086950113</v>
      </c>
      <c r="CQ52" s="122">
        <v>35069.226180229991</v>
      </c>
      <c r="CR52" s="122">
        <v>12.060407244750627</v>
      </c>
      <c r="CS52" s="122">
        <v>34945.137417650003</v>
      </c>
      <c r="CT52" s="122">
        <v>12.107712679153778</v>
      </c>
      <c r="CU52" s="122">
        <v>35645.711492449998</v>
      </c>
      <c r="CV52" s="122">
        <v>12.005047860594306</v>
      </c>
      <c r="CW52" s="122">
        <v>35156.500957039992</v>
      </c>
      <c r="CX52" s="122">
        <v>11.93172389393923</v>
      </c>
      <c r="CY52" s="122">
        <v>37151.248155124995</v>
      </c>
      <c r="CZ52" s="122">
        <v>11.903290270897774</v>
      </c>
      <c r="DA52" s="122">
        <v>38059.103516484996</v>
      </c>
      <c r="DB52" s="122">
        <v>11.794466931331915</v>
      </c>
      <c r="DC52" s="122">
        <v>37982.818814794999</v>
      </c>
      <c r="DD52" s="122">
        <v>11.447307455521861</v>
      </c>
      <c r="DE52" s="122">
        <v>38162.394223480005</v>
      </c>
      <c r="DF52" s="122">
        <v>10.852530368147205</v>
      </c>
      <c r="DG52" s="122">
        <v>41345.03355610001</v>
      </c>
      <c r="DH52" s="122">
        <v>10.417454697879677</v>
      </c>
      <c r="DI52" s="122">
        <v>41355.844210674994</v>
      </c>
      <c r="DJ52" s="122">
        <v>10.089601940314296</v>
      </c>
      <c r="DK52" s="122">
        <v>43165.983456515009</v>
      </c>
      <c r="DL52" s="122">
        <v>9.465915357913179</v>
      </c>
      <c r="DM52" s="122">
        <v>48564.232263885002</v>
      </c>
      <c r="DN52" s="122">
        <v>9.014899606087587</v>
      </c>
      <c r="DO52" s="122">
        <v>50390.856645285006</v>
      </c>
      <c r="DP52" s="122">
        <v>8.8234812914982541</v>
      </c>
      <c r="DQ52" s="122">
        <v>56612.671918184999</v>
      </c>
      <c r="DR52" s="122">
        <v>8.70148877944</v>
      </c>
      <c r="DS52" s="122">
        <v>64059.652623344991</v>
      </c>
      <c r="DT52" s="122">
        <v>8.3870234091415092</v>
      </c>
      <c r="DU52" s="122">
        <v>66199.130996149979</v>
      </c>
      <c r="DV52" s="122">
        <v>8.502328606548831</v>
      </c>
      <c r="DW52" s="122">
        <v>70411.651590479974</v>
      </c>
      <c r="DX52" s="122">
        <v>8.4761250518877755</v>
      </c>
      <c r="DY52" s="122">
        <v>78994.437621949983</v>
      </c>
      <c r="DZ52" s="122">
        <v>8.2028467766732582</v>
      </c>
      <c r="EA52" s="122">
        <v>81611.549565360008</v>
      </c>
      <c r="EB52" s="122">
        <v>8.0713954752351889</v>
      </c>
      <c r="EC52" s="122">
        <v>81259.048995639998</v>
      </c>
      <c r="ED52" s="122">
        <v>8.0474452102535761</v>
      </c>
      <c r="EE52" s="122">
        <v>90923.624939729998</v>
      </c>
      <c r="EF52" s="122">
        <v>8.1383997689785996</v>
      </c>
      <c r="EG52" s="122">
        <v>92085.020870529959</v>
      </c>
      <c r="EH52" s="122">
        <v>8.2591483171841595</v>
      </c>
      <c r="EI52" s="122">
        <v>88437.066909640009</v>
      </c>
      <c r="EJ52" s="122">
        <v>8.3569567871981381</v>
      </c>
      <c r="EK52" s="122">
        <v>88206.067134439989</v>
      </c>
      <c r="EL52" s="122">
        <v>8.8305263508801968</v>
      </c>
      <c r="EM52" s="122">
        <v>86159.424913069975</v>
      </c>
      <c r="EN52" s="122">
        <v>9.1249743726640737</v>
      </c>
      <c r="EO52" s="122">
        <v>84611.642079579964</v>
      </c>
      <c r="EP52" s="122">
        <v>9.4068556958758016</v>
      </c>
      <c r="EQ52" s="122">
        <v>83705.354666850006</v>
      </c>
      <c r="ER52" s="122">
        <v>10.331801777899743</v>
      </c>
      <c r="ES52" s="122">
        <v>82447.458326360007</v>
      </c>
      <c r="ET52" s="122">
        <v>10.587895580584215</v>
      </c>
      <c r="EU52" s="122">
        <v>79777.603248230007</v>
      </c>
      <c r="EV52" s="122">
        <v>10.897183654792588</v>
      </c>
      <c r="EW52" s="122">
        <v>78409.987187899998</v>
      </c>
      <c r="EX52" s="122">
        <v>11.896386639526854</v>
      </c>
      <c r="EY52" s="122">
        <v>75168.861347449973</v>
      </c>
      <c r="EZ52" s="122">
        <v>12.057529456658038</v>
      </c>
      <c r="FA52" s="122">
        <v>71713.78889361996</v>
      </c>
      <c r="FB52" s="122">
        <v>12.253741291723676</v>
      </c>
      <c r="FC52" s="122">
        <v>64818.975833290009</v>
      </c>
      <c r="FD52" s="122">
        <v>12.890036634202499</v>
      </c>
      <c r="FE52" s="122">
        <v>61563.896654470002</v>
      </c>
      <c r="FF52" s="122">
        <v>13.11938235156223</v>
      </c>
      <c r="FG52" s="122">
        <v>60319.074112949995</v>
      </c>
      <c r="FH52" s="122">
        <v>13.323848267753707</v>
      </c>
      <c r="FI52" s="122">
        <v>60348.286011610013</v>
      </c>
      <c r="FJ52" s="122">
        <v>13.947520870605997</v>
      </c>
      <c r="FK52" s="122">
        <v>59911.768876779992</v>
      </c>
      <c r="FL52" s="122">
        <v>14.002285190337853</v>
      </c>
      <c r="FM52" s="122">
        <v>58765.694600012568</v>
      </c>
      <c r="FN52" s="122">
        <v>14.044649589101384</v>
      </c>
      <c r="FO52" s="122">
        <v>58404.896820479982</v>
      </c>
      <c r="FP52" s="122">
        <v>14.576789325643229</v>
      </c>
      <c r="FQ52" s="122">
        <v>58247.715827899992</v>
      </c>
      <c r="FR52" s="122">
        <v>14.521929788833557</v>
      </c>
      <c r="FS52" s="122">
        <v>58427.41831993001</v>
      </c>
      <c r="FT52" s="122">
        <v>14.44977401249659</v>
      </c>
      <c r="FU52" s="122">
        <v>58100.843129079993</v>
      </c>
      <c r="FV52" s="122">
        <v>14.15578304965536</v>
      </c>
      <c r="FW52" s="122">
        <v>57814.227414240006</v>
      </c>
      <c r="FX52" s="122">
        <v>13.824135348099016</v>
      </c>
      <c r="FY52" s="122">
        <v>57536.382116340013</v>
      </c>
      <c r="FZ52" s="122">
        <v>13.545210498490478</v>
      </c>
      <c r="GA52" s="122">
        <v>54698.122051120008</v>
      </c>
      <c r="GB52" s="122">
        <v>12.969076529853639</v>
      </c>
      <c r="GC52" s="122">
        <v>58902.116205180006</v>
      </c>
      <c r="GD52" s="122">
        <v>13.139381831062538</v>
      </c>
      <c r="GE52" s="122">
        <v>60700.809427020031</v>
      </c>
      <c r="GF52" s="122">
        <v>12.941715834286001</v>
      </c>
      <c r="GG52" s="122">
        <v>63332.319154739984</v>
      </c>
      <c r="GH52" s="122">
        <v>12.915572142249376</v>
      </c>
      <c r="GI52" s="122">
        <v>63600.307945720007</v>
      </c>
      <c r="GJ52" s="122">
        <v>12.807730897485932</v>
      </c>
      <c r="GK52" s="122">
        <v>63678.263787770025</v>
      </c>
      <c r="GL52" s="122">
        <v>12.33354350242643</v>
      </c>
      <c r="GM52" s="122">
        <v>65861.992299900012</v>
      </c>
      <c r="GN52" s="122">
        <v>12.067982071885954</v>
      </c>
      <c r="GO52" s="122">
        <v>66594.289235809978</v>
      </c>
      <c r="GP52" s="122">
        <v>11.62656930479776</v>
      </c>
      <c r="GQ52" s="122">
        <v>67127.076313370009</v>
      </c>
      <c r="GR52" s="122">
        <v>11.196666570402853</v>
      </c>
      <c r="GS52" s="122">
        <v>67524.93071563002</v>
      </c>
      <c r="GT52" s="122">
        <v>10.896641068662271</v>
      </c>
      <c r="GU52" s="122">
        <v>67345.95885114999</v>
      </c>
      <c r="GV52" s="122">
        <v>10.717549018201378</v>
      </c>
      <c r="GW52" s="122">
        <v>68624.402236720009</v>
      </c>
      <c r="GX52" s="122">
        <v>10.500679029021112</v>
      </c>
      <c r="GY52" s="122">
        <v>70344.728540479991</v>
      </c>
      <c r="GZ52" s="122">
        <v>10.182434425204038</v>
      </c>
      <c r="HA52" s="122">
        <v>71693.107810800007</v>
      </c>
      <c r="HB52" s="122">
        <v>9.9037376494720153</v>
      </c>
      <c r="HC52" s="122">
        <v>79141.046141520026</v>
      </c>
      <c r="HD52" s="122">
        <v>9.6876104148157403</v>
      </c>
      <c r="HE52" s="122">
        <v>84210.432210589992</v>
      </c>
      <c r="HF52" s="122">
        <v>9.1275571674777964</v>
      </c>
      <c r="HG52" s="122">
        <v>85911.438689440009</v>
      </c>
      <c r="HH52" s="122">
        <v>9.1208380922056058</v>
      </c>
      <c r="HI52" s="122">
        <v>86330.032840449989</v>
      </c>
      <c r="HJ52" s="122">
        <v>8.8355634262400571</v>
      </c>
      <c r="HK52" s="122">
        <v>91542.113409069978</v>
      </c>
      <c r="HL52" s="122">
        <v>8.5839874708717439</v>
      </c>
      <c r="HM52" s="122">
        <v>93124.975246749993</v>
      </c>
      <c r="HN52" s="122">
        <v>8.3916921677936127</v>
      </c>
      <c r="HO52" s="122">
        <v>96393.569673510006</v>
      </c>
      <c r="HP52" s="122">
        <v>8.1240585087614452</v>
      </c>
      <c r="HQ52" s="122">
        <v>101607.07614239998</v>
      </c>
      <c r="HR52" s="122">
        <v>8.0802200121409591</v>
      </c>
      <c r="HS52" s="122">
        <v>103137.74795393001</v>
      </c>
      <c r="HT52" s="122">
        <v>7.9819358907373221</v>
      </c>
      <c r="HU52" s="122">
        <v>106186.40266142992</v>
      </c>
      <c r="HV52" s="122">
        <v>7.8626796403929848</v>
      </c>
      <c r="HW52" s="122">
        <v>116809.46768294001</v>
      </c>
      <c r="HX52" s="122">
        <v>7.7658856822639732</v>
      </c>
      <c r="HY52" s="122">
        <v>120612.64085109002</v>
      </c>
    </row>
    <row r="53" spans="2:233" x14ac:dyDescent="0.55000000000000004">
      <c r="B53" s="81">
        <v>9</v>
      </c>
      <c r="C53" s="343" t="s">
        <v>269</v>
      </c>
      <c r="D53" s="122">
        <v>13.050807196916226</v>
      </c>
      <c r="E53" s="122">
        <v>29450.762511543693</v>
      </c>
      <c r="F53" s="122">
        <v>11.446633681096042</v>
      </c>
      <c r="G53" s="122">
        <v>38297.302054207503</v>
      </c>
      <c r="H53" s="122">
        <v>10.185755423158987</v>
      </c>
      <c r="I53" s="122">
        <v>52431.485159234893</v>
      </c>
      <c r="J53" s="122">
        <v>9.5151235963335132</v>
      </c>
      <c r="K53" s="122">
        <v>76618.565482021935</v>
      </c>
      <c r="L53" s="122">
        <v>12.028361067363557</v>
      </c>
      <c r="M53" s="122">
        <v>120085.96593482027</v>
      </c>
      <c r="N53" s="122">
        <v>13.112203573526962</v>
      </c>
      <c r="O53" s="122">
        <v>137279.04203391913</v>
      </c>
      <c r="P53" s="122">
        <v>9.5660613323530015</v>
      </c>
      <c r="Q53" s="122">
        <v>83518.22225560309</v>
      </c>
      <c r="R53" s="122">
        <v>9.3984963376927624</v>
      </c>
      <c r="S53" s="122">
        <v>86013.598883908184</v>
      </c>
      <c r="T53" s="122">
        <v>9.3440253104633655</v>
      </c>
      <c r="U53" s="122">
        <v>89851.487786633705</v>
      </c>
      <c r="V53" s="122">
        <v>9.4475919206567198</v>
      </c>
      <c r="W53" s="122">
        <v>93708.629753861809</v>
      </c>
      <c r="X53" s="122">
        <v>9.4861272443730051</v>
      </c>
      <c r="Y53" s="122">
        <v>99963.035979379143</v>
      </c>
      <c r="Z53" s="122">
        <v>9.7232162003351306</v>
      </c>
      <c r="AA53" s="122">
        <v>106711.63814458967</v>
      </c>
      <c r="AB53" s="122">
        <v>10.518199528224589</v>
      </c>
      <c r="AC53" s="122">
        <v>110463.67402986567</v>
      </c>
      <c r="AD53" s="122">
        <v>11.087248261627687</v>
      </c>
      <c r="AE53" s="122">
        <v>112194.97624360441</v>
      </c>
      <c r="AF53" s="122">
        <v>11.313856668496344</v>
      </c>
      <c r="AG53" s="122">
        <v>114838.69615776019</v>
      </c>
      <c r="AH53" s="122">
        <v>10.782331442671353</v>
      </c>
      <c r="AI53" s="122">
        <v>115626.58328715496</v>
      </c>
      <c r="AJ53" s="122">
        <v>11.86850681311793</v>
      </c>
      <c r="AK53" s="122">
        <v>116266.5417491807</v>
      </c>
      <c r="AL53" s="122">
        <v>12.028361067363557</v>
      </c>
      <c r="AM53" s="122">
        <v>120085.96593482027</v>
      </c>
      <c r="AN53" s="122">
        <v>12.353956080552773</v>
      </c>
      <c r="AO53" s="122">
        <v>120615.83201290318</v>
      </c>
      <c r="AP53" s="122">
        <v>12.499905952165005</v>
      </c>
      <c r="AQ53" s="122">
        <v>120980.6316746262</v>
      </c>
      <c r="AR53" s="122">
        <v>12.475912382185442</v>
      </c>
      <c r="AS53" s="122">
        <v>121231.29448057964</v>
      </c>
      <c r="AT53" s="122">
        <v>12.396659929496701</v>
      </c>
      <c r="AU53" s="122">
        <v>122724.23825853007</v>
      </c>
      <c r="AV53" s="122">
        <v>11.539460782417656</v>
      </c>
      <c r="AW53" s="122">
        <v>125676.79157160055</v>
      </c>
      <c r="AX53" s="122">
        <v>12.505324235534198</v>
      </c>
      <c r="AY53" s="122">
        <v>127792.44044626458</v>
      </c>
      <c r="AZ53" s="122">
        <v>12.653419909921597</v>
      </c>
      <c r="BA53" s="122">
        <v>129289.00492852496</v>
      </c>
      <c r="BB53" s="122">
        <v>12.746711480241313</v>
      </c>
      <c r="BC53" s="122">
        <v>129439.08399579332</v>
      </c>
      <c r="BD53" s="122">
        <v>12.870755162656611</v>
      </c>
      <c r="BE53" s="122">
        <v>130671.06569493908</v>
      </c>
      <c r="BF53" s="122">
        <v>13.169960703458628</v>
      </c>
      <c r="BG53" s="122">
        <v>133537.06160228318</v>
      </c>
      <c r="BH53" s="122">
        <v>13.169960703458628</v>
      </c>
      <c r="BI53" s="122">
        <v>133537.06160228318</v>
      </c>
      <c r="BJ53" s="122">
        <v>13.112203573526962</v>
      </c>
      <c r="BK53" s="122">
        <v>137279.04203391913</v>
      </c>
      <c r="BL53" s="122">
        <v>13.240736721831921</v>
      </c>
      <c r="BM53" s="122">
        <v>139170.98562072724</v>
      </c>
      <c r="BN53" s="122">
        <v>13.216799948973684</v>
      </c>
      <c r="BO53" s="122">
        <v>139944.20868895797</v>
      </c>
      <c r="BP53" s="122">
        <v>12.983093957516386</v>
      </c>
      <c r="BQ53" s="122">
        <v>140529.78578871224</v>
      </c>
      <c r="BR53" s="122">
        <v>13.112366768434832</v>
      </c>
      <c r="BS53" s="122">
        <v>141429.63480096401</v>
      </c>
      <c r="BT53" s="122">
        <v>13.075691613473131</v>
      </c>
      <c r="BU53" s="122">
        <v>144053.00340080683</v>
      </c>
      <c r="BV53" s="122">
        <v>13.112745371751533</v>
      </c>
      <c r="BW53" s="122">
        <v>145368.11933810951</v>
      </c>
      <c r="BX53" s="122">
        <v>13.159254068780537</v>
      </c>
      <c r="BY53" s="122">
        <v>146166.01987018948</v>
      </c>
      <c r="BZ53" s="122">
        <v>13.173175935660783</v>
      </c>
      <c r="CA53" s="122">
        <v>146314.07381020172</v>
      </c>
      <c r="CB53" s="122">
        <v>13.120636055821279</v>
      </c>
      <c r="CC53" s="122">
        <v>145291.20984876409</v>
      </c>
      <c r="CD53" s="122">
        <v>13.059257810462471</v>
      </c>
      <c r="CE53" s="122">
        <v>145106.68970562145</v>
      </c>
      <c r="CF53" s="122">
        <v>13.021556051340129</v>
      </c>
      <c r="CG53" s="122">
        <v>144526.71667787898</v>
      </c>
      <c r="CH53" s="122">
        <v>13.022133139890018</v>
      </c>
      <c r="CI53" s="122">
        <v>141825.70278193697</v>
      </c>
      <c r="CJ53" s="122">
        <v>12.948088641598751</v>
      </c>
      <c r="CK53" s="122">
        <v>144132.95700415655</v>
      </c>
      <c r="CL53" s="122">
        <v>12.913206761371294</v>
      </c>
      <c r="CM53" s="122">
        <v>143762.85945239392</v>
      </c>
      <c r="CN53" s="122">
        <v>12.935746691469545</v>
      </c>
      <c r="CO53" s="122">
        <v>145222.32113255386</v>
      </c>
      <c r="CP53" s="122">
        <v>12.869326682978583</v>
      </c>
      <c r="CQ53" s="122">
        <v>145412.13655368279</v>
      </c>
      <c r="CR53" s="122">
        <v>12.915353167993379</v>
      </c>
      <c r="CS53" s="122">
        <v>146089.21012813284</v>
      </c>
      <c r="CT53" s="122">
        <v>12.895749502921893</v>
      </c>
      <c r="CU53" s="122">
        <v>145579.68863796789</v>
      </c>
      <c r="CV53" s="122">
        <v>12.833824506856491</v>
      </c>
      <c r="CW53" s="122">
        <v>145271.68448300878</v>
      </c>
      <c r="CX53" s="122">
        <v>12.845441855948458</v>
      </c>
      <c r="CY53" s="122">
        <v>147908.38144192769</v>
      </c>
      <c r="CZ53" s="122">
        <v>12.831990067453887</v>
      </c>
      <c r="DA53" s="122">
        <v>146830.58018605574</v>
      </c>
      <c r="DB53" s="122">
        <v>12.526530439712127</v>
      </c>
      <c r="DC53" s="122">
        <v>145901.92203288074</v>
      </c>
      <c r="DD53" s="122">
        <v>12.069734371616763</v>
      </c>
      <c r="DE53" s="122">
        <v>144691.57010726782</v>
      </c>
      <c r="DF53" s="122">
        <v>11.575590431528491</v>
      </c>
      <c r="DG53" s="122">
        <v>144991.31478110095</v>
      </c>
      <c r="DH53" s="122">
        <v>11.697865480437436</v>
      </c>
      <c r="DI53" s="122">
        <v>142548.87006695298</v>
      </c>
      <c r="DJ53" s="122">
        <v>11.468256203887931</v>
      </c>
      <c r="DK53" s="122">
        <v>143175.16733361088</v>
      </c>
      <c r="DL53" s="122">
        <v>11.291226672644433</v>
      </c>
      <c r="DM53" s="122">
        <v>141209.48656862081</v>
      </c>
      <c r="DN53" s="122">
        <v>10.909271180599259</v>
      </c>
      <c r="DO53" s="122">
        <v>140376.98417192083</v>
      </c>
      <c r="DP53" s="122">
        <v>10.755222075828787</v>
      </c>
      <c r="DQ53" s="122">
        <v>140352.51487618085</v>
      </c>
      <c r="DR53" s="122">
        <v>10.538860412546549</v>
      </c>
      <c r="DS53" s="122">
        <v>138673.08127513895</v>
      </c>
      <c r="DT53" s="122">
        <v>10.229250481712617</v>
      </c>
      <c r="DU53" s="122">
        <v>135779.50038620582</v>
      </c>
      <c r="DV53" s="122">
        <v>10.136087584868211</v>
      </c>
      <c r="DW53" s="122">
        <v>138041.76797868288</v>
      </c>
      <c r="DX53" s="122">
        <v>9.8430169562813816</v>
      </c>
      <c r="DY53" s="122">
        <v>137023.2561069128</v>
      </c>
      <c r="DZ53" s="122">
        <v>9.7599934868885558</v>
      </c>
      <c r="EA53" s="122">
        <v>136928.70213532299</v>
      </c>
      <c r="EB53" s="122">
        <v>9.7088134137283149</v>
      </c>
      <c r="EC53" s="122">
        <v>136834.73622738791</v>
      </c>
      <c r="ED53" s="122">
        <v>9.7040181818917084</v>
      </c>
      <c r="EE53" s="122">
        <v>134902.2304087329</v>
      </c>
      <c r="EF53" s="122">
        <v>9.6966010377194607</v>
      </c>
      <c r="EG53" s="122">
        <v>137385.93208962487</v>
      </c>
      <c r="EH53" s="122">
        <v>9.7432103710139195</v>
      </c>
      <c r="EI53" s="122">
        <v>139719.11798913477</v>
      </c>
      <c r="EJ53" s="122">
        <v>9.7146770411279117</v>
      </c>
      <c r="EK53" s="122">
        <v>139202.48711435977</v>
      </c>
      <c r="EL53" s="122">
        <v>10.017021662089356</v>
      </c>
      <c r="EM53" s="122">
        <v>140036.43115266995</v>
      </c>
      <c r="EN53" s="122">
        <v>10.106515171657891</v>
      </c>
      <c r="EO53" s="122">
        <v>141451.15282469726</v>
      </c>
      <c r="EP53" s="122">
        <v>10.034990034817291</v>
      </c>
      <c r="EQ53" s="122">
        <v>141578.1732361374</v>
      </c>
      <c r="ER53" s="122">
        <v>10.852344386544473</v>
      </c>
      <c r="ES53" s="122">
        <v>142232.64070909235</v>
      </c>
      <c r="ET53" s="122">
        <v>11.095492424335756</v>
      </c>
      <c r="EU53" s="122">
        <v>141394.33759225436</v>
      </c>
      <c r="EV53" s="122">
        <v>11.228217033717319</v>
      </c>
      <c r="EW53" s="122">
        <v>141250.46418630437</v>
      </c>
      <c r="EX53" s="122">
        <v>11.889191739614793</v>
      </c>
      <c r="EY53" s="122">
        <v>139185.07642913144</v>
      </c>
      <c r="EZ53" s="122">
        <v>11.937168891030783</v>
      </c>
      <c r="FA53" s="122">
        <v>138167.97693695792</v>
      </c>
      <c r="FB53" s="122">
        <v>11.887878055901364</v>
      </c>
      <c r="FC53" s="122">
        <v>131340.2012695274</v>
      </c>
      <c r="FD53" s="122">
        <v>12.368183440541355</v>
      </c>
      <c r="FE53" s="122">
        <v>133466.5514289398</v>
      </c>
      <c r="FF53" s="122">
        <v>12.356932581568147</v>
      </c>
      <c r="FG53" s="122">
        <v>131751.42390449237</v>
      </c>
      <c r="FH53" s="122">
        <v>12.428847466348659</v>
      </c>
      <c r="FI53" s="122">
        <v>128883.10319677832</v>
      </c>
      <c r="FJ53" s="122">
        <v>12.944433106891472</v>
      </c>
      <c r="FK53" s="122">
        <v>127229.8943642673</v>
      </c>
      <c r="FL53" s="122">
        <v>13.002167113893636</v>
      </c>
      <c r="FM53" s="122">
        <v>124946.18028543936</v>
      </c>
      <c r="FN53" s="122">
        <v>12.919105113581903</v>
      </c>
      <c r="FO53" s="122">
        <v>119826.42967323633</v>
      </c>
      <c r="FP53" s="122">
        <v>13.711765287400469</v>
      </c>
      <c r="FQ53" s="122">
        <v>118256.18505756537</v>
      </c>
      <c r="FR53" s="122">
        <v>13.599574397984226</v>
      </c>
      <c r="FS53" s="122">
        <v>116533.73279566638</v>
      </c>
      <c r="FT53" s="122">
        <v>13.474034105519529</v>
      </c>
      <c r="FU53" s="122">
        <v>111876.77039470541</v>
      </c>
      <c r="FV53" s="122">
        <v>13.290008140352674</v>
      </c>
      <c r="FW53" s="122">
        <v>116185.13102477834</v>
      </c>
      <c r="FX53" s="122">
        <v>13.089430635726663</v>
      </c>
      <c r="FY53" s="122">
        <v>115052.45033285517</v>
      </c>
      <c r="FZ53" s="122">
        <v>12.869408325837966</v>
      </c>
      <c r="GA53" s="122">
        <v>132399.71920218531</v>
      </c>
      <c r="GB53" s="122">
        <v>12.269236775351775</v>
      </c>
      <c r="GC53" s="122">
        <v>111731.37987179191</v>
      </c>
      <c r="GD53" s="122">
        <v>12.654662271637068</v>
      </c>
      <c r="GE53" s="122">
        <v>111128.69329309919</v>
      </c>
      <c r="GF53" s="122">
        <v>12.607166092608928</v>
      </c>
      <c r="GG53" s="122">
        <v>109582.78897933505</v>
      </c>
      <c r="GH53" s="122">
        <v>12.46949961673268</v>
      </c>
      <c r="GI53" s="122">
        <v>108884.79211086695</v>
      </c>
      <c r="GJ53" s="122">
        <v>12.404420012105877</v>
      </c>
      <c r="GK53" s="122">
        <v>109367.10491254802</v>
      </c>
      <c r="GL53" s="122">
        <v>11.974065189434006</v>
      </c>
      <c r="GM53" s="122">
        <v>108339.14520331199</v>
      </c>
      <c r="GN53" s="122">
        <v>11.779852491885565</v>
      </c>
      <c r="GO53" s="122">
        <v>108092.07334304204</v>
      </c>
      <c r="GP53" s="122">
        <v>11.489657767712215</v>
      </c>
      <c r="GQ53" s="122">
        <v>107641.041197042</v>
      </c>
      <c r="GR53" s="122">
        <v>11.060075305299479</v>
      </c>
      <c r="GS53" s="122">
        <v>114155.55973593204</v>
      </c>
      <c r="GT53" s="122">
        <v>10.861565597323558</v>
      </c>
      <c r="GU53" s="122">
        <v>106520.55700571201</v>
      </c>
      <c r="GV53" s="122">
        <v>10.693873859192218</v>
      </c>
      <c r="GW53" s="122">
        <v>107669.66690964797</v>
      </c>
      <c r="GX53" s="122">
        <v>10.521581875158322</v>
      </c>
      <c r="GY53" s="122">
        <v>106859.97302391802</v>
      </c>
      <c r="GZ53" s="122">
        <v>10.317297512320517</v>
      </c>
      <c r="HA53" s="122">
        <v>107065.51171370804</v>
      </c>
      <c r="HB53" s="122">
        <v>10.091913544169618</v>
      </c>
      <c r="HC53" s="122">
        <v>107997.99545613657</v>
      </c>
      <c r="HD53" s="122">
        <v>9.8078800146697382</v>
      </c>
      <c r="HE53" s="122">
        <v>107823.81405628634</v>
      </c>
      <c r="HF53" s="122">
        <v>9.5773471976353015</v>
      </c>
      <c r="HG53" s="122">
        <v>109553.36672594654</v>
      </c>
      <c r="HH53" s="122">
        <v>9.4543854586205853</v>
      </c>
      <c r="HI53" s="122">
        <v>111582.08983309146</v>
      </c>
      <c r="HJ53" s="122">
        <v>9.2214920030178096</v>
      </c>
      <c r="HK53" s="122">
        <v>112000.18071008877</v>
      </c>
      <c r="HL53" s="122">
        <v>9.0341996020793598</v>
      </c>
      <c r="HM53" s="122">
        <v>113021.78729374643</v>
      </c>
      <c r="HN53" s="122">
        <v>8.8564010024917792</v>
      </c>
      <c r="HO53" s="122">
        <v>113430.9199048064</v>
      </c>
      <c r="HP53" s="122">
        <v>8.5880385172851774</v>
      </c>
      <c r="HQ53" s="122">
        <v>112945.37444091657</v>
      </c>
      <c r="HR53" s="122">
        <v>8.5963284303154079</v>
      </c>
      <c r="HS53" s="122">
        <v>113045.46549009142</v>
      </c>
      <c r="HT53" s="122">
        <v>8.4664944260355686</v>
      </c>
      <c r="HU53" s="122">
        <v>115070.4852381465</v>
      </c>
      <c r="HV53" s="122">
        <v>8.3850843654148903</v>
      </c>
      <c r="HW53" s="122">
        <v>113079.78728938993</v>
      </c>
      <c r="HX53" s="122">
        <v>8.284576888676721</v>
      </c>
      <c r="HY53" s="122">
        <v>113003.36826125991</v>
      </c>
    </row>
    <row r="54" spans="2:233" x14ac:dyDescent="0.55000000000000004">
      <c r="B54" s="81">
        <v>10</v>
      </c>
      <c r="C54" s="343" t="s">
        <v>270</v>
      </c>
      <c r="D54" s="122">
        <v>6.8671525132562854</v>
      </c>
      <c r="E54" s="122">
        <v>23200.431278289998</v>
      </c>
      <c r="F54" s="122">
        <v>6.4028355606262615</v>
      </c>
      <c r="G54" s="122">
        <v>39407.92364772001</v>
      </c>
      <c r="H54" s="122">
        <v>6.2534987165169351</v>
      </c>
      <c r="I54" s="122">
        <v>49456.295582209983</v>
      </c>
      <c r="J54" s="122">
        <v>5.6906367436382475</v>
      </c>
      <c r="K54" s="122">
        <v>65175.30144259004</v>
      </c>
      <c r="L54" s="122">
        <v>10.157522674424849</v>
      </c>
      <c r="M54" s="122">
        <v>93428.552277337221</v>
      </c>
      <c r="N54" s="122">
        <v>11.281631659754931</v>
      </c>
      <c r="O54" s="122">
        <v>114875.49824355001</v>
      </c>
      <c r="P54" s="122">
        <v>5.7171839161330071</v>
      </c>
      <c r="Q54" s="122">
        <v>62152.959821420474</v>
      </c>
      <c r="R54" s="122">
        <v>5.7661557570757109</v>
      </c>
      <c r="S54" s="122">
        <v>62542.807063390421</v>
      </c>
      <c r="T54" s="122">
        <v>6.014644300798655</v>
      </c>
      <c r="U54" s="122">
        <v>71652.976026960067</v>
      </c>
      <c r="V54" s="122">
        <v>6.4629588250822474</v>
      </c>
      <c r="W54" s="122">
        <v>71038.685675970046</v>
      </c>
      <c r="X54" s="122">
        <v>6.4806404062937331</v>
      </c>
      <c r="Y54" s="122">
        <v>72112.903239599938</v>
      </c>
      <c r="Z54" s="122">
        <v>7.0934861709922643</v>
      </c>
      <c r="AA54" s="122">
        <v>78528.617431327933</v>
      </c>
      <c r="AB54" s="122">
        <v>8.0700355475352819</v>
      </c>
      <c r="AC54" s="122">
        <v>79293.962497947941</v>
      </c>
      <c r="AD54" s="122">
        <v>8.472674968911722</v>
      </c>
      <c r="AE54" s="122">
        <v>80613.603737257596</v>
      </c>
      <c r="AF54" s="122">
        <v>8.9467042380261468</v>
      </c>
      <c r="AG54" s="122">
        <v>86470.722125701504</v>
      </c>
      <c r="AH54" s="122">
        <v>8.8034948475218027</v>
      </c>
      <c r="AI54" s="122">
        <v>86523.045740699119</v>
      </c>
      <c r="AJ54" s="122">
        <v>9.4878319927517243</v>
      </c>
      <c r="AK54" s="122">
        <v>86968.868143275889</v>
      </c>
      <c r="AL54" s="122">
        <v>10.157522674424849</v>
      </c>
      <c r="AM54" s="122">
        <v>93428.552277337221</v>
      </c>
      <c r="AN54" s="122">
        <v>10.408369791013785</v>
      </c>
      <c r="AO54" s="122">
        <v>93183.316861800966</v>
      </c>
      <c r="AP54" s="122">
        <v>10.432253503863173</v>
      </c>
      <c r="AQ54" s="122">
        <v>95241.100629807974</v>
      </c>
      <c r="AR54" s="122">
        <v>10.48042541840681</v>
      </c>
      <c r="AS54" s="122">
        <v>101054.86324112004</v>
      </c>
      <c r="AT54" s="122">
        <v>10.415874222192738</v>
      </c>
      <c r="AU54" s="122">
        <v>95364.323407784002</v>
      </c>
      <c r="AV54" s="122">
        <v>10.15677458321279</v>
      </c>
      <c r="AW54" s="122">
        <v>96362.690780253994</v>
      </c>
      <c r="AX54" s="122">
        <v>10.679084585366247</v>
      </c>
      <c r="AY54" s="122">
        <v>103368.39849429679</v>
      </c>
      <c r="AZ54" s="122">
        <v>10.681963485681898</v>
      </c>
      <c r="BA54" s="122">
        <v>100391.14065903403</v>
      </c>
      <c r="BB54" s="122">
        <v>10.801463802504838</v>
      </c>
      <c r="BC54" s="122">
        <v>101003.19237235405</v>
      </c>
      <c r="BD54" s="122">
        <v>11.08610461338251</v>
      </c>
      <c r="BE54" s="122">
        <v>105932.12465623979</v>
      </c>
      <c r="BF54" s="122">
        <v>11.29276951931474</v>
      </c>
      <c r="BG54" s="122">
        <v>106384.75379809973</v>
      </c>
      <c r="BH54" s="122">
        <v>11.29276951931474</v>
      </c>
      <c r="BI54" s="122">
        <v>106384.75379809973</v>
      </c>
      <c r="BJ54" s="122">
        <v>11.281631659754931</v>
      </c>
      <c r="BK54" s="122">
        <v>114875.49824355001</v>
      </c>
      <c r="BL54" s="122">
        <v>11.515939255861767</v>
      </c>
      <c r="BM54" s="122">
        <v>110907.42434923006</v>
      </c>
      <c r="BN54" s="122">
        <v>11.218843497139904</v>
      </c>
      <c r="BO54" s="122">
        <v>114856.28184049495</v>
      </c>
      <c r="BP54" s="122">
        <v>11.277909269032719</v>
      </c>
      <c r="BQ54" s="122">
        <v>126355.86174467116</v>
      </c>
      <c r="BR54" s="122">
        <v>11.224369695784507</v>
      </c>
      <c r="BS54" s="122">
        <v>122045.52800763614</v>
      </c>
      <c r="BT54" s="122">
        <v>11.258886850472345</v>
      </c>
      <c r="BU54" s="122">
        <v>121917.17316241893</v>
      </c>
      <c r="BV54" s="122">
        <v>11.30911145858088</v>
      </c>
      <c r="BW54" s="122">
        <v>132138.85577216509</v>
      </c>
      <c r="BX54" s="122">
        <v>11.4167647211843</v>
      </c>
      <c r="BY54" s="122">
        <v>130936.53352507406</v>
      </c>
      <c r="BZ54" s="122">
        <v>11.482672768775505</v>
      </c>
      <c r="CA54" s="122">
        <v>130683.27186959828</v>
      </c>
      <c r="CB54" s="122">
        <v>11.607100033969662</v>
      </c>
      <c r="CC54" s="122">
        <v>139084.39676489832</v>
      </c>
      <c r="CD54" s="122">
        <v>11.557699886595255</v>
      </c>
      <c r="CE54" s="122">
        <v>138993.87263003757</v>
      </c>
      <c r="CF54" s="122">
        <v>11.504169080832082</v>
      </c>
      <c r="CG54" s="122">
        <v>140548.01424811361</v>
      </c>
      <c r="CH54" s="122">
        <v>11.573489135674906</v>
      </c>
      <c r="CI54" s="122">
        <v>142087.74114967996</v>
      </c>
      <c r="CJ54" s="122">
        <v>11.55688558288923</v>
      </c>
      <c r="CK54" s="122">
        <v>141944.21049109509</v>
      </c>
      <c r="CL54" s="122">
        <v>11.462880058335678</v>
      </c>
      <c r="CM54" s="122">
        <v>145137.29947070009</v>
      </c>
      <c r="CN54" s="122">
        <v>11.447302056029471</v>
      </c>
      <c r="CO54" s="122">
        <v>152865.41251849491</v>
      </c>
      <c r="CP54" s="122">
        <v>11.437858897903894</v>
      </c>
      <c r="CQ54" s="122">
        <v>150021.47789151003</v>
      </c>
      <c r="CR54" s="122">
        <v>11.533139437214613</v>
      </c>
      <c r="CS54" s="122">
        <v>153015.41891754503</v>
      </c>
      <c r="CT54" s="122">
        <v>11.477907391595647</v>
      </c>
      <c r="CU54" s="122">
        <v>162908.57648842505</v>
      </c>
      <c r="CV54" s="122">
        <v>11.441422052420783</v>
      </c>
      <c r="CW54" s="122">
        <v>159807.71106594009</v>
      </c>
      <c r="CX54" s="122">
        <v>11.425849543285453</v>
      </c>
      <c r="CY54" s="122">
        <v>160811.25831706513</v>
      </c>
      <c r="CZ54" s="122">
        <v>11.265612310580272</v>
      </c>
      <c r="DA54" s="122">
        <v>168232.95453326995</v>
      </c>
      <c r="DB54" s="122">
        <v>11.228986023736709</v>
      </c>
      <c r="DC54" s="122">
        <v>162435.80869195491</v>
      </c>
      <c r="DD54" s="122">
        <v>10.962271725434091</v>
      </c>
      <c r="DE54" s="122">
        <v>155803.18724831002</v>
      </c>
      <c r="DF54" s="122">
        <v>10.284826634364045</v>
      </c>
      <c r="DG54" s="122">
        <v>169089.66090912005</v>
      </c>
      <c r="DH54" s="122">
        <v>9.3753318683206199</v>
      </c>
      <c r="DI54" s="122">
        <v>161310.25284076005</v>
      </c>
      <c r="DJ54" s="122">
        <v>8.3477633709583454</v>
      </c>
      <c r="DK54" s="122">
        <v>158920.14763381999</v>
      </c>
      <c r="DL54" s="122">
        <v>7.634211597790185</v>
      </c>
      <c r="DM54" s="122">
        <v>172808.59178606997</v>
      </c>
      <c r="DN54" s="122">
        <v>7.4541277511485227</v>
      </c>
      <c r="DO54" s="122">
        <v>168381.30595527997</v>
      </c>
      <c r="DP54" s="122">
        <v>7.2168120914261698</v>
      </c>
      <c r="DQ54" s="122">
        <v>177108.17060891006</v>
      </c>
      <c r="DR54" s="122">
        <v>7.0365337158712258</v>
      </c>
      <c r="DS54" s="122">
        <v>192978.20869391508</v>
      </c>
      <c r="DT54" s="122">
        <v>6.7360435593082642</v>
      </c>
      <c r="DU54" s="122">
        <v>197113.27811502514</v>
      </c>
      <c r="DV54" s="122">
        <v>6.7879023675412524</v>
      </c>
      <c r="DW54" s="122">
        <v>207526.52537697615</v>
      </c>
      <c r="DX54" s="122">
        <v>7.0651999530940097</v>
      </c>
      <c r="DY54" s="122">
        <v>221717.98412923497</v>
      </c>
      <c r="DZ54" s="122">
        <v>6.9912523985477089</v>
      </c>
      <c r="EA54" s="122">
        <v>228719.94014377022</v>
      </c>
      <c r="EB54" s="122">
        <v>6.911694088994401</v>
      </c>
      <c r="EC54" s="122">
        <v>228328.62017729986</v>
      </c>
      <c r="ED54" s="122">
        <v>7.2472523241666051</v>
      </c>
      <c r="EE54" s="122">
        <v>239863.96876112404</v>
      </c>
      <c r="EF54" s="122">
        <v>7.36983860706939</v>
      </c>
      <c r="EG54" s="122">
        <v>243625.97332790899</v>
      </c>
      <c r="EH54" s="122">
        <v>7.4494464929298507</v>
      </c>
      <c r="EI54" s="122">
        <v>257437.46323566895</v>
      </c>
      <c r="EJ54" s="122">
        <v>7.6007468366850537</v>
      </c>
      <c r="EK54" s="122">
        <v>275798.16617867269</v>
      </c>
      <c r="EL54" s="122">
        <v>8.1007514206170246</v>
      </c>
      <c r="EM54" s="122">
        <v>279708.93726389797</v>
      </c>
      <c r="EN54" s="122">
        <v>8.2265550784786559</v>
      </c>
      <c r="EO54" s="122">
        <v>279838.33481976332</v>
      </c>
      <c r="EP54" s="122">
        <v>8.4934860394287597</v>
      </c>
      <c r="EQ54" s="122">
        <v>284284.78799623303</v>
      </c>
      <c r="ER54" s="122">
        <v>9.2817224197762176</v>
      </c>
      <c r="ES54" s="122">
        <v>286629.30028817401</v>
      </c>
      <c r="ET54" s="122">
        <v>9.428726745596034</v>
      </c>
      <c r="EU54" s="122">
        <v>287056.49733020412</v>
      </c>
      <c r="EV54" s="122">
        <v>9.639490597298062</v>
      </c>
      <c r="EW54" s="122">
        <v>286231.69813396211</v>
      </c>
      <c r="EX54" s="122">
        <v>10.378059727381824</v>
      </c>
      <c r="EY54" s="122">
        <v>283949.84191757394</v>
      </c>
      <c r="EZ54" s="122">
        <v>10.390726536829202</v>
      </c>
      <c r="FA54" s="122">
        <v>283004.35354850383</v>
      </c>
      <c r="FB54" s="122">
        <v>10.425882910480674</v>
      </c>
      <c r="FC54" s="122">
        <v>279645.59001081414</v>
      </c>
      <c r="FD54" s="122">
        <v>10.807378835908363</v>
      </c>
      <c r="FE54" s="122">
        <v>288697.39929282974</v>
      </c>
      <c r="FF54" s="122">
        <v>10.774495926095044</v>
      </c>
      <c r="FG54" s="122">
        <v>288301.00908775994</v>
      </c>
      <c r="FH54" s="122">
        <v>10.811184166067543</v>
      </c>
      <c r="FI54" s="122">
        <v>279208.78613678395</v>
      </c>
      <c r="FJ54" s="122">
        <v>11.347671713057899</v>
      </c>
      <c r="FK54" s="122">
        <v>276599.38055042515</v>
      </c>
      <c r="FL54" s="122">
        <v>11.394444375391636</v>
      </c>
      <c r="FM54" s="122">
        <v>277105.40127365902</v>
      </c>
      <c r="FN54" s="122">
        <v>11.280943941927978</v>
      </c>
      <c r="FO54" s="122">
        <v>277211.61896056467</v>
      </c>
      <c r="FP54" s="122">
        <v>11.953184957761527</v>
      </c>
      <c r="FQ54" s="122">
        <v>266561.20662549988</v>
      </c>
      <c r="FR54" s="122">
        <v>11.800520998265482</v>
      </c>
      <c r="FS54" s="122">
        <v>265280.74038215523</v>
      </c>
      <c r="FT54" s="122">
        <v>11.660650038352028</v>
      </c>
      <c r="FU54" s="122">
        <v>268071.2090630653</v>
      </c>
      <c r="FV54" s="122">
        <v>11.5409063659928</v>
      </c>
      <c r="FW54" s="122">
        <v>262507.62463376037</v>
      </c>
      <c r="FX54" s="122">
        <v>11.382784668388616</v>
      </c>
      <c r="FY54" s="122">
        <v>260695.84986185504</v>
      </c>
      <c r="FZ54" s="122">
        <v>11.157750711815034</v>
      </c>
      <c r="GA54" s="122">
        <v>249866.64761390511</v>
      </c>
      <c r="GB54" s="122">
        <v>9.7085770657201156</v>
      </c>
      <c r="GC54" s="122">
        <v>264509.25642667006</v>
      </c>
      <c r="GD54" s="122">
        <v>10.929521928102265</v>
      </c>
      <c r="GE54" s="122">
        <v>268736.54123590526</v>
      </c>
      <c r="GF54" s="122">
        <v>10.899906410168978</v>
      </c>
      <c r="GG54" s="122">
        <v>273238.38226990518</v>
      </c>
      <c r="GH54" s="122">
        <v>10.862533168842718</v>
      </c>
      <c r="GI54" s="122">
        <v>270351.22355697519</v>
      </c>
      <c r="GJ54" s="122">
        <v>10.621544453668102</v>
      </c>
      <c r="GK54" s="122">
        <v>267507.93501969508</v>
      </c>
      <c r="GL54" s="122">
        <v>10.628496778093281</v>
      </c>
      <c r="GM54" s="122">
        <v>268901.7108732849</v>
      </c>
      <c r="GN54" s="122">
        <v>10.240148692924796</v>
      </c>
      <c r="GO54" s="122">
        <v>264243.84989147511</v>
      </c>
      <c r="GP54" s="122">
        <v>9.9144469975166007</v>
      </c>
      <c r="GQ54" s="122">
        <v>263184.95588849502</v>
      </c>
      <c r="GR54" s="122">
        <v>9.5374021000095279</v>
      </c>
      <c r="GS54" s="122">
        <v>267285.2694197651</v>
      </c>
      <c r="GT54" s="122">
        <v>9.3427770763764837</v>
      </c>
      <c r="GU54" s="122">
        <v>264254.22983810789</v>
      </c>
      <c r="GV54" s="122">
        <v>9.199152543882871</v>
      </c>
      <c r="GW54" s="122">
        <v>263068.3911198299</v>
      </c>
      <c r="GX54" s="122">
        <v>9.1523847736531607</v>
      </c>
      <c r="GY54" s="122">
        <v>267360.18391587032</v>
      </c>
      <c r="GZ54" s="122">
        <v>8.9883303269518535</v>
      </c>
      <c r="HA54" s="122">
        <v>263633.43901582027</v>
      </c>
      <c r="HB54" s="122">
        <v>8.6084830071228655</v>
      </c>
      <c r="HC54" s="122">
        <v>262326.79921431653</v>
      </c>
      <c r="HD54" s="122">
        <v>8.3395327669238064</v>
      </c>
      <c r="HE54" s="122">
        <v>267907.80351192021</v>
      </c>
      <c r="HF54" s="122">
        <v>8.0365922715182379</v>
      </c>
      <c r="HG54" s="122">
        <v>255176.65464716026</v>
      </c>
      <c r="HH54" s="122">
        <v>7.9050784633262881</v>
      </c>
      <c r="HI54" s="122">
        <v>246875.85045779854</v>
      </c>
      <c r="HJ54" s="122">
        <v>7.6828872618161386</v>
      </c>
      <c r="HK54" s="122">
        <v>258535.77037176391</v>
      </c>
      <c r="HL54" s="122">
        <v>7.5390036313941149</v>
      </c>
      <c r="HM54" s="122">
        <v>247890.24636395014</v>
      </c>
      <c r="HN54" s="122">
        <v>7.3492700344414388</v>
      </c>
      <c r="HO54" s="122">
        <v>246629.9005802203</v>
      </c>
      <c r="HP54" s="122">
        <v>6.9377982759071992</v>
      </c>
      <c r="HQ54" s="122">
        <v>258495.40642540998</v>
      </c>
      <c r="HR54" s="122">
        <v>7.0528457878441584</v>
      </c>
      <c r="HS54" s="122">
        <v>252280.5744943622</v>
      </c>
      <c r="HT54" s="122">
        <v>6.9387518424950532</v>
      </c>
      <c r="HU54" s="122">
        <v>247866.51222797009</v>
      </c>
      <c r="HV54" s="122">
        <v>6.8401232388652016</v>
      </c>
      <c r="HW54" s="122">
        <v>256784.16655217117</v>
      </c>
      <c r="HX54" s="122">
        <v>6.7238464106914586</v>
      </c>
      <c r="HY54" s="122">
        <v>242593.07867484697</v>
      </c>
    </row>
    <row r="55" spans="2:233" x14ac:dyDescent="0.55000000000000004">
      <c r="B55" s="81">
        <v>11</v>
      </c>
      <c r="C55" s="343" t="s">
        <v>271</v>
      </c>
      <c r="D55" s="122">
        <v>1.6002647147970444</v>
      </c>
      <c r="E55" s="122">
        <v>5602.1136784040009</v>
      </c>
      <c r="F55" s="122">
        <v>1.6523606983822718</v>
      </c>
      <c r="G55" s="122">
        <v>8297.8696258032505</v>
      </c>
      <c r="H55" s="122">
        <v>1.8339997997342923</v>
      </c>
      <c r="I55" s="122">
        <v>6754.0875616535031</v>
      </c>
      <c r="J55" s="122">
        <v>2.97043180989081</v>
      </c>
      <c r="K55" s="122">
        <v>7336.2408939764409</v>
      </c>
      <c r="L55" s="122">
        <v>2.2820228763586479</v>
      </c>
      <c r="M55" s="122">
        <v>9438.908943736802</v>
      </c>
      <c r="N55" s="122">
        <v>7.5290184851783986</v>
      </c>
      <c r="O55" s="122">
        <v>1817.0074069700001</v>
      </c>
      <c r="P55" s="122">
        <v>2.3999588960882359</v>
      </c>
      <c r="Q55" s="122">
        <v>7311.6828634998874</v>
      </c>
      <c r="R55" s="122">
        <v>2.9350998498356087</v>
      </c>
      <c r="S55" s="122">
        <v>7422.8486352629079</v>
      </c>
      <c r="T55" s="122">
        <v>3.5751307564712347</v>
      </c>
      <c r="U55" s="122">
        <v>7192.4320412539219</v>
      </c>
      <c r="V55" s="122">
        <v>4.7481492530018317</v>
      </c>
      <c r="W55" s="122">
        <v>6855.4559444367478</v>
      </c>
      <c r="X55" s="122">
        <v>4.1953153634486071</v>
      </c>
      <c r="Y55" s="122">
        <v>5859.0246160155002</v>
      </c>
      <c r="Z55" s="122">
        <v>4.294302565926321</v>
      </c>
      <c r="AA55" s="122">
        <v>6778.8398526150022</v>
      </c>
      <c r="AB55" s="122">
        <v>4.2038384805335216</v>
      </c>
      <c r="AC55" s="122">
        <v>6120.6461873919998</v>
      </c>
      <c r="AD55" s="122">
        <v>3.8989436614002537</v>
      </c>
      <c r="AE55" s="122">
        <v>6840.1427371500004</v>
      </c>
      <c r="AF55" s="122">
        <v>2.4932830328196705</v>
      </c>
      <c r="AG55" s="122">
        <v>7826.2815464894975</v>
      </c>
      <c r="AH55" s="122">
        <v>2.2289028462417049</v>
      </c>
      <c r="AI55" s="122">
        <v>8553.3048355147002</v>
      </c>
      <c r="AJ55" s="122">
        <v>2.4278414842312879</v>
      </c>
      <c r="AK55" s="122">
        <v>9718.0439979223484</v>
      </c>
      <c r="AL55" s="122">
        <v>2.2820228763586479</v>
      </c>
      <c r="AM55" s="122">
        <v>9438.908943736802</v>
      </c>
      <c r="AN55" s="122">
        <v>1.915994393582686</v>
      </c>
      <c r="AO55" s="122">
        <v>10500.29385158985</v>
      </c>
      <c r="AP55" s="122">
        <v>2.2599226861672235</v>
      </c>
      <c r="AQ55" s="122">
        <v>9260.1130906066501</v>
      </c>
      <c r="AR55" s="122">
        <v>3.7509357877604397</v>
      </c>
      <c r="AS55" s="122">
        <v>6266.1857897928512</v>
      </c>
      <c r="AT55" s="122">
        <v>5.6214468849489219</v>
      </c>
      <c r="AU55" s="122">
        <v>4055.794364283553</v>
      </c>
      <c r="AV55" s="122">
        <v>4.7471951115851594</v>
      </c>
      <c r="AW55" s="122">
        <v>3478.1963087694999</v>
      </c>
      <c r="AX55" s="122">
        <v>5.6362672690266082</v>
      </c>
      <c r="AY55" s="122">
        <v>2808.4230174600002</v>
      </c>
      <c r="AZ55" s="122">
        <v>5.9897645073112828</v>
      </c>
      <c r="BA55" s="122">
        <v>2821.9749275375007</v>
      </c>
      <c r="BB55" s="122">
        <v>5.3866726844594757</v>
      </c>
      <c r="BC55" s="122">
        <v>2716.6571341399999</v>
      </c>
      <c r="BD55" s="122">
        <v>5.7522527958990883</v>
      </c>
      <c r="BE55" s="122">
        <v>2502.3680009972495</v>
      </c>
      <c r="BF55" s="122">
        <v>6.0889791231924537</v>
      </c>
      <c r="BG55" s="122">
        <v>2868.2396822622504</v>
      </c>
      <c r="BH55" s="122">
        <v>6.0889791231924537</v>
      </c>
      <c r="BI55" s="122">
        <v>2868.2396822622504</v>
      </c>
      <c r="BJ55" s="122">
        <v>7.5290184851783986</v>
      </c>
      <c r="BK55" s="122">
        <v>1817.0074069700001</v>
      </c>
      <c r="BL55" s="122">
        <v>5.2866849909771378</v>
      </c>
      <c r="BM55" s="122">
        <v>2829.2493817099994</v>
      </c>
      <c r="BN55" s="122">
        <v>4.7001110980713037</v>
      </c>
      <c r="BO55" s="122">
        <v>3335.5958411699999</v>
      </c>
      <c r="BP55" s="122">
        <v>4.6948739730905</v>
      </c>
      <c r="BQ55" s="122">
        <v>3619.9606305899993</v>
      </c>
      <c r="BR55" s="122">
        <v>5.2969226760320147</v>
      </c>
      <c r="BS55" s="122">
        <v>3707.1005241900002</v>
      </c>
      <c r="BT55" s="122">
        <v>5.7519303932975392</v>
      </c>
      <c r="BU55" s="122">
        <v>3137.4464309000005</v>
      </c>
      <c r="BV55" s="122">
        <v>5.1298900451142897</v>
      </c>
      <c r="BW55" s="122">
        <v>3116.7134610400003</v>
      </c>
      <c r="BX55" s="122">
        <v>6.3075196686703476</v>
      </c>
      <c r="BY55" s="122">
        <v>2858.0711689</v>
      </c>
      <c r="BZ55" s="122">
        <v>5.6364963836666435</v>
      </c>
      <c r="CA55" s="122">
        <v>3035.3396888100006</v>
      </c>
      <c r="CB55" s="122">
        <v>5.5555375523053607</v>
      </c>
      <c r="CC55" s="122">
        <v>3015.6241045400002</v>
      </c>
      <c r="CD55" s="122">
        <v>5.9205493657646668</v>
      </c>
      <c r="CE55" s="122">
        <v>3061.97917706</v>
      </c>
      <c r="CF55" s="122">
        <v>6.0263428550443683</v>
      </c>
      <c r="CG55" s="122">
        <v>3212.3940047300002</v>
      </c>
      <c r="CH55" s="122">
        <v>5.146655126412</v>
      </c>
      <c r="CI55" s="122">
        <v>3147.1920591599996</v>
      </c>
      <c r="CJ55" s="122">
        <v>5.1753565696502468</v>
      </c>
      <c r="CK55" s="122">
        <v>3168.5558254099997</v>
      </c>
      <c r="CL55" s="122">
        <v>5.5970132154032122</v>
      </c>
      <c r="CM55" s="122">
        <v>3312.90811334</v>
      </c>
      <c r="CN55" s="122">
        <v>5.0047612871390541</v>
      </c>
      <c r="CO55" s="122">
        <v>3785.5941867400002</v>
      </c>
      <c r="CP55" s="122">
        <v>5.1359205441020173</v>
      </c>
      <c r="CQ55" s="122">
        <v>4072.7766471300001</v>
      </c>
      <c r="CR55" s="122">
        <v>5.6368681724751877</v>
      </c>
      <c r="CS55" s="122">
        <v>3638.4806759700004</v>
      </c>
      <c r="CT55" s="122">
        <v>5.5707835774821106</v>
      </c>
      <c r="CU55" s="122">
        <v>3287.7411600799996</v>
      </c>
      <c r="CV55" s="122">
        <v>6.185835051902524</v>
      </c>
      <c r="CW55" s="122">
        <v>3734.9685351500007</v>
      </c>
      <c r="CX55" s="122">
        <v>6.9131097664654053</v>
      </c>
      <c r="CY55" s="122">
        <v>4130.9724489300006</v>
      </c>
      <c r="CZ55" s="122">
        <v>7.6315200253262994</v>
      </c>
      <c r="DA55" s="122">
        <v>4269.0697114173008</v>
      </c>
      <c r="DB55" s="122">
        <v>8.677736599422472</v>
      </c>
      <c r="DC55" s="122">
        <v>4252.4932704973007</v>
      </c>
      <c r="DD55" s="122">
        <v>9.425027489330434</v>
      </c>
      <c r="DE55" s="122">
        <v>3689.815909890001</v>
      </c>
      <c r="DF55" s="122">
        <v>7.2574811576995746</v>
      </c>
      <c r="DG55" s="122">
        <v>3253.7730411773005</v>
      </c>
      <c r="DH55" s="122">
        <v>6.9793739855258625</v>
      </c>
      <c r="DI55" s="122">
        <v>3290.9197454973005</v>
      </c>
      <c r="DJ55" s="122">
        <v>6.8001125445805997</v>
      </c>
      <c r="DK55" s="122">
        <v>3279.5312452273001</v>
      </c>
      <c r="DL55" s="122">
        <v>4.8150205451412891</v>
      </c>
      <c r="DM55" s="122">
        <v>4024.5514190172994</v>
      </c>
      <c r="DN55" s="122">
        <v>4.437797520797508</v>
      </c>
      <c r="DO55" s="122">
        <v>3988.7699204373002</v>
      </c>
      <c r="DP55" s="122">
        <v>4.2118165271369508</v>
      </c>
      <c r="DQ55" s="122">
        <v>4156.6436710173011</v>
      </c>
      <c r="DR55" s="122">
        <v>3.4843013258360092</v>
      </c>
      <c r="DS55" s="122">
        <v>4633.5704956072996</v>
      </c>
      <c r="DT55" s="122">
        <v>3.9496530797677165</v>
      </c>
      <c r="DU55" s="122">
        <v>3784.7946853799995</v>
      </c>
      <c r="DV55" s="122">
        <v>3.5594620623200561</v>
      </c>
      <c r="DW55" s="122">
        <v>4459.2693552299997</v>
      </c>
      <c r="DX55" s="122">
        <v>3.9274360352824793</v>
      </c>
      <c r="DY55" s="122">
        <v>3695.0747589299999</v>
      </c>
      <c r="DZ55" s="122">
        <v>5.0050704181346415</v>
      </c>
      <c r="EA55" s="122">
        <v>3325.7473768299997</v>
      </c>
      <c r="EB55" s="122">
        <v>5.4507166831967959</v>
      </c>
      <c r="EC55" s="122">
        <v>3416.6541798900012</v>
      </c>
      <c r="ED55" s="122">
        <v>4.3184298329191417</v>
      </c>
      <c r="EE55" s="122">
        <v>4382.9572912299991</v>
      </c>
      <c r="EF55" s="122">
        <v>4.5182228827633857</v>
      </c>
      <c r="EG55" s="122">
        <v>4709.6184285200006</v>
      </c>
      <c r="EH55" s="122">
        <v>4.7084328120160919</v>
      </c>
      <c r="EI55" s="122">
        <v>4538.0375168770006</v>
      </c>
      <c r="EJ55" s="122">
        <v>4.505419750017257</v>
      </c>
      <c r="EK55" s="122">
        <v>5399.2184718899998</v>
      </c>
      <c r="EL55" s="122">
        <v>5.5354509077107306</v>
      </c>
      <c r="EM55" s="122">
        <v>5729.9698264400013</v>
      </c>
      <c r="EN55" s="122">
        <v>6.7502226277488608</v>
      </c>
      <c r="EO55" s="122">
        <v>5197.4970120500002</v>
      </c>
      <c r="EP55" s="122">
        <v>5.1264811458516242</v>
      </c>
      <c r="EQ55" s="122">
        <v>5292.398191270001</v>
      </c>
      <c r="ER55" s="122">
        <v>6.7300261060953082</v>
      </c>
      <c r="ES55" s="122">
        <v>4392.7271137300004</v>
      </c>
      <c r="ET55" s="122">
        <v>5.9238513989111237</v>
      </c>
      <c r="EU55" s="122">
        <v>3182.7721555399999</v>
      </c>
      <c r="EV55" s="122">
        <v>5.8735738112957838</v>
      </c>
      <c r="EW55" s="122">
        <v>3071.8104378799999</v>
      </c>
      <c r="EX55" s="122">
        <v>6.1293992599886611</v>
      </c>
      <c r="EY55" s="122">
        <v>3374.6583675700003</v>
      </c>
      <c r="EZ55" s="122">
        <v>5.9716415617851553</v>
      </c>
      <c r="FA55" s="122">
        <v>4034.6906821299999</v>
      </c>
      <c r="FB55" s="122">
        <v>6.3386508137381803</v>
      </c>
      <c r="FC55" s="122">
        <v>3110.4441790300002</v>
      </c>
      <c r="FD55" s="122">
        <v>8.2939962020575333</v>
      </c>
      <c r="FE55" s="122">
        <v>2624.7238439100006</v>
      </c>
      <c r="FF55" s="122">
        <v>8.8561635614389242</v>
      </c>
      <c r="FG55" s="122">
        <v>2382.1112345320007</v>
      </c>
      <c r="FH55" s="122">
        <v>9.8205424410903372</v>
      </c>
      <c r="FI55" s="122">
        <v>2894.1975894100001</v>
      </c>
      <c r="FJ55" s="122">
        <v>10.412251848832311</v>
      </c>
      <c r="FK55" s="122">
        <v>2795.0671835000003</v>
      </c>
      <c r="FL55" s="122">
        <v>10.476716172790471</v>
      </c>
      <c r="FM55" s="122">
        <v>2652.571297682</v>
      </c>
      <c r="FN55" s="122">
        <v>9.8604006663873474</v>
      </c>
      <c r="FO55" s="122">
        <v>2195.2027631320002</v>
      </c>
      <c r="FP55" s="122">
        <v>12.839420562213808</v>
      </c>
      <c r="FQ55" s="122">
        <v>4305.8806251820006</v>
      </c>
      <c r="FR55" s="122">
        <v>10.794078250495062</v>
      </c>
      <c r="FS55" s="122">
        <v>2956.3617718719997</v>
      </c>
      <c r="FT55" s="122">
        <v>10.252834580430836</v>
      </c>
      <c r="FU55" s="122">
        <v>3007.8980972419995</v>
      </c>
      <c r="FV55" s="122">
        <v>9.3419741673700774</v>
      </c>
      <c r="FW55" s="122">
        <v>3009.8226020719994</v>
      </c>
      <c r="FX55" s="122">
        <v>6.5393637150965658</v>
      </c>
      <c r="FY55" s="122">
        <v>3321.9749143420004</v>
      </c>
      <c r="FZ55" s="122">
        <v>7.6775820639834276</v>
      </c>
      <c r="GA55" s="122">
        <v>4247.1618432900004</v>
      </c>
      <c r="GB55" s="122">
        <v>12.42354154786341</v>
      </c>
      <c r="GC55" s="122">
        <v>3818.7387860100002</v>
      </c>
      <c r="GD55" s="122">
        <v>12.71756828050478</v>
      </c>
      <c r="GE55" s="122">
        <v>4022.9401488700005</v>
      </c>
      <c r="GF55" s="122">
        <v>13.096720571338524</v>
      </c>
      <c r="GG55" s="122">
        <v>5072.9007226537005</v>
      </c>
      <c r="GH55" s="122">
        <v>12.096695189709843</v>
      </c>
      <c r="GI55" s="122">
        <v>5006.6883162936992</v>
      </c>
      <c r="GJ55" s="122">
        <v>12.052931470209064</v>
      </c>
      <c r="GK55" s="122">
        <v>4853.6780420236992</v>
      </c>
      <c r="GL55" s="122">
        <v>12.073309316887464</v>
      </c>
      <c r="GM55" s="122">
        <v>4845.7123414237003</v>
      </c>
      <c r="GN55" s="122">
        <v>11.720193842385259</v>
      </c>
      <c r="GO55" s="122">
        <v>5210.7494329437004</v>
      </c>
      <c r="GP55" s="122">
        <v>11.453780366648019</v>
      </c>
      <c r="GQ55" s="122">
        <v>5616.0432224736996</v>
      </c>
      <c r="GR55" s="122">
        <v>10.460266326465625</v>
      </c>
      <c r="GS55" s="122">
        <v>5867.1476612536999</v>
      </c>
      <c r="GT55" s="122">
        <v>10.06110542520112</v>
      </c>
      <c r="GU55" s="122">
        <v>5877.7660545737008</v>
      </c>
      <c r="GV55" s="122">
        <v>9.6950552571667501</v>
      </c>
      <c r="GW55" s="122">
        <v>6691.9348879336994</v>
      </c>
      <c r="GX55" s="122">
        <v>9.2385846630411805</v>
      </c>
      <c r="GY55" s="122">
        <v>7790.2596582236984</v>
      </c>
      <c r="GZ55" s="122">
        <v>9.3942644965780371</v>
      </c>
      <c r="HA55" s="122">
        <v>6792.353073793699</v>
      </c>
      <c r="HB55" s="122">
        <v>9.84405795787975</v>
      </c>
      <c r="HC55" s="122">
        <v>6508.1410040537003</v>
      </c>
      <c r="HD55" s="122">
        <v>9.2265212310059344</v>
      </c>
      <c r="HE55" s="122">
        <v>7173.2181869037013</v>
      </c>
      <c r="HF55" s="122">
        <v>9.2243114604346488</v>
      </c>
      <c r="HG55" s="122">
        <v>7632.6340082836996</v>
      </c>
      <c r="HH55" s="122">
        <v>9.2849661990325281</v>
      </c>
      <c r="HI55" s="122">
        <v>7853.0382576936991</v>
      </c>
      <c r="HJ55" s="122">
        <v>9.1094905777749897</v>
      </c>
      <c r="HK55" s="122">
        <v>8303.5241479236993</v>
      </c>
      <c r="HL55" s="122">
        <v>8.7154803045900877</v>
      </c>
      <c r="HM55" s="122">
        <v>7905.7821956236985</v>
      </c>
      <c r="HN55" s="122">
        <v>8.429364000546796</v>
      </c>
      <c r="HO55" s="122">
        <v>8386.2897611937005</v>
      </c>
      <c r="HP55" s="122">
        <v>7.9166709314383787</v>
      </c>
      <c r="HQ55" s="122">
        <v>9626.8523760237003</v>
      </c>
      <c r="HR55" s="122">
        <v>7.6021053405377517</v>
      </c>
      <c r="HS55" s="122">
        <v>10344.878505693701</v>
      </c>
      <c r="HT55" s="122">
        <v>7.4541610630069766</v>
      </c>
      <c r="HU55" s="122">
        <v>11318.601464023701</v>
      </c>
      <c r="HV55" s="122">
        <v>7.5534512211024261</v>
      </c>
      <c r="HW55" s="122">
        <v>12341.362636853699</v>
      </c>
      <c r="HX55" s="122">
        <v>7.9250508956100214</v>
      </c>
      <c r="HY55" s="122">
        <v>12044.716057023699</v>
      </c>
    </row>
    <row r="56" spans="2:233" x14ac:dyDescent="0.55000000000000004">
      <c r="B56" s="81">
        <v>12</v>
      </c>
      <c r="C56" s="342" t="s">
        <v>272</v>
      </c>
      <c r="D56" s="122">
        <v>12.98405619893701</v>
      </c>
      <c r="E56" s="122">
        <v>60625.316499689339</v>
      </c>
      <c r="F56" s="122">
        <v>11.625086319010428</v>
      </c>
      <c r="G56" s="122">
        <v>88473.519987840205</v>
      </c>
      <c r="H56" s="122">
        <v>9.3988549950788993</v>
      </c>
      <c r="I56" s="122">
        <v>124595.57303182597</v>
      </c>
      <c r="J56" s="122">
        <v>10.258709805146633</v>
      </c>
      <c r="K56" s="122">
        <v>135036.91345893196</v>
      </c>
      <c r="L56" s="122">
        <v>12.375262521988384</v>
      </c>
      <c r="M56" s="122">
        <v>183325.96784405201</v>
      </c>
      <c r="N56" s="122">
        <v>12.822216760835977</v>
      </c>
      <c r="O56" s="122">
        <v>230266.2215284931</v>
      </c>
      <c r="P56" s="122">
        <v>10.214800821127048</v>
      </c>
      <c r="Q56" s="122">
        <v>136329.1930700402</v>
      </c>
      <c r="R56" s="122">
        <v>10.145254154105283</v>
      </c>
      <c r="S56" s="122">
        <v>137778.64995472174</v>
      </c>
      <c r="T56" s="122">
        <v>10.015740855746413</v>
      </c>
      <c r="U56" s="122">
        <v>134740.77070218959</v>
      </c>
      <c r="V56" s="122">
        <v>10.232773473570306</v>
      </c>
      <c r="W56" s="122">
        <v>137564.8650956552</v>
      </c>
      <c r="X56" s="122">
        <v>10.327025172521855</v>
      </c>
      <c r="Y56" s="122">
        <v>141997.32883440892</v>
      </c>
      <c r="Z56" s="122">
        <v>10.477394794849483</v>
      </c>
      <c r="AA56" s="122">
        <v>155046.0756570411</v>
      </c>
      <c r="AB56" s="122">
        <v>11.179957763496667</v>
      </c>
      <c r="AC56" s="122">
        <v>159830.26051540591</v>
      </c>
      <c r="AD56" s="122">
        <v>11.653291011399149</v>
      </c>
      <c r="AE56" s="122">
        <v>161848.08564098121</v>
      </c>
      <c r="AF56" s="122">
        <v>11.774282553612981</v>
      </c>
      <c r="AG56" s="122">
        <v>168224.02444656243</v>
      </c>
      <c r="AH56" s="122">
        <v>12.405230239125576</v>
      </c>
      <c r="AI56" s="122">
        <v>171619.68057140542</v>
      </c>
      <c r="AJ56" s="122">
        <v>12.226783012283517</v>
      </c>
      <c r="AK56" s="122">
        <v>173837.5831575979</v>
      </c>
      <c r="AL56" s="122">
        <v>12.375262521988384</v>
      </c>
      <c r="AM56" s="122">
        <v>183325.96784405201</v>
      </c>
      <c r="AN56" s="122">
        <v>12.652341446217864</v>
      </c>
      <c r="AO56" s="122">
        <v>180177.43872696479</v>
      </c>
      <c r="AP56" s="122">
        <v>12.864274312033885</v>
      </c>
      <c r="AQ56" s="122">
        <v>182296.76152334071</v>
      </c>
      <c r="AR56" s="122">
        <v>12.794878367365095</v>
      </c>
      <c r="AS56" s="122">
        <v>181867.48020569625</v>
      </c>
      <c r="AT56" s="122">
        <v>12.689666252458959</v>
      </c>
      <c r="AU56" s="122">
        <v>190764.72314518926</v>
      </c>
      <c r="AV56" s="122">
        <v>12.575558235289655</v>
      </c>
      <c r="AW56" s="122">
        <v>197919.72250416913</v>
      </c>
      <c r="AX56" s="122">
        <v>12.587590742248782</v>
      </c>
      <c r="AY56" s="122">
        <v>204275.82734904456</v>
      </c>
      <c r="AZ56" s="122">
        <v>12.785264511627014</v>
      </c>
      <c r="BA56" s="122">
        <v>208002.89211128224</v>
      </c>
      <c r="BB56" s="122">
        <v>12.802731079473642</v>
      </c>
      <c r="BC56" s="122">
        <v>223059.25603530309</v>
      </c>
      <c r="BD56" s="122">
        <v>12.879663151656967</v>
      </c>
      <c r="BE56" s="122">
        <v>221835.21200346484</v>
      </c>
      <c r="BF56" s="122">
        <v>13.213168579674317</v>
      </c>
      <c r="BG56" s="122">
        <v>210257.81104217717</v>
      </c>
      <c r="BH56" s="122">
        <v>13.213168579674317</v>
      </c>
      <c r="BI56" s="122">
        <v>210257.81104217717</v>
      </c>
      <c r="BJ56" s="122">
        <v>12.822216760835977</v>
      </c>
      <c r="BK56" s="122">
        <v>230266.2215284931</v>
      </c>
      <c r="BL56" s="122">
        <v>13.347121482129412</v>
      </c>
      <c r="BM56" s="122">
        <v>226448.30913947098</v>
      </c>
      <c r="BN56" s="122">
        <v>13.229093192372531</v>
      </c>
      <c r="BO56" s="122">
        <v>235468.88939444392</v>
      </c>
      <c r="BP56" s="122">
        <v>13.076587640963325</v>
      </c>
      <c r="BQ56" s="122">
        <v>241651.40016696093</v>
      </c>
      <c r="BR56" s="122">
        <v>13.198397577956566</v>
      </c>
      <c r="BS56" s="122">
        <v>248330.66968349472</v>
      </c>
      <c r="BT56" s="122">
        <v>13.228605046304375</v>
      </c>
      <c r="BU56" s="122">
        <v>256814.18997585122</v>
      </c>
      <c r="BV56" s="122">
        <v>13.135534722655887</v>
      </c>
      <c r="BW56" s="122">
        <v>264580.51621214236</v>
      </c>
      <c r="BX56" s="122">
        <v>13.261173354962001</v>
      </c>
      <c r="BY56" s="122">
        <v>266068.83637544321</v>
      </c>
      <c r="BZ56" s="122">
        <v>13.178628819002192</v>
      </c>
      <c r="CA56" s="122">
        <v>266940.13038076623</v>
      </c>
      <c r="CB56" s="122">
        <v>13.078854882882743</v>
      </c>
      <c r="CC56" s="122">
        <v>272240.4830558431</v>
      </c>
      <c r="CD56" s="122">
        <v>13.004171710888583</v>
      </c>
      <c r="CE56" s="122">
        <v>275118.4604093149</v>
      </c>
      <c r="CF56" s="122">
        <v>12.977930373058628</v>
      </c>
      <c r="CG56" s="122">
        <v>278872.68727486004</v>
      </c>
      <c r="CH56" s="122">
        <v>12.851002273204013</v>
      </c>
      <c r="CI56" s="122">
        <v>292010.64001799119</v>
      </c>
      <c r="CJ56" s="122">
        <v>12.755402502865742</v>
      </c>
      <c r="CK56" s="122">
        <v>289671.13996742369</v>
      </c>
      <c r="CL56" s="122">
        <v>12.724548797529929</v>
      </c>
      <c r="CM56" s="122">
        <v>295326.25681453053</v>
      </c>
      <c r="CN56" s="122">
        <v>12.706217366871147</v>
      </c>
      <c r="CO56" s="122">
        <v>295152.59766958928</v>
      </c>
      <c r="CP56" s="122">
        <v>12.829516672174671</v>
      </c>
      <c r="CQ56" s="122">
        <v>295884.10471949063</v>
      </c>
      <c r="CR56" s="122">
        <v>12.802311159753563</v>
      </c>
      <c r="CS56" s="122">
        <v>296312.18450174719</v>
      </c>
      <c r="CT56" s="122">
        <v>12.601236087648253</v>
      </c>
      <c r="CU56" s="122">
        <v>305407.72646290826</v>
      </c>
      <c r="CV56" s="122">
        <v>12.613374567933516</v>
      </c>
      <c r="CW56" s="122">
        <v>307801.8114865605</v>
      </c>
      <c r="CX56" s="122">
        <v>12.606689856615814</v>
      </c>
      <c r="CY56" s="122">
        <v>314442.88848657312</v>
      </c>
      <c r="CZ56" s="122">
        <v>12.522699709059113</v>
      </c>
      <c r="DA56" s="122">
        <v>313767.53435659298</v>
      </c>
      <c r="DB56" s="122">
        <v>12.555906990129293</v>
      </c>
      <c r="DC56" s="122">
        <v>308316.94771737925</v>
      </c>
      <c r="DD56" s="122">
        <v>12.069943246805593</v>
      </c>
      <c r="DE56" s="122">
        <v>303605.0910835503</v>
      </c>
      <c r="DF56" s="122">
        <v>11.415636652439877</v>
      </c>
      <c r="DG56" s="122">
        <v>327894.17939047999</v>
      </c>
      <c r="DH56" s="122">
        <v>11.407565550951933</v>
      </c>
      <c r="DI56" s="122">
        <v>326212.73880902334</v>
      </c>
      <c r="DJ56" s="122">
        <v>11.301572818941059</v>
      </c>
      <c r="DK56" s="122">
        <v>332384.73449636059</v>
      </c>
      <c r="DL56" s="122">
        <v>10.941823850404498</v>
      </c>
      <c r="DM56" s="122">
        <v>352069.53498577955</v>
      </c>
      <c r="DN56" s="122">
        <v>10.516630540450031</v>
      </c>
      <c r="DO56" s="122">
        <v>365801.35993131914</v>
      </c>
      <c r="DP56" s="122">
        <v>10.501709544607088</v>
      </c>
      <c r="DQ56" s="122">
        <v>370080.82286654081</v>
      </c>
      <c r="DR56" s="122">
        <v>10.18940080274364</v>
      </c>
      <c r="DS56" s="122">
        <v>390907.97694460012</v>
      </c>
      <c r="DT56" s="122">
        <v>9.9078650467082365</v>
      </c>
      <c r="DU56" s="122">
        <v>401257.42239062837</v>
      </c>
      <c r="DV56" s="122">
        <v>9.7772412454845661</v>
      </c>
      <c r="DW56" s="122">
        <v>408993.85715432535</v>
      </c>
      <c r="DX56" s="122">
        <v>9.5868058249365937</v>
      </c>
      <c r="DY56" s="122">
        <v>426758.57109379157</v>
      </c>
      <c r="DZ56" s="122">
        <v>9.5221412888494861</v>
      </c>
      <c r="EA56" s="122">
        <v>429267.87164000591</v>
      </c>
      <c r="EB56" s="122">
        <v>9.3401920376723613</v>
      </c>
      <c r="EC56" s="122">
        <v>427259.82399720966</v>
      </c>
      <c r="ED56" s="122">
        <v>9.3521485130055932</v>
      </c>
      <c r="EE56" s="122">
        <v>427275.28832688922</v>
      </c>
      <c r="EF56" s="122">
        <v>9.4620618548754045</v>
      </c>
      <c r="EG56" s="122">
        <v>425053.35491333832</v>
      </c>
      <c r="EH56" s="122">
        <v>9.5687286879510296</v>
      </c>
      <c r="EI56" s="122">
        <v>436716.05869192205</v>
      </c>
      <c r="EJ56" s="122">
        <v>9.5388804013574422</v>
      </c>
      <c r="EK56" s="122">
        <v>447159.80154985253</v>
      </c>
      <c r="EL56" s="122">
        <v>9.7597644321674437</v>
      </c>
      <c r="EM56" s="122">
        <v>487270.07063588034</v>
      </c>
      <c r="EN56" s="122">
        <v>9.7930634328811479</v>
      </c>
      <c r="EO56" s="122">
        <v>496565.31388477155</v>
      </c>
      <c r="EP56" s="122">
        <v>9.9453264187491417</v>
      </c>
      <c r="EQ56" s="122">
        <v>491869.17664248659</v>
      </c>
      <c r="ER56" s="122">
        <v>10.769597284636749</v>
      </c>
      <c r="ES56" s="122">
        <v>495440.08305393031</v>
      </c>
      <c r="ET56" s="122">
        <v>10.910962869764335</v>
      </c>
      <c r="EU56" s="122">
        <v>506038.48912007466</v>
      </c>
      <c r="EV56" s="122">
        <v>11.167349575032032</v>
      </c>
      <c r="EW56" s="122">
        <v>498648.69704624556</v>
      </c>
      <c r="EX56" s="122">
        <v>11.75278042960791</v>
      </c>
      <c r="EY56" s="122">
        <v>504771.74219270644</v>
      </c>
      <c r="EZ56" s="122">
        <v>11.958433863983945</v>
      </c>
      <c r="FA56" s="122">
        <v>502855.08949995664</v>
      </c>
      <c r="FB56" s="122">
        <v>11.941763143376416</v>
      </c>
      <c r="FC56" s="122">
        <v>481360.82889641554</v>
      </c>
      <c r="FD56" s="122">
        <v>12.541161668387911</v>
      </c>
      <c r="FE56" s="122">
        <v>419697.52682407625</v>
      </c>
      <c r="FF56" s="122">
        <v>12.665542233241208</v>
      </c>
      <c r="FG56" s="122">
        <v>407870.23601092299</v>
      </c>
      <c r="FH56" s="122">
        <v>12.699213942808182</v>
      </c>
      <c r="FI56" s="122">
        <v>413575.18816686142</v>
      </c>
      <c r="FJ56" s="122">
        <v>13.101993747574143</v>
      </c>
      <c r="FK56" s="122">
        <v>373153.32966121077</v>
      </c>
      <c r="FL56" s="122">
        <v>13.200728861341677</v>
      </c>
      <c r="FM56" s="122">
        <v>383614.69037164573</v>
      </c>
      <c r="FN56" s="122">
        <v>13.457695632245988</v>
      </c>
      <c r="FO56" s="122">
        <v>398505.77085356292</v>
      </c>
      <c r="FP56" s="122">
        <v>13.535521693465698</v>
      </c>
      <c r="FQ56" s="122">
        <v>377713.7269456904</v>
      </c>
      <c r="FR56" s="122">
        <v>13.843357778860774</v>
      </c>
      <c r="FS56" s="122">
        <v>386200.48259530321</v>
      </c>
      <c r="FT56" s="122">
        <v>13.402269820984991</v>
      </c>
      <c r="FU56" s="122">
        <v>399114.72854503489</v>
      </c>
      <c r="FV56" s="122">
        <v>13.233086534027612</v>
      </c>
      <c r="FW56" s="122">
        <v>373185.06727419479</v>
      </c>
      <c r="FX56" s="122">
        <v>12.982723861021292</v>
      </c>
      <c r="FY56" s="122">
        <v>387168.81849142717</v>
      </c>
      <c r="FZ56" s="122">
        <v>12.564158516996176</v>
      </c>
      <c r="GA56" s="122">
        <v>370538.41154792538</v>
      </c>
      <c r="GB56" s="122">
        <v>10.982067417051459</v>
      </c>
      <c r="GC56" s="122">
        <v>380502.95666033559</v>
      </c>
      <c r="GD56" s="122">
        <v>12.326908978310804</v>
      </c>
      <c r="GE56" s="122">
        <v>380994.82591964462</v>
      </c>
      <c r="GF56" s="122">
        <v>12.50704331724913</v>
      </c>
      <c r="GG56" s="122">
        <v>390107.55965168221</v>
      </c>
      <c r="GH56" s="122">
        <v>12.480638329868285</v>
      </c>
      <c r="GI56" s="122">
        <v>378556.8810379185</v>
      </c>
      <c r="GJ56" s="122">
        <v>12.362925261349988</v>
      </c>
      <c r="GK56" s="122">
        <v>379159.40596911049</v>
      </c>
      <c r="GL56" s="122">
        <v>12.076304704490328</v>
      </c>
      <c r="GM56" s="122">
        <v>394338.83160618751</v>
      </c>
      <c r="GN56" s="122">
        <v>10.551231650005331</v>
      </c>
      <c r="GO56" s="122">
        <v>391906.96858148969</v>
      </c>
      <c r="GP56" s="122">
        <v>11.567223201952118</v>
      </c>
      <c r="GQ56" s="122">
        <v>382658.07574954949</v>
      </c>
      <c r="GR56" s="122">
        <v>11.197652052690877</v>
      </c>
      <c r="GS56" s="122">
        <v>388810.24940352386</v>
      </c>
      <c r="GT56" s="122">
        <v>10.926868263412745</v>
      </c>
      <c r="GU56" s="122">
        <v>386563.6243962989</v>
      </c>
      <c r="GV56" s="122">
        <v>9.4441555152613574</v>
      </c>
      <c r="GW56" s="122">
        <v>394416.13416521635</v>
      </c>
      <c r="GX56" s="122">
        <v>9.1308797353570093</v>
      </c>
      <c r="GY56" s="122">
        <v>398579.90863905294</v>
      </c>
      <c r="GZ56" s="122">
        <v>10.317437966813246</v>
      </c>
      <c r="HA56" s="122">
        <v>392787.57889459003</v>
      </c>
      <c r="HB56" s="122">
        <v>10.053515823348805</v>
      </c>
      <c r="HC56" s="122">
        <v>391923.64012256614</v>
      </c>
      <c r="HD56" s="122">
        <v>9.9491647947003692</v>
      </c>
      <c r="HE56" s="122">
        <v>392458.05934781191</v>
      </c>
      <c r="HF56" s="122">
        <v>9.6695100963044762</v>
      </c>
      <c r="HG56" s="122">
        <v>390075.93458539725</v>
      </c>
      <c r="HH56" s="122">
        <v>9.4425020660975907</v>
      </c>
      <c r="HI56" s="122">
        <v>401862.74317205441</v>
      </c>
      <c r="HJ56" s="122">
        <v>9.2645955409914684</v>
      </c>
      <c r="HK56" s="122">
        <v>413489.40864942927</v>
      </c>
      <c r="HL56" s="122">
        <v>9.0472897487228714</v>
      </c>
      <c r="HM56" s="122">
        <v>417469.1274434576</v>
      </c>
      <c r="HN56" s="122">
        <v>8.9184713100546276</v>
      </c>
      <c r="HO56" s="122">
        <v>416120.97974354797</v>
      </c>
      <c r="HP56" s="122">
        <v>8.7947457618622717</v>
      </c>
      <c r="HQ56" s="122">
        <v>422426.52108359756</v>
      </c>
      <c r="HR56" s="122">
        <v>8.7213345313294361</v>
      </c>
      <c r="HS56" s="122">
        <v>426507.89521770249</v>
      </c>
      <c r="HT56" s="122">
        <v>8.5981817665185574</v>
      </c>
      <c r="HU56" s="122">
        <v>478299.51238191832</v>
      </c>
      <c r="HV56" s="122">
        <v>8.559097759251042</v>
      </c>
      <c r="HW56" s="122">
        <v>484788.5900333231</v>
      </c>
      <c r="HX56" s="122">
        <v>7.0295262428975578</v>
      </c>
      <c r="HY56" s="122">
        <v>474810.31831667299</v>
      </c>
    </row>
    <row r="57" spans="2:233" x14ac:dyDescent="0.55000000000000004">
      <c r="B57" s="81"/>
      <c r="C57" s="345" t="s">
        <v>670</v>
      </c>
      <c r="D57" s="326">
        <v>12.064835498866724</v>
      </c>
      <c r="E57" s="326">
        <v>624248.86248964712</v>
      </c>
      <c r="F57" s="326">
        <v>10.510526253880185</v>
      </c>
      <c r="G57" s="326">
        <v>850091.21792398999</v>
      </c>
      <c r="H57" s="326">
        <v>9.5716410567807451</v>
      </c>
      <c r="I57" s="326">
        <v>1085249.2366143169</v>
      </c>
      <c r="J57" s="326">
        <v>8.8589887177118154</v>
      </c>
      <c r="K57" s="326">
        <v>1357682.9549960063</v>
      </c>
      <c r="L57" s="326">
        <v>11.386035971406745</v>
      </c>
      <c r="M57" s="326">
        <v>1717067.4826279678</v>
      </c>
      <c r="N57" s="326">
        <v>12.293985697930685</v>
      </c>
      <c r="O57" s="326">
        <v>2053416.7283217898</v>
      </c>
      <c r="P57" s="326">
        <v>8.862026242914542</v>
      </c>
      <c r="Q57" s="326">
        <v>1391062.9721617009</v>
      </c>
      <c r="R57" s="326">
        <v>8.7513592236229361</v>
      </c>
      <c r="S57" s="326">
        <v>1430690.3201687599</v>
      </c>
      <c r="T57" s="326">
        <v>8.6650713784149129</v>
      </c>
      <c r="U57" s="326">
        <v>1465317.4116509177</v>
      </c>
      <c r="V57" s="326">
        <v>8.9314554199088416</v>
      </c>
      <c r="W57" s="326">
        <v>1485887.785400413</v>
      </c>
      <c r="X57" s="326">
        <v>9.0711798595106892</v>
      </c>
      <c r="Y57" s="326">
        <v>1512667.90869737</v>
      </c>
      <c r="Z57" s="326">
        <v>9.2841885802441464</v>
      </c>
      <c r="AA57" s="326">
        <v>1581373.773701722</v>
      </c>
      <c r="AB57" s="326">
        <v>10.051970280863683</v>
      </c>
      <c r="AC57" s="326">
        <v>1612278.4322504965</v>
      </c>
      <c r="AD57" s="326">
        <v>10.506303895228033</v>
      </c>
      <c r="AE57" s="326">
        <v>1616946.4759722003</v>
      </c>
      <c r="AF57" s="326">
        <v>10.776973871744675</v>
      </c>
      <c r="AG57" s="326">
        <v>1640005.2619050574</v>
      </c>
      <c r="AH57" s="326">
        <v>10.565751564921564</v>
      </c>
      <c r="AI57" s="326">
        <v>1645541.1804547606</v>
      </c>
      <c r="AJ57" s="326">
        <v>11.249224597127483</v>
      </c>
      <c r="AK57" s="326">
        <v>1654508.501813842</v>
      </c>
      <c r="AL57" s="326">
        <v>11.386035971406745</v>
      </c>
      <c r="AM57" s="326">
        <v>1717067.4826279678</v>
      </c>
      <c r="AN57" s="326">
        <v>11.66390912655195</v>
      </c>
      <c r="AO57" s="326">
        <v>1716454.9046148853</v>
      </c>
      <c r="AP57" s="326">
        <v>11.803775464291123</v>
      </c>
      <c r="AQ57" s="326">
        <v>1743129.3489796049</v>
      </c>
      <c r="AR57" s="326">
        <v>11.762577903247784</v>
      </c>
      <c r="AS57" s="326">
        <v>1788742.224525026</v>
      </c>
      <c r="AT57" s="326">
        <v>11.62706943660613</v>
      </c>
      <c r="AU57" s="326">
        <v>1799070.6334115004</v>
      </c>
      <c r="AV57" s="326">
        <v>11.271530862688145</v>
      </c>
      <c r="AW57" s="326">
        <v>1844846.8037295612</v>
      </c>
      <c r="AX57" s="326">
        <v>11.791156337456201</v>
      </c>
      <c r="AY57" s="326">
        <v>1895199.4847519195</v>
      </c>
      <c r="AZ57" s="326">
        <v>11.915964240694198</v>
      </c>
      <c r="BA57" s="326">
        <v>1920830.9414352726</v>
      </c>
      <c r="BB57" s="326">
        <v>12.009695300229659</v>
      </c>
      <c r="BC57" s="326">
        <v>1929094.335558244</v>
      </c>
      <c r="BD57" s="326">
        <v>12.117335388596159</v>
      </c>
      <c r="BE57" s="326">
        <v>1965611.2947404273</v>
      </c>
      <c r="BF57" s="326">
        <v>12.377430844838713</v>
      </c>
      <c r="BG57" s="326">
        <v>1997843.508124942</v>
      </c>
      <c r="BH57" s="326">
        <v>12.377430844838713</v>
      </c>
      <c r="BI57" s="326">
        <v>1997843.508124942</v>
      </c>
      <c r="BJ57" s="326">
        <v>12.293985697930685</v>
      </c>
      <c r="BK57" s="326">
        <v>2053416.7283217898</v>
      </c>
      <c r="BL57" s="326">
        <v>12.478763874842731</v>
      </c>
      <c r="BM57" s="326">
        <v>2080566.2300437028</v>
      </c>
      <c r="BN57" s="326">
        <v>12.32478345186064</v>
      </c>
      <c r="BO57" s="326">
        <v>2132011.4916279991</v>
      </c>
      <c r="BP57" s="326">
        <v>12.240976355355105</v>
      </c>
      <c r="BQ57" s="326">
        <v>2211756.4071038845</v>
      </c>
      <c r="BR57" s="326">
        <v>12.251468139845429</v>
      </c>
      <c r="BS57" s="326">
        <v>2228980.9128939305</v>
      </c>
      <c r="BT57" s="326">
        <v>12.275506463431617</v>
      </c>
      <c r="BU57" s="326">
        <v>2256075.1201080596</v>
      </c>
      <c r="BV57" s="326">
        <v>12.276694081469548</v>
      </c>
      <c r="BW57" s="326">
        <v>2318601.7839353285</v>
      </c>
      <c r="BX57" s="326">
        <v>12.349877171950688</v>
      </c>
      <c r="BY57" s="326">
        <v>2329134.7338177566</v>
      </c>
      <c r="BZ57" s="326">
        <v>12.321855641163268</v>
      </c>
      <c r="CA57" s="326">
        <v>2337298.9363583433</v>
      </c>
      <c r="CB57" s="326">
        <v>12.265874413981942</v>
      </c>
      <c r="CC57" s="326">
        <v>2379571.8397433362</v>
      </c>
      <c r="CD57" s="326">
        <v>12.219068906149902</v>
      </c>
      <c r="CE57" s="326">
        <v>2386527.3342165197</v>
      </c>
      <c r="CF57" s="326">
        <v>12.178764978330923</v>
      </c>
      <c r="CG57" s="326">
        <v>2404206.5338898418</v>
      </c>
      <c r="CH57" s="326">
        <v>12.157637531116116</v>
      </c>
      <c r="CI57" s="326">
        <v>2429380.7701014942</v>
      </c>
      <c r="CJ57" s="326">
        <v>12.086652055642796</v>
      </c>
      <c r="CK57" s="326">
        <v>2435219.0776907257</v>
      </c>
      <c r="CL57" s="326">
        <v>11.97</v>
      </c>
      <c r="CM57" s="326">
        <v>2484355.0267105713</v>
      </c>
      <c r="CN57" s="326">
        <v>11.965678544070226</v>
      </c>
      <c r="CO57" s="326">
        <v>2556060.6389573095</v>
      </c>
      <c r="CP57" s="326">
        <v>12.020827927975938</v>
      </c>
      <c r="CQ57" s="326">
        <v>2565665.4868667391</v>
      </c>
      <c r="CR57" s="326">
        <v>11.93</v>
      </c>
      <c r="CS57" s="326">
        <v>2596150.408762753</v>
      </c>
      <c r="CT57" s="326">
        <v>11.938543027385922</v>
      </c>
      <c r="CU57" s="326">
        <v>2661093.6620790698</v>
      </c>
      <c r="CV57" s="326">
        <v>11.94</v>
      </c>
      <c r="CW57" s="326">
        <v>2675843.7116714134</v>
      </c>
      <c r="CX57" s="326">
        <v>11.8</v>
      </c>
      <c r="CY57" s="326">
        <v>2723458.7764992113</v>
      </c>
      <c r="CZ57" s="326">
        <v>11.77</v>
      </c>
      <c r="DA57" s="326">
        <v>2761324.5499918703</v>
      </c>
      <c r="DB57" s="326">
        <v>10.99</v>
      </c>
      <c r="DC57" s="326">
        <v>2746328.6814779509</v>
      </c>
      <c r="DD57" s="326">
        <v>10.426250629386633</v>
      </c>
      <c r="DE57" s="326">
        <v>2729712.7217738014</v>
      </c>
      <c r="DF57" s="326">
        <v>10.109165203675886</v>
      </c>
      <c r="DG57" s="326">
        <v>2820658.5204041721</v>
      </c>
      <c r="DH57" s="326">
        <v>10.47</v>
      </c>
      <c r="DI57" s="326">
        <v>2798043.3307042075</v>
      </c>
      <c r="DJ57" s="326">
        <v>10.18</v>
      </c>
      <c r="DK57" s="326">
        <v>2827105.9905921575</v>
      </c>
      <c r="DL57" s="326">
        <v>9.8318649812907015</v>
      </c>
      <c r="DM57" s="326">
        <v>2946660.0159932813</v>
      </c>
      <c r="DN57" s="326">
        <v>9.517731632300432</v>
      </c>
      <c r="DO57" s="326">
        <v>2960568.2868455327</v>
      </c>
      <c r="DP57" s="326">
        <v>9.3697289946410578</v>
      </c>
      <c r="DQ57" s="326">
        <v>3012408.2402675296</v>
      </c>
      <c r="DR57" s="326">
        <v>9.09</v>
      </c>
      <c r="DS57" s="326">
        <v>3135015.3567805309</v>
      </c>
      <c r="DT57" s="326">
        <v>8.8912745435893399</v>
      </c>
      <c r="DU57" s="326">
        <v>3196825.4683631863</v>
      </c>
      <c r="DV57" s="326">
        <v>8.7276050942080641</v>
      </c>
      <c r="DW57" s="326">
        <v>3280279.4652707698</v>
      </c>
      <c r="DX57" s="326">
        <v>8.61</v>
      </c>
      <c r="DY57" s="326">
        <v>3428582.256992205</v>
      </c>
      <c r="DZ57" s="326">
        <v>8.5342448085804961</v>
      </c>
      <c r="EA57" s="326">
        <v>3465398.1155981235</v>
      </c>
      <c r="EB57" s="326">
        <v>8.4591292533300528</v>
      </c>
      <c r="EC57" s="326">
        <v>3493884.3472742694</v>
      </c>
      <c r="ED57" s="326">
        <v>8.4348018971758574</v>
      </c>
      <c r="EE57" s="326">
        <v>3566532.8308353759</v>
      </c>
      <c r="EF57" s="326">
        <v>8.48</v>
      </c>
      <c r="EG57" s="326">
        <v>3611246.2950363625</v>
      </c>
      <c r="EH57" s="326">
        <v>8.57</v>
      </c>
      <c r="EI57" s="326">
        <v>3719880.0827114903</v>
      </c>
      <c r="EJ57" s="326">
        <v>8.69</v>
      </c>
      <c r="EK57" s="326">
        <v>3840421.8753271955</v>
      </c>
      <c r="EL57" s="326">
        <v>9.02</v>
      </c>
      <c r="EM57" s="326">
        <v>3882537.4837926673</v>
      </c>
      <c r="EN57" s="326">
        <v>9.2899999999999991</v>
      </c>
      <c r="EO57" s="326">
        <v>3937917.3147138269</v>
      </c>
      <c r="EP57" s="326">
        <v>9.4449890247623181</v>
      </c>
      <c r="EQ57" s="326">
        <v>4040583.7509690085</v>
      </c>
      <c r="ER57" s="326">
        <v>10.31</v>
      </c>
      <c r="ES57" s="326">
        <v>4074940.6696612639</v>
      </c>
      <c r="ET57" s="326">
        <v>10.6</v>
      </c>
      <c r="EU57" s="326">
        <v>4122580.460741119</v>
      </c>
      <c r="EV57" s="326">
        <v>10.78</v>
      </c>
      <c r="EW57" s="326">
        <v>4155806.2141395388</v>
      </c>
      <c r="EX57" s="326">
        <v>11.42</v>
      </c>
      <c r="EY57" s="326">
        <v>4152443.957233916</v>
      </c>
      <c r="EZ57" s="326">
        <v>11.54</v>
      </c>
      <c r="FA57" s="326">
        <v>4154417.3498247014</v>
      </c>
      <c r="FB57" s="326">
        <v>11.62</v>
      </c>
      <c r="FC57" s="326">
        <v>4141732.7115383828</v>
      </c>
      <c r="FD57" s="326">
        <v>11.94</v>
      </c>
      <c r="FE57" s="326">
        <v>4147573.3382327156</v>
      </c>
      <c r="FF57" s="326">
        <v>12.06</v>
      </c>
      <c r="FG57" s="326">
        <v>4162442.0540043763</v>
      </c>
      <c r="FH57" s="326">
        <v>12.19</v>
      </c>
      <c r="FI57" s="326">
        <v>4189642.7186093023</v>
      </c>
      <c r="FJ57" s="326">
        <v>12.65</v>
      </c>
      <c r="FK57" s="326">
        <v>4192994.9246962992</v>
      </c>
      <c r="FL57" s="326">
        <v>12.74</v>
      </c>
      <c r="FM57" s="326">
        <v>4194531.4945949139</v>
      </c>
      <c r="FN57" s="326">
        <v>12.79</v>
      </c>
      <c r="FO57" s="326">
        <v>4247526.467801718</v>
      </c>
      <c r="FP57" s="326">
        <v>13.033348190370932</v>
      </c>
      <c r="FQ57" s="326">
        <v>4258458.0727024414</v>
      </c>
      <c r="FR57" s="326">
        <v>13.03</v>
      </c>
      <c r="FS57" s="326">
        <v>4247528.687854168</v>
      </c>
      <c r="FT57" s="326">
        <v>12.839437652453611</v>
      </c>
      <c r="FU57" s="326">
        <v>4282618.9450482922</v>
      </c>
      <c r="FV57" s="326">
        <v>12.65</v>
      </c>
      <c r="FW57" s="326">
        <v>4269093.7578034084</v>
      </c>
      <c r="FX57" s="326">
        <v>12.53</v>
      </c>
      <c r="FY57" s="326">
        <v>4273360.8858314147</v>
      </c>
      <c r="FZ57" s="326">
        <v>12.2968211469067</v>
      </c>
      <c r="GA57" s="326">
        <v>4046550.2646879875</v>
      </c>
      <c r="GB57" s="326">
        <v>12.243697262021449</v>
      </c>
      <c r="GC57" s="326">
        <v>4269821.7771266932</v>
      </c>
      <c r="GD57" s="326">
        <v>12.234427425431878</v>
      </c>
      <c r="GE57" s="326">
        <v>4314933.586174719</v>
      </c>
      <c r="GF57" s="326">
        <v>12.10897667218951</v>
      </c>
      <c r="GG57" s="326">
        <v>4393045.2554328861</v>
      </c>
      <c r="GH57" s="326">
        <v>11.95612012774439</v>
      </c>
      <c r="GI57" s="326">
        <v>4371846.088104411</v>
      </c>
      <c r="GJ57" s="326">
        <v>11.85</v>
      </c>
      <c r="GK57" s="326">
        <v>4383914.2873983635</v>
      </c>
      <c r="GL57" s="326">
        <v>11.38</v>
      </c>
      <c r="GM57" s="326">
        <v>4458408.0738990465</v>
      </c>
      <c r="GN57" s="326">
        <v>11.08</v>
      </c>
      <c r="GO57" s="326">
        <v>4461716.0078171352</v>
      </c>
      <c r="GP57" s="326">
        <v>10.775240061849351</v>
      </c>
      <c r="GQ57" s="326">
        <v>4460934.008877934</v>
      </c>
      <c r="GR57" s="326">
        <v>10.55</v>
      </c>
      <c r="GS57" s="326">
        <v>4501224.1702941526</v>
      </c>
      <c r="GT57" s="326">
        <v>10.34</v>
      </c>
      <c r="GU57" s="326">
        <v>4484100.5249618217</v>
      </c>
      <c r="GV57" s="326">
        <v>10.154948961007413</v>
      </c>
      <c r="GW57" s="326">
        <v>4499169.2485109139</v>
      </c>
      <c r="GX57" s="326">
        <v>9.9340099482150723</v>
      </c>
      <c r="GY57" s="326">
        <v>4522367.7447066605</v>
      </c>
      <c r="GZ57" s="326">
        <v>9.6819707561813946</v>
      </c>
      <c r="HA57" s="326">
        <v>4522779.7856738335</v>
      </c>
      <c r="HB57" s="326">
        <v>9.5213623138278116</v>
      </c>
      <c r="HC57" s="326">
        <v>4574666.4746441357</v>
      </c>
      <c r="HD57" s="326">
        <v>9.3337851291244238</v>
      </c>
      <c r="HE57" s="326">
        <v>4631806.3661630098</v>
      </c>
      <c r="HF57" s="326">
        <v>9.0706822686876922</v>
      </c>
      <c r="HG57" s="326">
        <v>4631450.7151058568</v>
      </c>
      <c r="HH57" s="326">
        <v>8.8968826638385803</v>
      </c>
      <c r="HI57" s="326">
        <v>4649892.2954329886</v>
      </c>
      <c r="HJ57" s="326">
        <v>8.6921667278712587</v>
      </c>
      <c r="HK57" s="326">
        <v>4732794.9755845517</v>
      </c>
      <c r="HL57" s="326">
        <v>8.5450129605434491</v>
      </c>
      <c r="HM57" s="326">
        <v>4736258.8873607693</v>
      </c>
      <c r="HN57" s="326">
        <v>8.4015833654817484</v>
      </c>
      <c r="HO57" s="326">
        <v>4768466.1557778679</v>
      </c>
      <c r="HP57" s="326">
        <v>8.2192154261003925</v>
      </c>
      <c r="HQ57" s="326">
        <v>4828673.2347852886</v>
      </c>
      <c r="HR57" s="326">
        <v>8.1067716867788207</v>
      </c>
      <c r="HS57" s="326">
        <v>4829860.9659358319</v>
      </c>
      <c r="HT57" s="326">
        <v>7.99369434046947</v>
      </c>
      <c r="HU57" s="326">
        <v>4862297.4778244346</v>
      </c>
      <c r="HV57" s="326">
        <v>7.8511803276959151</v>
      </c>
      <c r="HW57" s="326">
        <v>4883002.6965874732</v>
      </c>
      <c r="HX57" s="326">
        <v>7.7559166396523276</v>
      </c>
      <c r="HY57" s="326">
        <v>4874363.5095483102</v>
      </c>
    </row>
    <row r="58" spans="2:233" x14ac:dyDescent="0.55000000000000004">
      <c r="AT58" s="149"/>
      <c r="AV58" s="149"/>
      <c r="AX58" s="149"/>
      <c r="AZ58" s="149"/>
      <c r="BB58" s="149"/>
      <c r="BD58" s="149"/>
      <c r="BF58" s="149"/>
    </row>
    <row r="59" spans="2:233" ht="47" x14ac:dyDescent="0.55000000000000004">
      <c r="C59" s="163" t="s">
        <v>401</v>
      </c>
    </row>
  </sheetData>
  <mergeCells count="340">
    <mergeCell ref="HV43:HW43"/>
    <mergeCell ref="HX43:HY43"/>
    <mergeCell ref="HJ43:HK43"/>
    <mergeCell ref="HL43:HM43"/>
    <mergeCell ref="HN43:HO43"/>
    <mergeCell ref="HP43:HQ43"/>
    <mergeCell ref="HR43:HS43"/>
    <mergeCell ref="HT43:HU43"/>
    <mergeCell ref="GX43:GY43"/>
    <mergeCell ref="GZ43:HA43"/>
    <mergeCell ref="HB43:HC43"/>
    <mergeCell ref="HD43:HE43"/>
    <mergeCell ref="HF43:HG43"/>
    <mergeCell ref="HH43:HI43"/>
    <mergeCell ref="GL43:GM43"/>
    <mergeCell ref="GN43:GO43"/>
    <mergeCell ref="GP43:GQ43"/>
    <mergeCell ref="GR43:GS43"/>
    <mergeCell ref="GT43:GU43"/>
    <mergeCell ref="GV43:GW43"/>
    <mergeCell ref="FZ43:GA43"/>
    <mergeCell ref="GB43:GC43"/>
    <mergeCell ref="GD43:GE43"/>
    <mergeCell ref="GF43:GG43"/>
    <mergeCell ref="GH43:GI43"/>
    <mergeCell ref="GJ43:GK43"/>
    <mergeCell ref="FH43:FI43"/>
    <mergeCell ref="FL43:FM43"/>
    <mergeCell ref="FP43:FQ43"/>
    <mergeCell ref="FT43:FU43"/>
    <mergeCell ref="FV43:FW43"/>
    <mergeCell ref="FX43:FY43"/>
    <mergeCell ref="EV43:EW43"/>
    <mergeCell ref="EX43:EY43"/>
    <mergeCell ref="EZ43:FA43"/>
    <mergeCell ref="FB43:FC43"/>
    <mergeCell ref="FD43:FE43"/>
    <mergeCell ref="FF43:FG43"/>
    <mergeCell ref="EJ43:EK43"/>
    <mergeCell ref="EL43:EM43"/>
    <mergeCell ref="EN43:EO43"/>
    <mergeCell ref="EP43:EQ43"/>
    <mergeCell ref="ER43:ES43"/>
    <mergeCell ref="ET43:EU43"/>
    <mergeCell ref="DX43:DY43"/>
    <mergeCell ref="DZ43:EA43"/>
    <mergeCell ref="EB43:EC43"/>
    <mergeCell ref="ED43:EE43"/>
    <mergeCell ref="EF43:EG43"/>
    <mergeCell ref="EH43:EI43"/>
    <mergeCell ref="DL43:DM43"/>
    <mergeCell ref="DN43:DO43"/>
    <mergeCell ref="DP43:DQ43"/>
    <mergeCell ref="DR43:DS43"/>
    <mergeCell ref="DT43:DU43"/>
    <mergeCell ref="DV43:DW43"/>
    <mergeCell ref="CZ43:DA43"/>
    <mergeCell ref="DB43:DC43"/>
    <mergeCell ref="DD43:DE43"/>
    <mergeCell ref="DF43:DG43"/>
    <mergeCell ref="DH43:DI43"/>
    <mergeCell ref="DJ43:DK43"/>
    <mergeCell ref="CN43:CO43"/>
    <mergeCell ref="CP43:CQ43"/>
    <mergeCell ref="CR43:CS43"/>
    <mergeCell ref="CT43:CU43"/>
    <mergeCell ref="CV43:CW43"/>
    <mergeCell ref="CX43:CY43"/>
    <mergeCell ref="CB43:CC43"/>
    <mergeCell ref="CD43:CE43"/>
    <mergeCell ref="CF43:CG43"/>
    <mergeCell ref="CH43:CI43"/>
    <mergeCell ref="CJ43:CK43"/>
    <mergeCell ref="CL43:CM43"/>
    <mergeCell ref="BP43:BQ43"/>
    <mergeCell ref="BR43:BS43"/>
    <mergeCell ref="BT43:BU43"/>
    <mergeCell ref="BV43:BW43"/>
    <mergeCell ref="BX43:BY43"/>
    <mergeCell ref="BZ43:CA43"/>
    <mergeCell ref="BD43:BE43"/>
    <mergeCell ref="BF43:BG43"/>
    <mergeCell ref="BH43:BI43"/>
    <mergeCell ref="BJ43:BK43"/>
    <mergeCell ref="BL43:BM43"/>
    <mergeCell ref="BN43:BO43"/>
    <mergeCell ref="AR43:AS43"/>
    <mergeCell ref="AT43:AU43"/>
    <mergeCell ref="AV43:AW43"/>
    <mergeCell ref="AX43:AY43"/>
    <mergeCell ref="AZ43:BA43"/>
    <mergeCell ref="BB43:BC43"/>
    <mergeCell ref="AF43:AG43"/>
    <mergeCell ref="AH43:AI43"/>
    <mergeCell ref="AJ43:AK43"/>
    <mergeCell ref="AL43:AM43"/>
    <mergeCell ref="AN43:AO43"/>
    <mergeCell ref="AP43:AQ43"/>
    <mergeCell ref="T43:U43"/>
    <mergeCell ref="V43:W43"/>
    <mergeCell ref="X43:Y43"/>
    <mergeCell ref="Z43:AA43"/>
    <mergeCell ref="AB43:AC43"/>
    <mergeCell ref="AD43:AE43"/>
    <mergeCell ref="HV23:HW23"/>
    <mergeCell ref="HX23:HY23"/>
    <mergeCell ref="D43:E43"/>
    <mergeCell ref="F43:G43"/>
    <mergeCell ref="H43:I43"/>
    <mergeCell ref="J43:K43"/>
    <mergeCell ref="L43:M43"/>
    <mergeCell ref="N43:O43"/>
    <mergeCell ref="P43:Q43"/>
    <mergeCell ref="R43:S43"/>
    <mergeCell ref="HJ23:HK23"/>
    <mergeCell ref="HL23:HM23"/>
    <mergeCell ref="HN23:HO23"/>
    <mergeCell ref="HP23:HQ23"/>
    <mergeCell ref="HR23:HS23"/>
    <mergeCell ref="HT23:HU23"/>
    <mergeCell ref="GX23:GY23"/>
    <mergeCell ref="GZ23:HA23"/>
    <mergeCell ref="HB23:HC23"/>
    <mergeCell ref="HD23:HE23"/>
    <mergeCell ref="HF23:HG23"/>
    <mergeCell ref="HH23:HI23"/>
    <mergeCell ref="GL23:GM23"/>
    <mergeCell ref="GN23:GO23"/>
    <mergeCell ref="GP23:GQ23"/>
    <mergeCell ref="GR23:GS23"/>
    <mergeCell ref="GT23:GU23"/>
    <mergeCell ref="GV23:GW23"/>
    <mergeCell ref="FZ23:GA23"/>
    <mergeCell ref="GB23:GC23"/>
    <mergeCell ref="GD23:GE23"/>
    <mergeCell ref="GF23:GG23"/>
    <mergeCell ref="GH23:GI23"/>
    <mergeCell ref="GJ23:GK23"/>
    <mergeCell ref="FH23:FI23"/>
    <mergeCell ref="FL23:FM23"/>
    <mergeCell ref="FP23:FQ23"/>
    <mergeCell ref="FT23:FU23"/>
    <mergeCell ref="FV23:FW23"/>
    <mergeCell ref="FX23:FY23"/>
    <mergeCell ref="EV23:EW23"/>
    <mergeCell ref="EX23:EY23"/>
    <mergeCell ref="EZ23:FA23"/>
    <mergeCell ref="FB23:FC23"/>
    <mergeCell ref="FD23:FE23"/>
    <mergeCell ref="FF23:FG23"/>
    <mergeCell ref="EJ23:EK23"/>
    <mergeCell ref="EL23:EM23"/>
    <mergeCell ref="EN23:EO23"/>
    <mergeCell ref="EP23:EQ23"/>
    <mergeCell ref="ER23:ES23"/>
    <mergeCell ref="ET23:EU23"/>
    <mergeCell ref="DX23:DY23"/>
    <mergeCell ref="DZ23:EA23"/>
    <mergeCell ref="EB23:EC23"/>
    <mergeCell ref="ED23:EE23"/>
    <mergeCell ref="EF23:EG23"/>
    <mergeCell ref="EH23:EI23"/>
    <mergeCell ref="DL23:DM23"/>
    <mergeCell ref="DN23:DO23"/>
    <mergeCell ref="DP23:DQ23"/>
    <mergeCell ref="DR23:DS23"/>
    <mergeCell ref="DT23:DU23"/>
    <mergeCell ref="DV23:DW23"/>
    <mergeCell ref="CZ23:DA23"/>
    <mergeCell ref="DB23:DC23"/>
    <mergeCell ref="DD23:DE23"/>
    <mergeCell ref="DF23:DG23"/>
    <mergeCell ref="DH23:DI23"/>
    <mergeCell ref="DJ23:DK23"/>
    <mergeCell ref="CN23:CO23"/>
    <mergeCell ref="CP23:CQ23"/>
    <mergeCell ref="CR23:CS23"/>
    <mergeCell ref="CT23:CU23"/>
    <mergeCell ref="CV23:CW23"/>
    <mergeCell ref="CX23:CY23"/>
    <mergeCell ref="CB23:CC23"/>
    <mergeCell ref="CD23:CE23"/>
    <mergeCell ref="CF23:CG23"/>
    <mergeCell ref="CH23:CI23"/>
    <mergeCell ref="CJ23:CK23"/>
    <mergeCell ref="CL23:CM23"/>
    <mergeCell ref="BP23:BQ23"/>
    <mergeCell ref="BR23:BS23"/>
    <mergeCell ref="BT23:BU23"/>
    <mergeCell ref="BV23:BW23"/>
    <mergeCell ref="BX23:BY23"/>
    <mergeCell ref="BZ23:CA23"/>
    <mergeCell ref="BD23:BE23"/>
    <mergeCell ref="BF23:BG23"/>
    <mergeCell ref="BH23:BI23"/>
    <mergeCell ref="BJ23:BK23"/>
    <mergeCell ref="BL23:BM23"/>
    <mergeCell ref="BN23:BO23"/>
    <mergeCell ref="AR23:AS23"/>
    <mergeCell ref="AT23:AU23"/>
    <mergeCell ref="AV23:AW23"/>
    <mergeCell ref="AX23:AY23"/>
    <mergeCell ref="AZ23:BA23"/>
    <mergeCell ref="BB23:BC23"/>
    <mergeCell ref="AF23:AG23"/>
    <mergeCell ref="AH23:AI23"/>
    <mergeCell ref="AJ23:AK23"/>
    <mergeCell ref="AL23:AM23"/>
    <mergeCell ref="AN23:AO23"/>
    <mergeCell ref="AP23:AQ23"/>
    <mergeCell ref="T23:U23"/>
    <mergeCell ref="V23:W23"/>
    <mergeCell ref="X23:Y23"/>
    <mergeCell ref="Z23:AA23"/>
    <mergeCell ref="AB23:AC23"/>
    <mergeCell ref="AD23:AE23"/>
    <mergeCell ref="HV4:HW4"/>
    <mergeCell ref="HX4:HY4"/>
    <mergeCell ref="D23:E23"/>
    <mergeCell ref="F23:G23"/>
    <mergeCell ref="H23:I23"/>
    <mergeCell ref="J23:K23"/>
    <mergeCell ref="L23:M23"/>
    <mergeCell ref="N23:O23"/>
    <mergeCell ref="P23:Q23"/>
    <mergeCell ref="R23:S23"/>
    <mergeCell ref="HJ4:HK4"/>
    <mergeCell ref="HL4:HM4"/>
    <mergeCell ref="HN4:HO4"/>
    <mergeCell ref="HP4:HQ4"/>
    <mergeCell ref="HR4:HS4"/>
    <mergeCell ref="HT4:HU4"/>
    <mergeCell ref="GX4:GY4"/>
    <mergeCell ref="GZ4:HA4"/>
    <mergeCell ref="HB4:HC4"/>
    <mergeCell ref="HD4:HE4"/>
    <mergeCell ref="HF4:HG4"/>
    <mergeCell ref="HH4:HI4"/>
    <mergeCell ref="GL4:GM4"/>
    <mergeCell ref="GN4:GO4"/>
    <mergeCell ref="GP4:GQ4"/>
    <mergeCell ref="GR4:GS4"/>
    <mergeCell ref="GT4:GU4"/>
    <mergeCell ref="GV4:GW4"/>
    <mergeCell ref="FZ4:GA4"/>
    <mergeCell ref="GB4:GC4"/>
    <mergeCell ref="GD4:GE4"/>
    <mergeCell ref="GF4:GG4"/>
    <mergeCell ref="GH4:GI4"/>
    <mergeCell ref="GJ4:GK4"/>
    <mergeCell ref="FN4:FO4"/>
    <mergeCell ref="FP4:FQ4"/>
    <mergeCell ref="FR4:FS4"/>
    <mergeCell ref="FT4:FU4"/>
    <mergeCell ref="FV4:FW4"/>
    <mergeCell ref="FX4:FY4"/>
    <mergeCell ref="FB4:FC4"/>
    <mergeCell ref="FD4:FE4"/>
    <mergeCell ref="FF4:FG4"/>
    <mergeCell ref="FH4:FI4"/>
    <mergeCell ref="FJ4:FK4"/>
    <mergeCell ref="FL4:FM4"/>
    <mergeCell ref="EP4:EQ4"/>
    <mergeCell ref="ER4:ES4"/>
    <mergeCell ref="ET4:EU4"/>
    <mergeCell ref="EV4:EW4"/>
    <mergeCell ref="EX4:EY4"/>
    <mergeCell ref="EZ4:FA4"/>
    <mergeCell ref="ED4:EE4"/>
    <mergeCell ref="EF4:EG4"/>
    <mergeCell ref="EH4:EI4"/>
    <mergeCell ref="EJ4:EK4"/>
    <mergeCell ref="EL4:EM4"/>
    <mergeCell ref="EN4:EO4"/>
    <mergeCell ref="DR4:DS4"/>
    <mergeCell ref="DT4:DU4"/>
    <mergeCell ref="DV4:DW4"/>
    <mergeCell ref="DX4:DY4"/>
    <mergeCell ref="DZ4:EA4"/>
    <mergeCell ref="EB4:EC4"/>
    <mergeCell ref="DF4:DG4"/>
    <mergeCell ref="DH4:DI4"/>
    <mergeCell ref="DJ4:DK4"/>
    <mergeCell ref="DL4:DM4"/>
    <mergeCell ref="DN4:DO4"/>
    <mergeCell ref="DP4:DQ4"/>
    <mergeCell ref="CT4:CU4"/>
    <mergeCell ref="CV4:CW4"/>
    <mergeCell ref="CX4:CY4"/>
    <mergeCell ref="CZ4:DA4"/>
    <mergeCell ref="DB4:DC4"/>
    <mergeCell ref="DD4:DE4"/>
    <mergeCell ref="CH4:CI4"/>
    <mergeCell ref="CJ4:CK4"/>
    <mergeCell ref="CL4:CM4"/>
    <mergeCell ref="CN4:CO4"/>
    <mergeCell ref="CP4:CQ4"/>
    <mergeCell ref="CR4:CS4"/>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B2:C2"/>
    <mergeCell ref="D4:E4"/>
    <mergeCell ref="F4:G4"/>
    <mergeCell ref="H4:I4"/>
    <mergeCell ref="J4:K4"/>
    <mergeCell ref="L4:M4"/>
  </mergeCells>
  <conditionalFormatting sqref="C52:C53">
    <cfRule type="containsText" dxfId="5" priority="6" operator="containsText" text="true">
      <formula>NOT(ISERROR(SEARCH("true",C52)))</formula>
    </cfRule>
  </conditionalFormatting>
  <conditionalFormatting sqref="C54">
    <cfRule type="containsText" dxfId="4" priority="5" operator="containsText" text="false">
      <formula>NOT(ISERROR(SEARCH("false",C54)))</formula>
    </cfRule>
  </conditionalFormatting>
  <conditionalFormatting sqref="C51">
    <cfRule type="containsText" dxfId="3" priority="4" operator="containsText" text="true">
      <formula>NOT(ISERROR(SEARCH("true",C51)))</formula>
    </cfRule>
  </conditionalFormatting>
  <conditionalFormatting sqref="C55:C56">
    <cfRule type="containsText" dxfId="2" priority="3" operator="containsText" text="true">
      <formula>NOT(ISERROR(SEARCH("true",C55)))</formula>
    </cfRule>
  </conditionalFormatting>
  <conditionalFormatting sqref="B57">
    <cfRule type="containsText" dxfId="1" priority="2" operator="containsText" text="false">
      <formula>NOT(ISERROR(SEARCH("false",B57)))</formula>
    </cfRule>
  </conditionalFormatting>
  <conditionalFormatting sqref="C54">
    <cfRule type="containsText" dxfId="0" priority="1" operator="containsText" text="true">
      <formula>NOT(ISERROR(SEARCH("true",C54)))</formula>
    </cfRule>
  </conditionalFormatting>
  <dataValidations count="1">
    <dataValidation type="decimal" operator="greaterThan" allowBlank="1" showInputMessage="1" showErrorMessage="1" errorTitle="No Zero Value" error="If value is Zero, please leave it blank." sqref="BU5 BW5 BY5 CA5 CC5 CE5 CG5 CI5 CK5 CM5 CO5 CQ5 CS5 CU5 CW5 CY5 DA5 DC5 DE5 DG5 DI5 DK5 DM5 DO5 DQ5 DS5 BS5 DU5 DW5 DY5 EA5 EC5 EE5 EG5" xr:uid="{6490A6F9-ED80-41A4-A39C-C6FEA992CBCB}">
      <formula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BF8C-0A05-49C9-8AB7-F954523E9A29}">
  <sheetPr codeName="Sheet46"/>
  <dimension ref="A1:G83"/>
  <sheetViews>
    <sheetView zoomScale="82" zoomScaleNormal="82" workbookViewId="0">
      <selection activeCell="M36" sqref="M36"/>
    </sheetView>
  </sheetViews>
  <sheetFormatPr defaultColWidth="9.1171875" defaultRowHeight="15.7" x14ac:dyDescent="0.55000000000000004"/>
  <cols>
    <col min="1" max="1" width="10.41015625" style="34" bestFit="1" customWidth="1"/>
    <col min="2" max="2" width="5.87890625" style="38" bestFit="1" customWidth="1"/>
    <col min="3" max="3" width="47.87890625" style="55" bestFit="1" customWidth="1"/>
    <col min="4" max="4" width="13.5859375" style="55" bestFit="1" customWidth="1"/>
    <col min="5" max="5" width="5.87890625" style="38" bestFit="1" customWidth="1"/>
    <col min="6" max="6" width="54.1171875" style="55" bestFit="1" customWidth="1"/>
    <col min="7" max="7" width="18.29296875" style="55" customWidth="1"/>
    <col min="8" max="8" width="7.87890625" style="34" customWidth="1"/>
    <col min="9" max="16" width="9.1171875" style="34"/>
    <col min="17" max="17" width="8.703125" style="34" customWidth="1"/>
    <col min="18" max="18" width="8.5859375" style="34" customWidth="1"/>
    <col min="19" max="19" width="8" style="34" customWidth="1"/>
    <col min="20" max="20" width="9.1171875" style="34"/>
    <col min="21" max="21" width="7.5859375" style="34" customWidth="1"/>
    <col min="22" max="22" width="8.1171875" style="34" customWidth="1"/>
    <col min="23" max="23" width="7.41015625" style="34" customWidth="1"/>
    <col min="24" max="24" width="8.1171875" style="34" customWidth="1"/>
    <col min="25" max="25" width="9.1171875" style="34"/>
    <col min="26" max="26" width="8.29296875" style="34" customWidth="1"/>
    <col min="27" max="16384" width="9.1171875" style="34"/>
  </cols>
  <sheetData>
    <row r="1" spans="1:7" x14ac:dyDescent="0.55000000000000004">
      <c r="B1" s="346" t="s">
        <v>677</v>
      </c>
      <c r="C1" s="346"/>
      <c r="D1" s="346"/>
      <c r="E1" s="346"/>
      <c r="F1" s="346"/>
      <c r="G1" s="346"/>
    </row>
    <row r="2" spans="1:7" x14ac:dyDescent="0.55000000000000004">
      <c r="B2" s="346" t="s">
        <v>947</v>
      </c>
      <c r="C2" s="346"/>
      <c r="D2" s="346"/>
      <c r="E2" s="346"/>
      <c r="F2" s="346"/>
      <c r="G2" s="346"/>
    </row>
    <row r="3" spans="1:7" x14ac:dyDescent="0.55000000000000004">
      <c r="B3" s="347"/>
      <c r="C3" s="347"/>
      <c r="D3" s="347"/>
      <c r="E3" s="347"/>
      <c r="F3" s="347"/>
      <c r="G3" s="347"/>
    </row>
    <row r="4" spans="1:7" x14ac:dyDescent="0.55000000000000004">
      <c r="B4" s="119" t="s">
        <v>678</v>
      </c>
      <c r="C4" s="348" t="s">
        <v>679</v>
      </c>
      <c r="D4" s="348" t="s">
        <v>680</v>
      </c>
      <c r="E4" s="119" t="s">
        <v>678</v>
      </c>
      <c r="F4" s="348" t="s">
        <v>679</v>
      </c>
      <c r="G4" s="348" t="s">
        <v>680</v>
      </c>
    </row>
    <row r="5" spans="1:7" x14ac:dyDescent="0.55000000000000004">
      <c r="B5" s="349" t="s">
        <v>681</v>
      </c>
      <c r="C5" s="349"/>
      <c r="D5" s="349"/>
      <c r="E5" s="349"/>
      <c r="F5" s="349"/>
      <c r="G5" s="349"/>
    </row>
    <row r="6" spans="1:7" x14ac:dyDescent="0.55000000000000004">
      <c r="B6" s="21">
        <v>1</v>
      </c>
      <c r="C6" s="350" t="s">
        <v>1074</v>
      </c>
      <c r="D6" s="350" t="s">
        <v>983</v>
      </c>
      <c r="E6" s="21">
        <v>2</v>
      </c>
      <c r="F6" s="350" t="s">
        <v>1075</v>
      </c>
      <c r="G6" s="350" t="s">
        <v>984</v>
      </c>
    </row>
    <row r="7" spans="1:7" s="38" customFormat="1" x14ac:dyDescent="0.55000000000000004">
      <c r="A7" s="34"/>
      <c r="B7" s="21">
        <v>3</v>
      </c>
      <c r="C7" s="350" t="s">
        <v>1076</v>
      </c>
      <c r="D7" s="350" t="s">
        <v>985</v>
      </c>
      <c r="E7" s="21">
        <v>4</v>
      </c>
      <c r="F7" s="350" t="s">
        <v>1077</v>
      </c>
      <c r="G7" s="350" t="s">
        <v>986</v>
      </c>
    </row>
    <row r="8" spans="1:7" x14ac:dyDescent="0.55000000000000004">
      <c r="B8" s="21">
        <v>5</v>
      </c>
      <c r="C8" s="350" t="s">
        <v>1078</v>
      </c>
      <c r="D8" s="350" t="s">
        <v>987</v>
      </c>
      <c r="E8" s="21">
        <v>6</v>
      </c>
      <c r="F8" s="350" t="s">
        <v>1079</v>
      </c>
      <c r="G8" s="350" t="s">
        <v>988</v>
      </c>
    </row>
    <row r="9" spans="1:7" x14ac:dyDescent="0.55000000000000004">
      <c r="B9" s="21">
        <v>7</v>
      </c>
      <c r="C9" s="350" t="s">
        <v>1080</v>
      </c>
      <c r="D9" s="350" t="s">
        <v>989</v>
      </c>
      <c r="E9" s="21">
        <v>8</v>
      </c>
      <c r="F9" s="350" t="s">
        <v>1081</v>
      </c>
      <c r="G9" s="350" t="s">
        <v>990</v>
      </c>
    </row>
    <row r="10" spans="1:7" x14ac:dyDescent="0.55000000000000004">
      <c r="B10" s="21">
        <v>9</v>
      </c>
      <c r="C10" s="350" t="s">
        <v>1082</v>
      </c>
      <c r="D10" s="350" t="s">
        <v>991</v>
      </c>
      <c r="E10" s="21">
        <v>10</v>
      </c>
      <c r="F10" s="350" t="s">
        <v>1083</v>
      </c>
      <c r="G10" s="350" t="s">
        <v>992</v>
      </c>
    </row>
    <row r="11" spans="1:7" x14ac:dyDescent="0.55000000000000004">
      <c r="B11" s="21">
        <v>11</v>
      </c>
      <c r="C11" s="350" t="s">
        <v>1084</v>
      </c>
      <c r="D11" s="350" t="s">
        <v>993</v>
      </c>
      <c r="E11" s="21">
        <v>12</v>
      </c>
      <c r="F11" s="350" t="s">
        <v>1085</v>
      </c>
      <c r="G11" s="350" t="s">
        <v>994</v>
      </c>
    </row>
    <row r="12" spans="1:7" x14ac:dyDescent="0.55000000000000004">
      <c r="B12" s="21">
        <v>13</v>
      </c>
      <c r="C12" s="350" t="s">
        <v>1086</v>
      </c>
      <c r="D12" s="350" t="s">
        <v>995</v>
      </c>
      <c r="E12" s="21">
        <v>14</v>
      </c>
      <c r="F12" s="350" t="s">
        <v>1087</v>
      </c>
      <c r="G12" s="350" t="s">
        <v>996</v>
      </c>
    </row>
    <row r="13" spans="1:7" x14ac:dyDescent="0.55000000000000004">
      <c r="B13" s="21">
        <v>15</v>
      </c>
      <c r="C13" s="350" t="s">
        <v>1088</v>
      </c>
      <c r="D13" s="350" t="s">
        <v>997</v>
      </c>
      <c r="E13" s="21">
        <v>16</v>
      </c>
      <c r="F13" s="350" t="s">
        <v>1089</v>
      </c>
      <c r="G13" s="350" t="s">
        <v>998</v>
      </c>
    </row>
    <row r="14" spans="1:7" x14ac:dyDescent="0.55000000000000004">
      <c r="B14" s="21">
        <v>17</v>
      </c>
      <c r="C14" s="350" t="s">
        <v>1090</v>
      </c>
      <c r="D14" s="350" t="s">
        <v>999</v>
      </c>
      <c r="E14" s="21">
        <v>18</v>
      </c>
      <c r="F14" s="350" t="s">
        <v>1091</v>
      </c>
      <c r="G14" s="350" t="s">
        <v>1000</v>
      </c>
    </row>
    <row r="15" spans="1:7" x14ac:dyDescent="0.55000000000000004">
      <c r="B15" s="21">
        <v>19</v>
      </c>
      <c r="C15" s="350" t="s">
        <v>1092</v>
      </c>
      <c r="D15" s="350" t="s">
        <v>1001</v>
      </c>
      <c r="E15" s="21">
        <v>20</v>
      </c>
      <c r="F15" s="350" t="s">
        <v>1093</v>
      </c>
      <c r="G15" s="350" t="s">
        <v>1002</v>
      </c>
    </row>
    <row r="16" spans="1:7" ht="24.75" customHeight="1" x14ac:dyDescent="0.55000000000000004">
      <c r="B16" s="351" t="s">
        <v>682</v>
      </c>
      <c r="C16" s="352"/>
      <c r="D16" s="352"/>
      <c r="E16" s="352"/>
      <c r="F16" s="352"/>
      <c r="G16" s="353"/>
    </row>
    <row r="17" spans="2:7" x14ac:dyDescent="0.55000000000000004">
      <c r="B17" s="21">
        <v>1</v>
      </c>
      <c r="C17" s="350" t="s">
        <v>1094</v>
      </c>
      <c r="D17" s="350" t="s">
        <v>1003</v>
      </c>
      <c r="E17" s="21">
        <v>2</v>
      </c>
      <c r="F17" s="350" t="s">
        <v>1095</v>
      </c>
      <c r="G17" s="350" t="s">
        <v>1004</v>
      </c>
    </row>
    <row r="18" spans="2:7" x14ac:dyDescent="0.55000000000000004">
      <c r="B18" s="21">
        <v>3</v>
      </c>
      <c r="C18" s="350" t="s">
        <v>1096</v>
      </c>
      <c r="D18" s="350" t="s">
        <v>1005</v>
      </c>
      <c r="E18" s="21">
        <v>4</v>
      </c>
      <c r="F18" s="350" t="s">
        <v>1097</v>
      </c>
      <c r="G18" s="350" t="s">
        <v>1006</v>
      </c>
    </row>
    <row r="19" spans="2:7" x14ac:dyDescent="0.55000000000000004">
      <c r="B19" s="21">
        <v>5</v>
      </c>
      <c r="C19" s="350" t="s">
        <v>1098</v>
      </c>
      <c r="D19" s="350" t="s">
        <v>1007</v>
      </c>
      <c r="E19" s="21">
        <v>6</v>
      </c>
      <c r="F19" s="350" t="s">
        <v>1099</v>
      </c>
      <c r="G19" s="350" t="s">
        <v>1008</v>
      </c>
    </row>
    <row r="20" spans="2:7" x14ac:dyDescent="0.55000000000000004">
      <c r="B20" s="21">
        <v>7</v>
      </c>
      <c r="C20" s="350" t="s">
        <v>1100</v>
      </c>
      <c r="D20" s="350" t="s">
        <v>1009</v>
      </c>
      <c r="E20" s="21">
        <v>8</v>
      </c>
      <c r="F20" s="350" t="s">
        <v>1101</v>
      </c>
      <c r="G20" s="350" t="s">
        <v>1010</v>
      </c>
    </row>
    <row r="21" spans="2:7" x14ac:dyDescent="0.55000000000000004">
      <c r="B21" s="21">
        <v>9</v>
      </c>
      <c r="C21" s="350" t="s">
        <v>1102</v>
      </c>
      <c r="D21" s="350" t="s">
        <v>1011</v>
      </c>
      <c r="E21" s="21">
        <v>10</v>
      </c>
      <c r="F21" s="350" t="s">
        <v>1103</v>
      </c>
      <c r="G21" s="350" t="s">
        <v>1012</v>
      </c>
    </row>
    <row r="22" spans="2:7" x14ac:dyDescent="0.55000000000000004">
      <c r="B22" s="21">
        <v>11</v>
      </c>
      <c r="C22" s="350" t="s">
        <v>1104</v>
      </c>
      <c r="D22" s="350" t="s">
        <v>1013</v>
      </c>
      <c r="E22" s="21">
        <v>12</v>
      </c>
      <c r="F22" s="350" t="s">
        <v>1105</v>
      </c>
      <c r="G22" s="350" t="s">
        <v>1014</v>
      </c>
    </row>
    <row r="23" spans="2:7" x14ac:dyDescent="0.55000000000000004">
      <c r="B23" s="21">
        <v>13</v>
      </c>
      <c r="C23" s="350" t="s">
        <v>1106</v>
      </c>
      <c r="D23" s="350" t="s">
        <v>1015</v>
      </c>
      <c r="E23" s="21">
        <v>14</v>
      </c>
      <c r="F23" s="350" t="s">
        <v>1107</v>
      </c>
      <c r="G23" s="350" t="s">
        <v>1016</v>
      </c>
    </row>
    <row r="24" spans="2:7" x14ac:dyDescent="0.55000000000000004">
      <c r="B24" s="21">
        <v>15</v>
      </c>
      <c r="C24" s="350" t="s">
        <v>1108</v>
      </c>
      <c r="D24" s="350" t="s">
        <v>1017</v>
      </c>
      <c r="E24" s="21">
        <v>16</v>
      </c>
      <c r="F24" s="350" t="s">
        <v>1109</v>
      </c>
      <c r="G24" s="350" t="s">
        <v>1018</v>
      </c>
    </row>
    <row r="25" spans="2:7" x14ac:dyDescent="0.55000000000000004">
      <c r="B25" s="21">
        <v>17</v>
      </c>
      <c r="C25" s="350" t="s">
        <v>1110</v>
      </c>
      <c r="D25" s="350" t="s">
        <v>1019</v>
      </c>
      <c r="E25" s="21"/>
      <c r="F25" s="350"/>
      <c r="G25" s="350"/>
    </row>
    <row r="26" spans="2:7" hidden="1" x14ac:dyDescent="0.55000000000000004">
      <c r="B26" s="21">
        <v>0</v>
      </c>
      <c r="C26" s="350">
        <v>0</v>
      </c>
      <c r="D26" s="350">
        <v>0</v>
      </c>
      <c r="E26" s="21" t="s">
        <v>121</v>
      </c>
      <c r="F26" s="350" t="s">
        <v>121</v>
      </c>
      <c r="G26" s="21" t="s">
        <v>121</v>
      </c>
    </row>
    <row r="27" spans="2:7" hidden="1" x14ac:dyDescent="0.55000000000000004">
      <c r="B27" s="21">
        <v>0</v>
      </c>
      <c r="C27" s="354"/>
      <c r="D27" s="354"/>
      <c r="E27" s="355"/>
      <c r="F27" s="354"/>
      <c r="G27" s="356"/>
    </row>
    <row r="28" spans="2:7" ht="16" hidden="1" thickBot="1" x14ac:dyDescent="0.6">
      <c r="B28" s="21">
        <v>0</v>
      </c>
      <c r="C28" s="357"/>
      <c r="D28" s="357"/>
      <c r="E28" s="358"/>
      <c r="F28" s="357"/>
      <c r="G28" s="359"/>
    </row>
    <row r="29" spans="2:7" ht="16" hidden="1" thickBot="1" x14ac:dyDescent="0.6">
      <c r="B29" s="21">
        <v>0</v>
      </c>
      <c r="C29" s="360"/>
      <c r="D29" s="360"/>
      <c r="E29" s="361"/>
      <c r="F29" s="360"/>
      <c r="G29" s="362"/>
    </row>
    <row r="30" spans="2:7" ht="16" hidden="1" thickBot="1" x14ac:dyDescent="0.6">
      <c r="B30" s="21">
        <v>0</v>
      </c>
      <c r="C30" s="360"/>
      <c r="D30" s="360"/>
      <c r="E30" s="361"/>
      <c r="F30" s="360"/>
      <c r="G30" s="362"/>
    </row>
    <row r="31" spans="2:7" ht="16" hidden="1" thickBot="1" x14ac:dyDescent="0.6">
      <c r="B31" s="21">
        <v>0</v>
      </c>
      <c r="C31" s="360"/>
      <c r="D31" s="360"/>
      <c r="E31" s="361"/>
      <c r="F31" s="360"/>
      <c r="G31" s="362"/>
    </row>
    <row r="32" spans="2:7" hidden="1" x14ac:dyDescent="0.55000000000000004">
      <c r="B32" s="363">
        <v>0</v>
      </c>
      <c r="C32" s="364"/>
      <c r="D32" s="364"/>
      <c r="E32" s="365"/>
      <c r="F32" s="364"/>
      <c r="G32" s="366"/>
    </row>
    <row r="33" spans="2:7" ht="24.75" customHeight="1" x14ac:dyDescent="0.55000000000000004">
      <c r="B33" s="367" t="s">
        <v>683</v>
      </c>
      <c r="C33" s="367"/>
      <c r="D33" s="367"/>
      <c r="E33" s="367"/>
      <c r="F33" s="367"/>
      <c r="G33" s="367"/>
    </row>
    <row r="34" spans="2:7" x14ac:dyDescent="0.55000000000000004">
      <c r="B34" s="355">
        <v>1</v>
      </c>
      <c r="C34" s="354" t="s">
        <v>1111</v>
      </c>
      <c r="D34" s="354" t="s">
        <v>1020</v>
      </c>
      <c r="E34" s="355">
        <v>2</v>
      </c>
      <c r="F34" s="354" t="s">
        <v>1112</v>
      </c>
      <c r="G34" s="354" t="s">
        <v>1021</v>
      </c>
    </row>
    <row r="35" spans="2:7" x14ac:dyDescent="0.55000000000000004">
      <c r="B35" s="21">
        <v>3</v>
      </c>
      <c r="C35" s="350" t="s">
        <v>1113</v>
      </c>
      <c r="D35" s="350" t="s">
        <v>1022</v>
      </c>
      <c r="E35" s="21">
        <v>4</v>
      </c>
      <c r="F35" s="350" t="s">
        <v>1114</v>
      </c>
      <c r="G35" s="350" t="s">
        <v>1023</v>
      </c>
    </row>
    <row r="36" spans="2:7" x14ac:dyDescent="0.55000000000000004">
      <c r="B36" s="21">
        <v>5</v>
      </c>
      <c r="C36" s="350" t="s">
        <v>1115</v>
      </c>
      <c r="D36" s="350" t="s">
        <v>1024</v>
      </c>
      <c r="E36" s="21">
        <v>6</v>
      </c>
      <c r="F36" s="350" t="s">
        <v>1116</v>
      </c>
      <c r="G36" s="350" t="s">
        <v>1025</v>
      </c>
    </row>
    <row r="37" spans="2:7" x14ac:dyDescent="0.55000000000000004">
      <c r="B37" s="21">
        <v>7</v>
      </c>
      <c r="C37" s="350" t="s">
        <v>1117</v>
      </c>
      <c r="D37" s="350" t="s">
        <v>1026</v>
      </c>
      <c r="E37" s="21">
        <v>8</v>
      </c>
      <c r="F37" s="350" t="s">
        <v>1118</v>
      </c>
      <c r="G37" s="350" t="s">
        <v>1027</v>
      </c>
    </row>
    <row r="38" spans="2:7" x14ac:dyDescent="0.55000000000000004">
      <c r="B38" s="21">
        <v>9</v>
      </c>
      <c r="C38" s="350" t="s">
        <v>1119</v>
      </c>
      <c r="D38" s="350" t="s">
        <v>1028</v>
      </c>
      <c r="E38" s="21">
        <v>10</v>
      </c>
      <c r="F38" s="350" t="s">
        <v>1120</v>
      </c>
      <c r="G38" s="350" t="s">
        <v>1121</v>
      </c>
    </row>
    <row r="39" spans="2:7" x14ac:dyDescent="0.55000000000000004">
      <c r="B39" s="21">
        <v>11</v>
      </c>
      <c r="C39" s="350" t="s">
        <v>1122</v>
      </c>
      <c r="D39" s="350" t="s">
        <v>1030</v>
      </c>
      <c r="E39" s="21">
        <v>12</v>
      </c>
      <c r="F39" s="350" t="s">
        <v>1123</v>
      </c>
      <c r="G39" s="350" t="s">
        <v>1031</v>
      </c>
    </row>
    <row r="40" spans="2:7" x14ac:dyDescent="0.55000000000000004">
      <c r="B40" s="21">
        <v>13</v>
      </c>
      <c r="C40" s="350" t="s">
        <v>1124</v>
      </c>
      <c r="D40" s="350" t="s">
        <v>1032</v>
      </c>
      <c r="E40" s="21">
        <v>14</v>
      </c>
      <c r="F40" s="350" t="s">
        <v>1125</v>
      </c>
      <c r="G40" s="350" t="s">
        <v>1033</v>
      </c>
    </row>
    <row r="41" spans="2:7" x14ac:dyDescent="0.55000000000000004">
      <c r="B41" s="21">
        <v>15</v>
      </c>
      <c r="C41" s="350" t="s">
        <v>1126</v>
      </c>
      <c r="D41" s="350" t="s">
        <v>1034</v>
      </c>
      <c r="E41" s="21">
        <v>16</v>
      </c>
      <c r="F41" s="350" t="s">
        <v>1127</v>
      </c>
      <c r="G41" s="350" t="s">
        <v>1035</v>
      </c>
    </row>
    <row r="42" spans="2:7" x14ac:dyDescent="0.55000000000000004">
      <c r="B42" s="21">
        <v>17</v>
      </c>
      <c r="C42" s="350" t="s">
        <v>1128</v>
      </c>
      <c r="D42" s="350" t="s">
        <v>1036</v>
      </c>
      <c r="E42" s="21"/>
      <c r="F42" s="350"/>
      <c r="G42" s="350"/>
    </row>
    <row r="43" spans="2:7" hidden="1" x14ac:dyDescent="0.55000000000000004">
      <c r="B43" s="21"/>
      <c r="C43" s="350"/>
      <c r="D43" s="350"/>
      <c r="E43" s="21"/>
      <c r="F43" s="350"/>
      <c r="G43" s="350"/>
    </row>
    <row r="44" spans="2:7" x14ac:dyDescent="0.55000000000000004">
      <c r="B44" s="368"/>
      <c r="C44" s="369"/>
      <c r="D44" s="369"/>
      <c r="E44" s="368"/>
      <c r="F44" s="369"/>
      <c r="G44" s="369"/>
    </row>
    <row r="45" spans="2:7" ht="25.5" customHeight="1" x14ac:dyDescent="0.55000000000000004">
      <c r="B45" s="370" t="s">
        <v>684</v>
      </c>
      <c r="C45" s="370"/>
      <c r="D45" s="370"/>
      <c r="E45" s="370"/>
      <c r="F45" s="370"/>
      <c r="G45" s="370"/>
    </row>
    <row r="46" spans="2:7" x14ac:dyDescent="0.55000000000000004">
      <c r="B46" s="21">
        <v>1</v>
      </c>
      <c r="C46" s="350" t="s">
        <v>1129</v>
      </c>
      <c r="D46" s="350" t="s">
        <v>1130</v>
      </c>
      <c r="E46" s="21">
        <v>2</v>
      </c>
      <c r="F46" s="350" t="s">
        <v>1131</v>
      </c>
      <c r="G46" s="350" t="s">
        <v>1132</v>
      </c>
    </row>
    <row r="47" spans="2:7" x14ac:dyDescent="0.55000000000000004">
      <c r="B47" s="21">
        <v>3</v>
      </c>
      <c r="C47" s="350" t="s">
        <v>1133</v>
      </c>
      <c r="D47" s="350" t="s">
        <v>1134</v>
      </c>
      <c r="E47" s="21">
        <v>4</v>
      </c>
      <c r="F47" s="350" t="s">
        <v>1135</v>
      </c>
      <c r="G47" s="350" t="s">
        <v>1136</v>
      </c>
    </row>
    <row r="48" spans="2:7" x14ac:dyDescent="0.55000000000000004">
      <c r="B48" s="21">
        <v>5</v>
      </c>
      <c r="C48" s="350" t="s">
        <v>1137</v>
      </c>
      <c r="D48" s="350" t="s">
        <v>1138</v>
      </c>
      <c r="E48" s="21">
        <v>6</v>
      </c>
      <c r="F48" s="350" t="s">
        <v>1139</v>
      </c>
      <c r="G48" s="350" t="s">
        <v>1140</v>
      </c>
    </row>
    <row r="49" spans="2:7" x14ac:dyDescent="0.55000000000000004">
      <c r="B49" s="21">
        <v>7</v>
      </c>
      <c r="C49" s="350" t="s">
        <v>1141</v>
      </c>
      <c r="D49" s="350" t="s">
        <v>1142</v>
      </c>
      <c r="E49" s="21">
        <v>8</v>
      </c>
      <c r="F49" s="350" t="s">
        <v>1143</v>
      </c>
      <c r="G49" s="350" t="s">
        <v>1144</v>
      </c>
    </row>
    <row r="50" spans="2:7" x14ac:dyDescent="0.55000000000000004">
      <c r="B50" s="21">
        <v>9</v>
      </c>
      <c r="C50" s="350" t="s">
        <v>1145</v>
      </c>
      <c r="D50" s="350" t="s">
        <v>1146</v>
      </c>
      <c r="E50" s="21">
        <v>10</v>
      </c>
      <c r="F50" s="350" t="s">
        <v>1147</v>
      </c>
      <c r="G50" s="350" t="s">
        <v>1148</v>
      </c>
    </row>
    <row r="51" spans="2:7" x14ac:dyDescent="0.55000000000000004">
      <c r="B51" s="21">
        <v>11</v>
      </c>
      <c r="C51" s="350" t="s">
        <v>1149</v>
      </c>
      <c r="D51" s="350" t="s">
        <v>1150</v>
      </c>
      <c r="E51" s="21">
        <v>12</v>
      </c>
      <c r="F51" s="350" t="s">
        <v>1151</v>
      </c>
      <c r="G51" s="350" t="s">
        <v>1152</v>
      </c>
    </row>
    <row r="52" spans="2:7" x14ac:dyDescent="0.55000000000000004">
      <c r="B52" s="21">
        <v>13</v>
      </c>
      <c r="C52" s="350" t="s">
        <v>1153</v>
      </c>
      <c r="D52" s="350" t="s">
        <v>1154</v>
      </c>
      <c r="E52" s="21">
        <v>14</v>
      </c>
      <c r="F52" s="350" t="s">
        <v>1155</v>
      </c>
      <c r="G52" s="350" t="s">
        <v>1156</v>
      </c>
    </row>
    <row r="53" spans="2:7" x14ac:dyDescent="0.55000000000000004">
      <c r="B53" s="21">
        <v>15</v>
      </c>
      <c r="C53" s="350" t="s">
        <v>1157</v>
      </c>
      <c r="D53" s="350" t="s">
        <v>1158</v>
      </c>
      <c r="E53" s="21">
        <v>16</v>
      </c>
      <c r="F53" s="350" t="s">
        <v>1159</v>
      </c>
      <c r="G53" s="350" t="s">
        <v>1160</v>
      </c>
    </row>
    <row r="54" spans="2:7" x14ac:dyDescent="0.55000000000000004">
      <c r="B54" s="21">
        <v>17</v>
      </c>
      <c r="C54" s="350" t="s">
        <v>1161</v>
      </c>
      <c r="D54" s="350" t="s">
        <v>1162</v>
      </c>
      <c r="E54" s="21">
        <v>18</v>
      </c>
      <c r="F54" s="350" t="s">
        <v>1163</v>
      </c>
      <c r="G54" s="350" t="s">
        <v>1164</v>
      </c>
    </row>
    <row r="55" spans="2:7" x14ac:dyDescent="0.55000000000000004">
      <c r="B55" s="21">
        <v>19</v>
      </c>
      <c r="C55" s="350" t="s">
        <v>1165</v>
      </c>
      <c r="D55" s="350" t="s">
        <v>1166</v>
      </c>
      <c r="E55" s="21">
        <v>20</v>
      </c>
      <c r="F55" s="350" t="s">
        <v>1167</v>
      </c>
      <c r="G55" s="350" t="s">
        <v>1168</v>
      </c>
    </row>
    <row r="56" spans="2:7" x14ac:dyDescent="0.55000000000000004">
      <c r="B56" s="21">
        <v>21</v>
      </c>
      <c r="C56" s="350" t="s">
        <v>1169</v>
      </c>
      <c r="D56" s="350" t="s">
        <v>1170</v>
      </c>
      <c r="E56" s="21">
        <v>22</v>
      </c>
      <c r="F56" s="350" t="s">
        <v>1171</v>
      </c>
      <c r="G56" s="350" t="s">
        <v>1172</v>
      </c>
    </row>
    <row r="57" spans="2:7" x14ac:dyDescent="0.55000000000000004">
      <c r="B57" s="21">
        <v>23</v>
      </c>
      <c r="C57" s="350" t="s">
        <v>1173</v>
      </c>
      <c r="D57" s="350" t="s">
        <v>1174</v>
      </c>
      <c r="E57" s="21">
        <v>24</v>
      </c>
      <c r="F57" s="350" t="s">
        <v>1175</v>
      </c>
      <c r="G57" s="350" t="s">
        <v>1176</v>
      </c>
    </row>
    <row r="58" spans="2:7" x14ac:dyDescent="0.55000000000000004">
      <c r="B58" s="21">
        <v>25</v>
      </c>
      <c r="C58" s="350" t="s">
        <v>1177</v>
      </c>
      <c r="D58" s="350" t="s">
        <v>1178</v>
      </c>
      <c r="E58" s="21">
        <v>26</v>
      </c>
      <c r="F58" s="350" t="s">
        <v>1179</v>
      </c>
      <c r="G58" s="350" t="s">
        <v>1180</v>
      </c>
    </row>
    <row r="59" spans="2:7" x14ac:dyDescent="0.55000000000000004">
      <c r="B59" s="21">
        <v>27</v>
      </c>
      <c r="C59" s="350" t="s">
        <v>1181</v>
      </c>
      <c r="D59" s="350" t="s">
        <v>1182</v>
      </c>
      <c r="E59" s="21">
        <v>28</v>
      </c>
      <c r="F59" s="350" t="s">
        <v>1183</v>
      </c>
      <c r="G59" s="350" t="s">
        <v>1184</v>
      </c>
    </row>
    <row r="60" spans="2:7" x14ac:dyDescent="0.55000000000000004">
      <c r="B60" s="21">
        <v>29</v>
      </c>
      <c r="C60" s="350" t="s">
        <v>1185</v>
      </c>
      <c r="D60" s="350" t="s">
        <v>1186</v>
      </c>
      <c r="E60" s="21">
        <v>30</v>
      </c>
      <c r="F60" s="350" t="s">
        <v>1187</v>
      </c>
      <c r="G60" s="350" t="s">
        <v>1188</v>
      </c>
    </row>
    <row r="61" spans="2:7" x14ac:dyDescent="0.55000000000000004">
      <c r="B61" s="21">
        <v>31</v>
      </c>
      <c r="C61" s="350" t="s">
        <v>1189</v>
      </c>
      <c r="D61" s="350" t="s">
        <v>1190</v>
      </c>
      <c r="E61" s="21">
        <v>32</v>
      </c>
      <c r="F61" s="350" t="s">
        <v>1191</v>
      </c>
      <c r="G61" s="350" t="s">
        <v>1192</v>
      </c>
    </row>
    <row r="62" spans="2:7" x14ac:dyDescent="0.55000000000000004">
      <c r="B62" s="21">
        <v>33</v>
      </c>
      <c r="C62" s="350" t="s">
        <v>1193</v>
      </c>
      <c r="D62" s="350" t="s">
        <v>1194</v>
      </c>
      <c r="E62" s="21">
        <v>34</v>
      </c>
      <c r="F62" s="350" t="s">
        <v>1195</v>
      </c>
      <c r="G62" s="350" t="s">
        <v>1196</v>
      </c>
    </row>
    <row r="63" spans="2:7" x14ac:dyDescent="0.55000000000000004">
      <c r="B63" s="21">
        <v>35</v>
      </c>
      <c r="C63" s="350" t="s">
        <v>1197</v>
      </c>
      <c r="D63" s="350" t="s">
        <v>1198</v>
      </c>
      <c r="E63" s="21">
        <v>36</v>
      </c>
      <c r="F63" s="350" t="s">
        <v>1199</v>
      </c>
      <c r="G63" s="350" t="s">
        <v>1200</v>
      </c>
    </row>
    <row r="64" spans="2:7" x14ac:dyDescent="0.55000000000000004">
      <c r="B64" s="21">
        <v>37</v>
      </c>
      <c r="C64" s="350" t="s">
        <v>1201</v>
      </c>
      <c r="D64" s="350" t="s">
        <v>1202</v>
      </c>
      <c r="E64" s="21">
        <v>38</v>
      </c>
      <c r="F64" s="350" t="s">
        <v>1203</v>
      </c>
      <c r="G64" s="350" t="s">
        <v>1204</v>
      </c>
    </row>
    <row r="65" spans="2:7" x14ac:dyDescent="0.55000000000000004">
      <c r="B65" s="21">
        <v>39</v>
      </c>
      <c r="C65" s="350" t="s">
        <v>1205</v>
      </c>
      <c r="D65" s="350" t="s">
        <v>1206</v>
      </c>
      <c r="E65" s="21">
        <v>40</v>
      </c>
      <c r="F65" s="350" t="s">
        <v>1207</v>
      </c>
      <c r="G65" s="350" t="s">
        <v>1208</v>
      </c>
    </row>
    <row r="66" spans="2:7" x14ac:dyDescent="0.55000000000000004">
      <c r="B66" s="21">
        <v>41</v>
      </c>
      <c r="C66" s="350" t="s">
        <v>1209</v>
      </c>
      <c r="D66" s="350" t="s">
        <v>1210</v>
      </c>
      <c r="E66" s="21">
        <v>42</v>
      </c>
      <c r="F66" s="350" t="s">
        <v>1211</v>
      </c>
      <c r="G66" s="350" t="s">
        <v>1212</v>
      </c>
    </row>
    <row r="67" spans="2:7" x14ac:dyDescent="0.55000000000000004">
      <c r="B67" s="21">
        <v>43</v>
      </c>
      <c r="C67" s="350" t="s">
        <v>1213</v>
      </c>
      <c r="D67" s="350" t="s">
        <v>1214</v>
      </c>
      <c r="E67" s="21">
        <v>44</v>
      </c>
      <c r="F67" s="350" t="s">
        <v>1215</v>
      </c>
      <c r="G67" s="350" t="s">
        <v>1216</v>
      </c>
    </row>
    <row r="68" spans="2:7" x14ac:dyDescent="0.55000000000000004">
      <c r="B68" s="21">
        <v>45</v>
      </c>
      <c r="C68" s="350" t="s">
        <v>1217</v>
      </c>
      <c r="D68" s="350" t="s">
        <v>1218</v>
      </c>
      <c r="E68" s="21">
        <v>46</v>
      </c>
      <c r="F68" s="350" t="s">
        <v>1219</v>
      </c>
      <c r="G68" s="350" t="s">
        <v>1220</v>
      </c>
    </row>
    <row r="69" spans="2:7" x14ac:dyDescent="0.55000000000000004">
      <c r="B69" s="21">
        <v>47</v>
      </c>
      <c r="C69" s="350" t="s">
        <v>1221</v>
      </c>
      <c r="D69" s="350" t="s">
        <v>1222</v>
      </c>
      <c r="E69" s="21">
        <v>48</v>
      </c>
      <c r="F69" s="350" t="s">
        <v>1223</v>
      </c>
      <c r="G69" s="350" t="s">
        <v>1224</v>
      </c>
    </row>
    <row r="70" spans="2:7" x14ac:dyDescent="0.55000000000000004">
      <c r="B70" s="21">
        <v>49</v>
      </c>
      <c r="C70" s="350" t="s">
        <v>1225</v>
      </c>
      <c r="D70" s="350" t="s">
        <v>1226</v>
      </c>
      <c r="E70" s="21">
        <v>50</v>
      </c>
      <c r="F70" s="350" t="s">
        <v>1227</v>
      </c>
      <c r="G70" s="350" t="s">
        <v>1228</v>
      </c>
    </row>
    <row r="71" spans="2:7" x14ac:dyDescent="0.55000000000000004">
      <c r="B71" s="21">
        <v>51</v>
      </c>
      <c r="C71" s="350" t="s">
        <v>1229</v>
      </c>
      <c r="D71" s="350" t="s">
        <v>1230</v>
      </c>
      <c r="E71" s="21">
        <v>52</v>
      </c>
      <c r="F71" s="350" t="s">
        <v>1231</v>
      </c>
      <c r="G71" s="350" t="s">
        <v>1232</v>
      </c>
    </row>
    <row r="72" spans="2:7" x14ac:dyDescent="0.55000000000000004">
      <c r="B72" s="368"/>
      <c r="C72" s="369"/>
      <c r="D72" s="369"/>
      <c r="E72" s="368"/>
      <c r="F72" s="369"/>
      <c r="G72" s="369"/>
    </row>
    <row r="73" spans="2:7" ht="22.95" customHeight="1" x14ac:dyDescent="0.55000000000000004">
      <c r="B73" s="370" t="s">
        <v>685</v>
      </c>
      <c r="C73" s="370"/>
      <c r="D73" s="370"/>
      <c r="E73" s="370"/>
      <c r="F73" s="370"/>
      <c r="G73" s="370"/>
    </row>
    <row r="74" spans="2:7" ht="10.199999999999999" customHeight="1" x14ac:dyDescent="0.55000000000000004">
      <c r="B74" s="371"/>
      <c r="C74" s="371"/>
      <c r="D74" s="371"/>
      <c r="E74" s="371"/>
      <c r="F74" s="371"/>
      <c r="G74" s="371"/>
    </row>
    <row r="75" spans="2:7" x14ac:dyDescent="0.55000000000000004">
      <c r="B75" s="21">
        <v>1</v>
      </c>
      <c r="C75" s="350" t="s">
        <v>1233</v>
      </c>
      <c r="D75" s="350" t="s">
        <v>1038</v>
      </c>
    </row>
    <row r="78" spans="2:7" x14ac:dyDescent="0.55000000000000004">
      <c r="D78" s="372"/>
      <c r="E78" s="373"/>
    </row>
    <row r="79" spans="2:7" x14ac:dyDescent="0.55000000000000004">
      <c r="D79" s="372"/>
      <c r="E79" s="373"/>
    </row>
    <row r="80" spans="2:7" x14ac:dyDescent="0.55000000000000004">
      <c r="D80" s="372"/>
      <c r="E80" s="373"/>
    </row>
    <row r="81" spans="4:5" x14ac:dyDescent="0.55000000000000004">
      <c r="D81" s="372"/>
      <c r="E81" s="373"/>
    </row>
    <row r="82" spans="4:5" x14ac:dyDescent="0.55000000000000004">
      <c r="D82" s="372"/>
      <c r="E82" s="373"/>
    </row>
    <row r="83" spans="4:5" x14ac:dyDescent="0.55000000000000004">
      <c r="D83" s="372"/>
      <c r="E83" s="373"/>
    </row>
  </sheetData>
  <mergeCells count="8">
    <mergeCell ref="B45:G45"/>
    <mergeCell ref="B73:G74"/>
    <mergeCell ref="B1:G1"/>
    <mergeCell ref="B2:G2"/>
    <mergeCell ref="B3:G3"/>
    <mergeCell ref="B5:G5"/>
    <mergeCell ref="B16:G16"/>
    <mergeCell ref="B33:G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8EBC4-C479-48E9-A77A-26DDC008A361}">
  <sheetPr codeName="Sheet90">
    <pageSetUpPr fitToPage="1"/>
  </sheetPr>
  <dimension ref="A1:L114"/>
  <sheetViews>
    <sheetView view="pageBreakPreview" zoomScaleSheetLayoutView="100" workbookViewId="0">
      <pane ySplit="4" topLeftCell="A95"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5.29296875" customWidth="1"/>
    <col min="4" max="4" width="13.41015625" customWidth="1"/>
    <col min="5" max="5" width="15" customWidth="1"/>
    <col min="6" max="6" width="14.1171875" customWidth="1"/>
    <col min="7" max="7" width="14" customWidth="1"/>
  </cols>
  <sheetData>
    <row r="1" spans="1:7" ht="13.5" customHeight="1" x14ac:dyDescent="0.5">
      <c r="A1" t="s">
        <v>121</v>
      </c>
    </row>
    <row r="2" spans="1:7" ht="14.7" thickBot="1" x14ac:dyDescent="0.55000000000000004">
      <c r="B2" s="374" t="s">
        <v>686</v>
      </c>
      <c r="C2" s="374"/>
      <c r="D2" s="374"/>
      <c r="E2" s="374"/>
      <c r="F2" s="374"/>
      <c r="G2" s="374"/>
    </row>
    <row r="3" spans="1:7" ht="43.2" customHeight="1" thickTop="1" x14ac:dyDescent="0.5">
      <c r="B3" s="375" t="s">
        <v>687</v>
      </c>
      <c r="C3" s="376" t="s">
        <v>688</v>
      </c>
      <c r="D3" s="377" t="s">
        <v>689</v>
      </c>
      <c r="E3" s="377" t="s">
        <v>690</v>
      </c>
      <c r="F3" s="376" t="s">
        <v>691</v>
      </c>
      <c r="G3" s="378" t="s">
        <v>692</v>
      </c>
    </row>
    <row r="4" spans="1:7" ht="15.6" customHeight="1" x14ac:dyDescent="0.5">
      <c r="B4" s="379"/>
      <c r="C4" s="380"/>
      <c r="D4" s="381"/>
      <c r="E4" s="381"/>
      <c r="F4" s="380"/>
      <c r="G4" s="382"/>
    </row>
    <row r="5" spans="1:7" x14ac:dyDescent="0.5">
      <c r="B5" s="383" t="s">
        <v>693</v>
      </c>
      <c r="C5" s="384" t="s">
        <v>694</v>
      </c>
      <c r="D5" s="385">
        <v>13.16</v>
      </c>
      <c r="E5" s="385">
        <v>26.32</v>
      </c>
      <c r="F5" s="386">
        <v>11.819339813075151</v>
      </c>
      <c r="G5" s="387">
        <v>13.219142767852061</v>
      </c>
    </row>
    <row r="6" spans="1:7" x14ac:dyDescent="0.5">
      <c r="B6" s="383"/>
      <c r="C6" s="384" t="s">
        <v>695</v>
      </c>
      <c r="D6" s="385">
        <v>11.816951431680724</v>
      </c>
      <c r="E6" s="385">
        <v>25.006617957047045</v>
      </c>
      <c r="F6" s="386">
        <v>11.819339813075151</v>
      </c>
      <c r="G6" s="387">
        <v>13.219142767852061</v>
      </c>
    </row>
    <row r="7" spans="1:7" x14ac:dyDescent="0.5">
      <c r="B7" s="383"/>
      <c r="C7" s="384" t="s">
        <v>696</v>
      </c>
      <c r="D7" s="385">
        <v>13.363292441443274</v>
      </c>
      <c r="E7" s="385">
        <v>25.73666035639911</v>
      </c>
      <c r="F7" s="386">
        <v>11.819953361764302</v>
      </c>
      <c r="G7" s="387">
        <v>13.222448472761426</v>
      </c>
    </row>
    <row r="8" spans="1:7" x14ac:dyDescent="0.5">
      <c r="B8" s="383"/>
      <c r="C8" s="384" t="s">
        <v>697</v>
      </c>
      <c r="D8" s="385">
        <v>12.318284521778926</v>
      </c>
      <c r="E8" s="385">
        <v>24.609603428122195</v>
      </c>
      <c r="F8" s="386">
        <v>11.819953361764302</v>
      </c>
      <c r="G8" s="387">
        <v>13.222448472761426</v>
      </c>
    </row>
    <row r="9" spans="1:7" x14ac:dyDescent="0.5">
      <c r="B9" s="383"/>
      <c r="C9" s="384" t="s">
        <v>698</v>
      </c>
      <c r="D9" s="385">
        <v>12.929596634805135</v>
      </c>
      <c r="E9" s="385">
        <v>24.718235375371478</v>
      </c>
      <c r="F9" s="386">
        <v>11.819953361764302</v>
      </c>
      <c r="G9" s="387">
        <v>13.222448472761426</v>
      </c>
    </row>
    <row r="10" spans="1:7" x14ac:dyDescent="0.5">
      <c r="B10" s="383"/>
      <c r="C10" s="384" t="s">
        <v>699</v>
      </c>
      <c r="D10" s="385">
        <v>11.951736161531082</v>
      </c>
      <c r="E10" s="385">
        <v>24.181674148504612</v>
      </c>
      <c r="F10" s="386">
        <v>12.002470922651838</v>
      </c>
      <c r="G10" s="387">
        <v>13.380715734342058</v>
      </c>
    </row>
    <row r="11" spans="1:7" x14ac:dyDescent="0.5">
      <c r="B11" s="383"/>
      <c r="C11" s="388" t="s">
        <v>700</v>
      </c>
      <c r="D11" s="385">
        <v>12.612714646290307</v>
      </c>
      <c r="E11" s="385">
        <v>23.566561135287632</v>
      </c>
      <c r="F11" s="386">
        <v>12.002470922651838</v>
      </c>
      <c r="G11" s="387">
        <v>13.380715734342058</v>
      </c>
    </row>
    <row r="12" spans="1:7" ht="15.7" x14ac:dyDescent="0.5">
      <c r="B12" s="383"/>
      <c r="C12" s="384" t="s">
        <v>701</v>
      </c>
      <c r="D12" s="385">
        <v>13.728236982312392</v>
      </c>
      <c r="E12" s="70">
        <v>23.950689239714208</v>
      </c>
      <c r="F12" s="386">
        <v>12.002470922651838</v>
      </c>
      <c r="G12" s="387">
        <v>13.380715734342058</v>
      </c>
    </row>
    <row r="13" spans="1:7" x14ac:dyDescent="0.5">
      <c r="B13" s="383"/>
      <c r="C13" s="384" t="s">
        <v>702</v>
      </c>
      <c r="D13" s="385">
        <v>13.721815808372343</v>
      </c>
      <c r="E13" s="385">
        <v>23.685945520507719</v>
      </c>
      <c r="F13" s="386">
        <v>12.530377839145361</v>
      </c>
      <c r="G13" s="387">
        <v>14.145685684631289</v>
      </c>
    </row>
    <row r="14" spans="1:7" x14ac:dyDescent="0.5">
      <c r="B14" s="383"/>
      <c r="C14" s="384" t="s">
        <v>703</v>
      </c>
      <c r="D14" s="385">
        <v>12.571112904904085</v>
      </c>
      <c r="E14" s="385">
        <v>23.515924128011669</v>
      </c>
      <c r="F14" s="386">
        <v>12.530377839145361</v>
      </c>
      <c r="G14" s="387">
        <v>14.145685684631289</v>
      </c>
    </row>
    <row r="15" spans="1:7" x14ac:dyDescent="0.5">
      <c r="B15" s="383"/>
      <c r="C15" s="389" t="s">
        <v>704</v>
      </c>
      <c r="D15" s="385">
        <v>13.032876950300775</v>
      </c>
      <c r="E15" s="385">
        <v>23.789940070288214</v>
      </c>
      <c r="F15" s="385">
        <v>12.53</v>
      </c>
      <c r="G15" s="390">
        <v>14.15</v>
      </c>
    </row>
    <row r="16" spans="1:7" x14ac:dyDescent="0.5">
      <c r="B16" s="383"/>
      <c r="C16" s="391" t="s">
        <v>705</v>
      </c>
      <c r="D16" s="392">
        <v>15.521353910118552</v>
      </c>
      <c r="E16" s="392">
        <v>26.736604040320529</v>
      </c>
      <c r="F16" s="393">
        <v>14.071350202018699</v>
      </c>
      <c r="G16" s="394">
        <v>15.39683208366394</v>
      </c>
    </row>
    <row r="17" spans="2:12" x14ac:dyDescent="0.5">
      <c r="B17" s="383" t="s">
        <v>706</v>
      </c>
      <c r="C17" s="384" t="s">
        <v>694</v>
      </c>
      <c r="D17" s="385">
        <v>14.300762622233968</v>
      </c>
      <c r="E17" s="385">
        <v>27.22566241426459</v>
      </c>
      <c r="F17" s="386">
        <v>14.071350202018699</v>
      </c>
      <c r="G17" s="387">
        <v>15.39683208366394</v>
      </c>
    </row>
    <row r="18" spans="2:12" x14ac:dyDescent="0.5">
      <c r="B18" s="383"/>
      <c r="C18" s="384" t="s">
        <v>695</v>
      </c>
      <c r="D18" s="385">
        <v>13.218551579964355</v>
      </c>
      <c r="E18" s="385">
        <v>26.553107547303295</v>
      </c>
      <c r="F18" s="386">
        <v>14.071350202018699</v>
      </c>
      <c r="G18" s="387">
        <v>15.39683208366394</v>
      </c>
    </row>
    <row r="19" spans="2:12" x14ac:dyDescent="0.5">
      <c r="B19" s="383"/>
      <c r="C19" s="384" t="s">
        <v>696</v>
      </c>
      <c r="D19" s="385">
        <v>13.558125880008676</v>
      </c>
      <c r="E19" s="385">
        <v>27.429870234647247</v>
      </c>
      <c r="F19" s="386">
        <v>19.238434846525774</v>
      </c>
      <c r="G19" s="387">
        <v>20.289614135064344</v>
      </c>
    </row>
    <row r="20" spans="2:12" x14ac:dyDescent="0.5">
      <c r="B20" s="383"/>
      <c r="C20" s="384" t="s">
        <v>697</v>
      </c>
      <c r="D20" s="385">
        <v>11.657476530295325</v>
      </c>
      <c r="E20" s="385">
        <v>26.981804455216579</v>
      </c>
      <c r="F20" s="386">
        <v>14.071350202018699</v>
      </c>
      <c r="G20" s="387">
        <v>15.39683208366394</v>
      </c>
    </row>
    <row r="21" spans="2:12" x14ac:dyDescent="0.5">
      <c r="B21" s="383"/>
      <c r="C21" s="384" t="s">
        <v>698</v>
      </c>
      <c r="D21" s="385">
        <v>11.39052843731629</v>
      </c>
      <c r="E21" s="385">
        <v>26.611238857128448</v>
      </c>
      <c r="F21" s="386">
        <v>14.071350202018699</v>
      </c>
      <c r="G21" s="387">
        <v>15.39683208366394</v>
      </c>
    </row>
    <row r="22" spans="2:12" ht="15.7" x14ac:dyDescent="0.55000000000000004">
      <c r="B22" s="383"/>
      <c r="C22" s="384" t="s">
        <v>699</v>
      </c>
      <c r="D22" s="385">
        <v>12.492902963707079</v>
      </c>
      <c r="E22" s="385">
        <v>25.723563578194213</v>
      </c>
      <c r="F22" s="386">
        <v>14.071350202018699</v>
      </c>
      <c r="G22" s="387">
        <v>15.39683208366394</v>
      </c>
      <c r="L22" s="34"/>
    </row>
    <row r="23" spans="2:12" x14ac:dyDescent="0.5">
      <c r="B23" s="383"/>
      <c r="C23" s="388" t="s">
        <v>700</v>
      </c>
      <c r="D23" s="385">
        <v>11.079516026474671</v>
      </c>
      <c r="E23" s="385">
        <v>23.356205044862907</v>
      </c>
      <c r="F23" s="386">
        <v>14.071350202018699</v>
      </c>
      <c r="G23" s="387">
        <v>15.39683208366394</v>
      </c>
    </row>
    <row r="24" spans="2:12" x14ac:dyDescent="0.5">
      <c r="B24" s="383"/>
      <c r="C24" s="384" t="s">
        <v>701</v>
      </c>
      <c r="D24" s="385">
        <v>11.552151420117305</v>
      </c>
      <c r="E24" s="385">
        <v>23.785373507739365</v>
      </c>
      <c r="F24" s="386">
        <v>14.071350202018699</v>
      </c>
      <c r="G24" s="387">
        <v>15.39683208366394</v>
      </c>
    </row>
    <row r="25" spans="2:12" x14ac:dyDescent="0.5">
      <c r="B25" s="383"/>
      <c r="C25" s="384" t="s">
        <v>702</v>
      </c>
      <c r="D25" s="385">
        <v>11.02491554951386</v>
      </c>
      <c r="E25" s="385">
        <v>24.165206112175344</v>
      </c>
      <c r="F25" s="386">
        <v>13.483624942682008</v>
      </c>
      <c r="G25" s="387">
        <v>14.802073261258784</v>
      </c>
    </row>
    <row r="26" spans="2:12" x14ac:dyDescent="0.5">
      <c r="B26" s="383"/>
      <c r="C26" s="384" t="s">
        <v>703</v>
      </c>
      <c r="D26" s="385">
        <v>11.12</v>
      </c>
      <c r="E26" s="385">
        <v>23.54</v>
      </c>
      <c r="F26" s="385">
        <v>13.483624942682008</v>
      </c>
      <c r="G26" s="390">
        <v>14.802073261258784</v>
      </c>
    </row>
    <row r="27" spans="2:12" x14ac:dyDescent="0.5">
      <c r="B27" s="383"/>
      <c r="C27" s="389" t="s">
        <v>704</v>
      </c>
      <c r="D27" s="385">
        <v>11.796989885236494</v>
      </c>
      <c r="E27" s="385">
        <v>24.649244718654828</v>
      </c>
      <c r="F27" s="386">
        <v>13.483624942682008</v>
      </c>
      <c r="G27" s="387">
        <v>14.802073261258784</v>
      </c>
    </row>
    <row r="28" spans="2:12" x14ac:dyDescent="0.5">
      <c r="B28" s="383"/>
      <c r="C28" s="391" t="s">
        <v>705</v>
      </c>
      <c r="D28" s="392">
        <v>13.14771003893402</v>
      </c>
      <c r="E28" s="392">
        <v>25.913657073430095</v>
      </c>
      <c r="F28" s="393">
        <v>13.89296707035685</v>
      </c>
      <c r="G28" s="394">
        <v>15.151487358371666</v>
      </c>
    </row>
    <row r="29" spans="2:12" x14ac:dyDescent="0.5">
      <c r="B29" s="383" t="s">
        <v>707</v>
      </c>
      <c r="C29" s="384" t="s">
        <v>694</v>
      </c>
      <c r="D29" s="385">
        <v>10.383118579146172</v>
      </c>
      <c r="E29" s="385">
        <v>24.270848330340463</v>
      </c>
      <c r="F29" s="386">
        <v>13.89296707035685</v>
      </c>
      <c r="G29" s="387">
        <v>15.151487358371666</v>
      </c>
    </row>
    <row r="30" spans="2:12" x14ac:dyDescent="0.5">
      <c r="B30" s="383"/>
      <c r="C30" s="384" t="s">
        <v>695</v>
      </c>
      <c r="D30" s="385">
        <v>11.131220863316514</v>
      </c>
      <c r="E30" s="385">
        <v>24.442674470952021</v>
      </c>
      <c r="F30" s="386">
        <v>13.89296707035685</v>
      </c>
      <c r="G30" s="387">
        <v>15.151487358371666</v>
      </c>
    </row>
    <row r="31" spans="2:12" x14ac:dyDescent="0.5">
      <c r="B31" s="383"/>
      <c r="C31" s="384" t="s">
        <v>696</v>
      </c>
      <c r="D31" s="385">
        <v>10.57147920952751</v>
      </c>
      <c r="E31" s="385">
        <v>23.054486267096429</v>
      </c>
      <c r="F31" s="386">
        <v>13.391815801554612</v>
      </c>
      <c r="G31" s="387">
        <v>14.682035727312943</v>
      </c>
    </row>
    <row r="32" spans="2:12" x14ac:dyDescent="0.5">
      <c r="B32" s="383"/>
      <c r="C32" s="384" t="s">
        <v>697</v>
      </c>
      <c r="D32" s="385">
        <v>10.260600069052655</v>
      </c>
      <c r="E32" s="385">
        <v>23.096153069068855</v>
      </c>
      <c r="F32" s="386">
        <v>13.391815801554612</v>
      </c>
      <c r="G32" s="387">
        <v>14.682035727312943</v>
      </c>
    </row>
    <row r="33" spans="2:7" x14ac:dyDescent="0.5">
      <c r="B33" s="383"/>
      <c r="C33" s="384" t="s">
        <v>698</v>
      </c>
      <c r="D33" s="385">
        <v>10.890369486583452</v>
      </c>
      <c r="E33" s="385">
        <v>23.495406718067652</v>
      </c>
      <c r="F33" s="386">
        <v>13.391815801554612</v>
      </c>
      <c r="G33" s="387">
        <v>14.682035727312943</v>
      </c>
    </row>
    <row r="34" spans="2:7" x14ac:dyDescent="0.5">
      <c r="B34" s="383"/>
      <c r="C34" s="384" t="s">
        <v>699</v>
      </c>
      <c r="D34" s="385">
        <v>10.37579745794149</v>
      </c>
      <c r="E34" s="385">
        <v>23.341427634856426</v>
      </c>
      <c r="F34" s="386">
        <v>13.391815801554612</v>
      </c>
      <c r="G34" s="387">
        <v>14.682035727312943</v>
      </c>
    </row>
    <row r="35" spans="2:7" x14ac:dyDescent="0.5">
      <c r="B35" s="383"/>
      <c r="C35" s="388" t="s">
        <v>700</v>
      </c>
      <c r="D35" s="385">
        <v>9.8709169369038623</v>
      </c>
      <c r="E35" s="385">
        <v>22.007541111674627</v>
      </c>
      <c r="F35" s="386">
        <v>12.617144131548457</v>
      </c>
      <c r="G35" s="387">
        <v>13.931345731625552</v>
      </c>
    </row>
    <row r="36" spans="2:7" x14ac:dyDescent="0.5">
      <c r="B36" s="383"/>
      <c r="C36" s="384" t="s">
        <v>701</v>
      </c>
      <c r="D36" s="385">
        <v>10.35466446115827</v>
      </c>
      <c r="E36" s="385">
        <v>22.560696317196342</v>
      </c>
      <c r="F36" s="386">
        <v>12.617144131548457</v>
      </c>
      <c r="G36" s="387">
        <v>13.931345731625552</v>
      </c>
    </row>
    <row r="37" spans="2:7" x14ac:dyDescent="0.5">
      <c r="B37" s="383"/>
      <c r="C37" s="384" t="s">
        <v>702</v>
      </c>
      <c r="D37" s="385">
        <v>10.680037361660986</v>
      </c>
      <c r="E37" s="385">
        <v>23.114249303778823</v>
      </c>
      <c r="F37" s="386">
        <v>12.579751587733625</v>
      </c>
      <c r="G37" s="387">
        <v>14.000994515942654</v>
      </c>
    </row>
    <row r="38" spans="2:7" x14ac:dyDescent="0.5">
      <c r="B38" s="383"/>
      <c r="C38" s="384" t="s">
        <v>703</v>
      </c>
      <c r="D38" s="385">
        <v>10.18957184185826</v>
      </c>
      <c r="E38" s="385">
        <v>22.061474927702847</v>
      </c>
      <c r="F38" s="386">
        <v>12.579751587733625</v>
      </c>
      <c r="G38" s="387">
        <v>14.000994515942654</v>
      </c>
    </row>
    <row r="39" spans="2:7" x14ac:dyDescent="0.5">
      <c r="B39" s="383"/>
      <c r="C39" s="389" t="s">
        <v>704</v>
      </c>
      <c r="D39" s="385">
        <v>10.223916840437862</v>
      </c>
      <c r="E39" s="385">
        <v>23.814244136422204</v>
      </c>
      <c r="F39" s="386">
        <v>12.579751587733625</v>
      </c>
      <c r="G39" s="387">
        <v>14.000994515942654</v>
      </c>
    </row>
    <row r="40" spans="2:7" x14ac:dyDescent="0.5">
      <c r="B40" s="383"/>
      <c r="C40" s="391" t="s">
        <v>705</v>
      </c>
      <c r="D40" s="392">
        <v>11.57947623786181</v>
      </c>
      <c r="E40" s="392">
        <v>25.057645605585833</v>
      </c>
      <c r="F40" s="393">
        <v>12.774389599059283</v>
      </c>
      <c r="G40" s="394">
        <v>14.28518845794096</v>
      </c>
    </row>
    <row r="41" spans="2:7" x14ac:dyDescent="0.5">
      <c r="B41" s="383" t="s">
        <v>708</v>
      </c>
      <c r="C41" s="384" t="s">
        <v>694</v>
      </c>
      <c r="D41" s="385">
        <v>9.7899999999999991</v>
      </c>
      <c r="E41" s="385">
        <v>23.75</v>
      </c>
      <c r="F41" s="386">
        <v>12.774389599059283</v>
      </c>
      <c r="G41" s="387">
        <v>14.28518845794096</v>
      </c>
    </row>
    <row r="42" spans="2:7" x14ac:dyDescent="0.5">
      <c r="B42" s="383"/>
      <c r="C42" s="384" t="s">
        <v>695</v>
      </c>
      <c r="D42" s="385">
        <v>9.6250693535096019</v>
      </c>
      <c r="E42" s="385">
        <v>23.245652103222671</v>
      </c>
      <c r="F42" s="386">
        <v>12.774389599059283</v>
      </c>
      <c r="G42" s="387">
        <v>14.28518845794096</v>
      </c>
    </row>
    <row r="43" spans="2:7" x14ac:dyDescent="0.5">
      <c r="B43" s="383"/>
      <c r="C43" s="384" t="s">
        <v>696</v>
      </c>
      <c r="D43" s="385">
        <v>9.6241651403472392</v>
      </c>
      <c r="E43" s="385">
        <v>23.244645451803962</v>
      </c>
      <c r="F43" s="386">
        <v>12.774389599059283</v>
      </c>
      <c r="G43" s="387">
        <v>14.28518845794096</v>
      </c>
    </row>
    <row r="44" spans="2:7" x14ac:dyDescent="0.5">
      <c r="B44" s="383"/>
      <c r="C44" s="384" t="s">
        <v>697</v>
      </c>
      <c r="D44" s="385">
        <v>10.14294912092959</v>
      </c>
      <c r="E44" s="385">
        <v>23.324402745791893</v>
      </c>
      <c r="F44" s="386">
        <v>12.487061214849648</v>
      </c>
      <c r="G44" s="387">
        <v>14.193523369794079</v>
      </c>
    </row>
    <row r="45" spans="2:7" x14ac:dyDescent="0.5">
      <c r="B45" s="383"/>
      <c r="C45" s="384" t="s">
        <v>698</v>
      </c>
      <c r="D45" s="385">
        <v>9.7488743821116994</v>
      </c>
      <c r="E45" s="385">
        <v>23.14275945277603</v>
      </c>
      <c r="F45" s="386">
        <v>12.487061214849648</v>
      </c>
      <c r="G45" s="387">
        <v>14.193523369794079</v>
      </c>
    </row>
    <row r="46" spans="2:7" x14ac:dyDescent="0.5">
      <c r="B46" s="383"/>
      <c r="C46" s="384" t="s">
        <v>699</v>
      </c>
      <c r="D46" s="385">
        <v>9.2075948405192616</v>
      </c>
      <c r="E46" s="385">
        <v>22.975204030839627</v>
      </c>
      <c r="F46" s="386">
        <v>12.147208074608924</v>
      </c>
      <c r="G46" s="387">
        <v>13.973284490890556</v>
      </c>
    </row>
    <row r="47" spans="2:7" x14ac:dyDescent="0.5">
      <c r="B47" s="383"/>
      <c r="C47" s="388" t="s">
        <v>700</v>
      </c>
      <c r="D47" s="385">
        <v>8.999314297898664</v>
      </c>
      <c r="E47" s="385">
        <v>22.042218422207377</v>
      </c>
      <c r="F47" s="386">
        <v>12.147208074608924</v>
      </c>
      <c r="G47" s="387">
        <v>13.973284490890556</v>
      </c>
    </row>
    <row r="48" spans="2:7" x14ac:dyDescent="0.5">
      <c r="B48" s="383"/>
      <c r="C48" s="384" t="s">
        <v>701</v>
      </c>
      <c r="D48" s="385">
        <v>9.8990154085577799</v>
      </c>
      <c r="E48" s="385">
        <v>22.641497683882665</v>
      </c>
      <c r="F48" s="386">
        <v>12.147208074608924</v>
      </c>
      <c r="G48" s="387">
        <v>13.973284490890556</v>
      </c>
    </row>
    <row r="49" spans="2:7" x14ac:dyDescent="0.5">
      <c r="B49" s="383"/>
      <c r="C49" s="384" t="s">
        <v>702</v>
      </c>
      <c r="D49" s="385">
        <v>9.4958269213608464</v>
      </c>
      <c r="E49" s="385">
        <v>23.095987955769512</v>
      </c>
      <c r="F49" s="386">
        <v>11.548622690689683</v>
      </c>
      <c r="G49" s="387">
        <v>13.590746210778395</v>
      </c>
    </row>
    <row r="50" spans="2:7" x14ac:dyDescent="0.5">
      <c r="B50" s="383"/>
      <c r="C50" s="384" t="s">
        <v>703</v>
      </c>
      <c r="D50" s="385">
        <v>9.2796385694012518</v>
      </c>
      <c r="E50" s="385">
        <v>24.820682397950556</v>
      </c>
      <c r="F50" s="386">
        <v>11.548622690689683</v>
      </c>
      <c r="G50" s="387">
        <v>13.590746210778395</v>
      </c>
    </row>
    <row r="51" spans="2:7" x14ac:dyDescent="0.5">
      <c r="B51" s="383"/>
      <c r="C51" s="389" t="s">
        <v>704</v>
      </c>
      <c r="D51" s="385">
        <v>9.3604774590760655</v>
      </c>
      <c r="E51" s="385">
        <v>25.526540216291711</v>
      </c>
      <c r="F51" s="386">
        <v>11.548622690689683</v>
      </c>
      <c r="G51" s="387">
        <v>13.590746210778395</v>
      </c>
    </row>
    <row r="52" spans="2:7" x14ac:dyDescent="0.5">
      <c r="B52" s="383"/>
      <c r="C52" s="391" t="s">
        <v>705</v>
      </c>
      <c r="D52" s="392">
        <v>12.210815764405197</v>
      </c>
      <c r="E52" s="392">
        <v>27.898577374655332</v>
      </c>
      <c r="F52" s="393">
        <v>12.014146999498589</v>
      </c>
      <c r="G52" s="394">
        <v>14.157046607132401</v>
      </c>
    </row>
    <row r="53" spans="2:7" x14ac:dyDescent="0.5">
      <c r="B53" s="383" t="s">
        <v>709</v>
      </c>
      <c r="C53" s="384" t="s">
        <v>694</v>
      </c>
      <c r="D53" s="385">
        <v>12.430431496076304</v>
      </c>
      <c r="E53" s="385">
        <v>28.329459684612701</v>
      </c>
      <c r="F53" s="386">
        <v>12.014146999498589</v>
      </c>
      <c r="G53" s="387">
        <v>14.157046607132401</v>
      </c>
    </row>
    <row r="54" spans="2:7" x14ac:dyDescent="0.5">
      <c r="B54" s="383"/>
      <c r="C54" s="384" t="s">
        <v>695</v>
      </c>
      <c r="D54" s="385">
        <v>12.746177928028843</v>
      </c>
      <c r="E54" s="385">
        <v>28.259459386582026</v>
      </c>
      <c r="F54" s="386">
        <v>12.014146999498589</v>
      </c>
      <c r="G54" s="387">
        <v>14.157046607132401</v>
      </c>
    </row>
    <row r="55" spans="2:7" x14ac:dyDescent="0.5">
      <c r="B55" s="383"/>
      <c r="C55" s="384" t="s">
        <v>696</v>
      </c>
      <c r="D55" s="385">
        <v>11.977889342198337</v>
      </c>
      <c r="E55" s="385">
        <v>27.702608887569909</v>
      </c>
      <c r="F55" s="386">
        <v>11.737948356335249</v>
      </c>
      <c r="G55" s="387">
        <v>14.029879758153923</v>
      </c>
    </row>
    <row r="56" spans="2:7" x14ac:dyDescent="0.5">
      <c r="B56" s="383"/>
      <c r="C56" s="384" t="s">
        <v>697</v>
      </c>
      <c r="D56" s="385">
        <v>11.766262665255409</v>
      </c>
      <c r="E56" s="385">
        <v>27.83414439667833</v>
      </c>
      <c r="F56" s="386">
        <v>11.737948356335249</v>
      </c>
      <c r="G56" s="387">
        <v>14.029879758153923</v>
      </c>
    </row>
    <row r="57" spans="2:7" x14ac:dyDescent="0.5">
      <c r="B57" s="383"/>
      <c r="C57" s="384" t="s">
        <v>698</v>
      </c>
      <c r="D57" s="385">
        <v>10.513870956160943</v>
      </c>
      <c r="E57" s="385">
        <v>26.650674928838473</v>
      </c>
      <c r="F57" s="386">
        <v>11.737948356335249</v>
      </c>
      <c r="G57" s="387">
        <v>14.029879758153923</v>
      </c>
    </row>
    <row r="58" spans="2:7" x14ac:dyDescent="0.5">
      <c r="B58" s="383"/>
      <c r="C58" s="384" t="s">
        <v>699</v>
      </c>
      <c r="D58" s="385">
        <v>10.46537430457175</v>
      </c>
      <c r="E58" s="385">
        <v>26.778968763345262</v>
      </c>
      <c r="F58" s="386">
        <v>11.559128830288401</v>
      </c>
      <c r="G58" s="387">
        <v>13.855150407606894</v>
      </c>
    </row>
    <row r="59" spans="2:7" x14ac:dyDescent="0.5">
      <c r="B59" s="383"/>
      <c r="C59" s="388" t="s">
        <v>700</v>
      </c>
      <c r="D59" s="385">
        <v>8.5171693033757467</v>
      </c>
      <c r="E59" s="385">
        <v>25.051912698659528</v>
      </c>
      <c r="F59" s="386">
        <v>11.559128830288401</v>
      </c>
      <c r="G59" s="387">
        <v>13.855150407606894</v>
      </c>
    </row>
    <row r="60" spans="2:7" x14ac:dyDescent="0.5">
      <c r="B60" s="383"/>
      <c r="C60" s="384" t="s">
        <v>701</v>
      </c>
      <c r="D60" s="385">
        <v>8.1927381778316501</v>
      </c>
      <c r="E60" s="385">
        <v>24.843453677579866</v>
      </c>
      <c r="F60" s="386">
        <v>11.559128830288401</v>
      </c>
      <c r="G60" s="387">
        <v>13.855150407606894</v>
      </c>
    </row>
    <row r="61" spans="2:7" x14ac:dyDescent="0.5">
      <c r="B61" s="383"/>
      <c r="C61" s="384" t="s">
        <v>702</v>
      </c>
      <c r="D61" s="385">
        <v>8.1062027040308671</v>
      </c>
      <c r="E61" s="385">
        <v>23.709509608831265</v>
      </c>
      <c r="F61" s="386">
        <v>11.084873976009721</v>
      </c>
      <c r="G61" s="387">
        <v>13.639701821862628</v>
      </c>
    </row>
    <row r="62" spans="2:7" x14ac:dyDescent="0.5">
      <c r="B62" s="383"/>
      <c r="C62" s="384" t="s">
        <v>703</v>
      </c>
      <c r="D62" s="385">
        <v>8.4531567052804437</v>
      </c>
      <c r="E62" s="385">
        <v>23.921589361301592</v>
      </c>
      <c r="F62" s="386">
        <v>11.084873976009721</v>
      </c>
      <c r="G62" s="387">
        <v>13.639701821862628</v>
      </c>
    </row>
    <row r="63" spans="2:7" x14ac:dyDescent="0.5">
      <c r="B63" s="383"/>
      <c r="C63" s="389" t="s">
        <v>704</v>
      </c>
      <c r="D63" s="385">
        <v>7.9661429557081682</v>
      </c>
      <c r="E63" s="385">
        <v>24.012279440293252</v>
      </c>
      <c r="F63" s="386">
        <v>11.084873976009721</v>
      </c>
      <c r="G63" s="387">
        <v>13.639701821862628</v>
      </c>
    </row>
    <row r="64" spans="2:7" x14ac:dyDescent="0.5">
      <c r="B64" s="383"/>
      <c r="C64" s="391" t="s">
        <v>705</v>
      </c>
      <c r="D64" s="392">
        <v>9.5136027876060982</v>
      </c>
      <c r="E64" s="392">
        <v>26.180042309046598</v>
      </c>
      <c r="F64" s="393">
        <v>11.119414213475601</v>
      </c>
      <c r="G64" s="394">
        <v>14.185728960162095</v>
      </c>
    </row>
    <row r="65" spans="2:7" x14ac:dyDescent="0.5">
      <c r="B65" s="383" t="s">
        <v>710</v>
      </c>
      <c r="C65" s="384" t="s">
        <v>694</v>
      </c>
      <c r="D65" s="385">
        <v>7.2397591322019323</v>
      </c>
      <c r="E65" s="385">
        <v>24.236822716837246</v>
      </c>
      <c r="F65" s="386">
        <v>11.119414213475608</v>
      </c>
      <c r="G65" s="387">
        <v>14.185728960162095</v>
      </c>
    </row>
    <row r="66" spans="2:7" x14ac:dyDescent="0.5">
      <c r="B66" s="383"/>
      <c r="C66" s="384" t="s">
        <v>695</v>
      </c>
      <c r="D66" s="385">
        <v>7.6563682004138283</v>
      </c>
      <c r="E66" s="385">
        <v>23.612741471120451</v>
      </c>
      <c r="F66" s="386">
        <v>11.119414213475608</v>
      </c>
      <c r="G66" s="387">
        <v>14.185728960162095</v>
      </c>
    </row>
    <row r="67" spans="2:7" x14ac:dyDescent="0.5">
      <c r="B67" s="383"/>
      <c r="C67" s="384" t="s">
        <v>696</v>
      </c>
      <c r="D67" s="385">
        <v>7.9156746045439377</v>
      </c>
      <c r="E67" s="385">
        <v>23.127433796822665</v>
      </c>
      <c r="F67" s="386">
        <v>10.56053542285024</v>
      </c>
      <c r="G67" s="387">
        <v>13.525016430005495</v>
      </c>
    </row>
    <row r="68" spans="2:7" x14ac:dyDescent="0.5">
      <c r="B68" s="383"/>
      <c r="C68" s="384" t="s">
        <v>697</v>
      </c>
      <c r="D68" s="385">
        <v>7.2508635888635746</v>
      </c>
      <c r="E68" s="385">
        <v>22.551608682534479</v>
      </c>
      <c r="F68" s="386">
        <v>10.56053542285024</v>
      </c>
      <c r="G68" s="387">
        <v>13.525016430005495</v>
      </c>
    </row>
    <row r="69" spans="2:7" x14ac:dyDescent="0.5">
      <c r="B69" s="383"/>
      <c r="C69" s="384" t="s">
        <v>698</v>
      </c>
      <c r="D69" s="385">
        <v>6.9532414969145862</v>
      </c>
      <c r="E69" s="385">
        <v>21.86674284653073</v>
      </c>
      <c r="F69" s="386">
        <v>10.56053542285024</v>
      </c>
      <c r="G69" s="387">
        <v>13.525016430005495</v>
      </c>
    </row>
    <row r="70" spans="2:7" x14ac:dyDescent="0.5">
      <c r="B70" s="383"/>
      <c r="C70" s="384" t="s">
        <v>699</v>
      </c>
      <c r="D70" s="385">
        <v>7.8067259889863543</v>
      </c>
      <c r="E70" s="385">
        <v>22.997791886202222</v>
      </c>
      <c r="F70" s="386">
        <v>10.49859677330252</v>
      </c>
      <c r="G70" s="387">
        <v>13.429390405203897</v>
      </c>
    </row>
    <row r="71" spans="2:7" x14ac:dyDescent="0.5">
      <c r="B71" s="383"/>
      <c r="C71" s="388" t="s">
        <v>700</v>
      </c>
      <c r="D71" s="385">
        <v>6.9938841293951599</v>
      </c>
      <c r="E71" s="385">
        <v>23.196504924395736</v>
      </c>
      <c r="F71" s="386">
        <v>10.49859677330252</v>
      </c>
      <c r="G71" s="387">
        <v>13.429390405203897</v>
      </c>
    </row>
    <row r="72" spans="2:7" x14ac:dyDescent="0.5">
      <c r="B72" s="383"/>
      <c r="C72" s="384" t="s">
        <v>701</v>
      </c>
      <c r="D72" s="385">
        <v>7.039836177716623</v>
      </c>
      <c r="E72" s="385">
        <v>23.37948766025907</v>
      </c>
      <c r="F72" s="386">
        <v>10.49859677330252</v>
      </c>
      <c r="G72" s="387">
        <v>13.429390405203897</v>
      </c>
    </row>
    <row r="73" spans="2:7" x14ac:dyDescent="0.5">
      <c r="B73" s="383"/>
      <c r="C73" s="384" t="s">
        <v>702</v>
      </c>
      <c r="D73" s="385">
        <v>7.3568586687581403</v>
      </c>
      <c r="E73" s="385">
        <v>24.426745702170653</v>
      </c>
      <c r="F73" s="386">
        <v>10.681150892207606</v>
      </c>
      <c r="G73" s="387">
        <v>13.582633056154224</v>
      </c>
    </row>
    <row r="74" spans="2:7" x14ac:dyDescent="0.5">
      <c r="B74" s="383"/>
      <c r="C74" s="384" t="s">
        <v>703</v>
      </c>
      <c r="D74" s="385">
        <v>6.7774881645754252</v>
      </c>
      <c r="E74" s="385">
        <v>24.043022752227458</v>
      </c>
      <c r="F74" s="386">
        <v>10.681150892207606</v>
      </c>
      <c r="G74" s="387">
        <v>13.582633056154224</v>
      </c>
    </row>
    <row r="75" spans="2:7" x14ac:dyDescent="0.5">
      <c r="B75" s="383"/>
      <c r="C75" s="389" t="s">
        <v>704</v>
      </c>
      <c r="D75" s="385">
        <v>7.0752657550652671</v>
      </c>
      <c r="E75" s="385">
        <v>25.376984352117653</v>
      </c>
      <c r="F75" s="386">
        <v>10.681150892207606</v>
      </c>
      <c r="G75" s="387">
        <v>13.582633056154224</v>
      </c>
    </row>
    <row r="76" spans="2:7" x14ac:dyDescent="0.5">
      <c r="B76" s="383"/>
      <c r="C76" s="391" t="s">
        <v>705</v>
      </c>
      <c r="D76" s="392">
        <v>8.0343832614360782</v>
      </c>
      <c r="E76" s="392">
        <v>27.519389234298998</v>
      </c>
      <c r="F76" s="393">
        <v>10.806909263282272</v>
      </c>
      <c r="G76" s="394">
        <v>13.576576873892053</v>
      </c>
    </row>
    <row r="77" spans="2:7" x14ac:dyDescent="0.5">
      <c r="B77" s="383" t="s">
        <v>711</v>
      </c>
      <c r="C77" s="384" t="s">
        <v>694</v>
      </c>
      <c r="D77" s="385">
        <v>6.5098453187751524</v>
      </c>
      <c r="E77" s="385">
        <v>25.160521399162462</v>
      </c>
      <c r="F77" s="386">
        <v>10.806909263282272</v>
      </c>
      <c r="G77" s="387">
        <v>13.576576873892053</v>
      </c>
    </row>
    <row r="78" spans="2:7" x14ac:dyDescent="0.5">
      <c r="B78" s="383"/>
      <c r="C78" s="384" t="s">
        <v>695</v>
      </c>
      <c r="D78" s="385">
        <v>7.1452592561247572</v>
      </c>
      <c r="E78" s="385">
        <v>25.172272499865826</v>
      </c>
      <c r="F78" s="386">
        <v>10.806909263282272</v>
      </c>
      <c r="G78" s="387">
        <v>13.576576873892053</v>
      </c>
    </row>
    <row r="79" spans="2:7" x14ac:dyDescent="0.5">
      <c r="B79" s="383"/>
      <c r="C79" s="384" t="s">
        <v>696</v>
      </c>
      <c r="D79" s="385">
        <v>7.8027272468889715</v>
      </c>
      <c r="E79" s="385">
        <v>25.023719059396271</v>
      </c>
      <c r="F79" s="386">
        <v>10.637261310209341</v>
      </c>
      <c r="G79" s="387">
        <v>13.464251548563832</v>
      </c>
    </row>
    <row r="80" spans="2:7" x14ac:dyDescent="0.5">
      <c r="B80" s="383"/>
      <c r="C80" s="395" t="s">
        <v>697</v>
      </c>
      <c r="D80" s="396">
        <v>7.4468931115666184</v>
      </c>
      <c r="E80" s="396">
        <v>24.280535552404388</v>
      </c>
      <c r="F80" s="397">
        <v>10.637261310209341</v>
      </c>
      <c r="G80" s="398">
        <v>13.464251548563832</v>
      </c>
    </row>
    <row r="81" spans="2:7" x14ac:dyDescent="0.5">
      <c r="B81" s="383"/>
      <c r="C81" s="395" t="s">
        <v>698</v>
      </c>
      <c r="D81" s="396">
        <v>7.47</v>
      </c>
      <c r="E81" s="396">
        <v>24.58</v>
      </c>
      <c r="F81" s="397">
        <v>10.64</v>
      </c>
      <c r="G81" s="398">
        <v>13.46</v>
      </c>
    </row>
    <row r="82" spans="2:7" x14ac:dyDescent="0.5">
      <c r="B82" s="383"/>
      <c r="C82" s="395" t="s">
        <v>699</v>
      </c>
      <c r="D82" s="396">
        <v>7.93</v>
      </c>
      <c r="E82" s="396">
        <v>24.29</v>
      </c>
      <c r="F82" s="397">
        <v>10.210000000000001</v>
      </c>
      <c r="G82" s="398">
        <v>13.06</v>
      </c>
    </row>
    <row r="83" spans="2:7" x14ac:dyDescent="0.5">
      <c r="B83" s="383"/>
      <c r="C83" s="395" t="s">
        <v>700</v>
      </c>
      <c r="D83" s="396">
        <v>6.88</v>
      </c>
      <c r="E83" s="396">
        <v>23.52</v>
      </c>
      <c r="F83" s="397">
        <v>10.212187735326593</v>
      </c>
      <c r="G83" s="398">
        <v>13.057180007825817</v>
      </c>
    </row>
    <row r="84" spans="2:7" x14ac:dyDescent="0.5">
      <c r="B84" s="383"/>
      <c r="C84" s="395" t="s">
        <v>701</v>
      </c>
      <c r="D84" s="396">
        <v>7.1608172689458574</v>
      </c>
      <c r="E84" s="396">
        <v>24.300280732421349</v>
      </c>
      <c r="F84" s="397">
        <v>10.094189723289936</v>
      </c>
      <c r="G84" s="398">
        <v>12.917839740843776</v>
      </c>
    </row>
    <row r="85" spans="2:7" x14ac:dyDescent="0.5">
      <c r="B85" s="383"/>
      <c r="C85" s="395" t="s">
        <v>702</v>
      </c>
      <c r="D85" s="396">
        <v>7.1036777536171938</v>
      </c>
      <c r="E85" s="396">
        <v>24.597990471196631</v>
      </c>
      <c r="F85" s="397">
        <v>10.222174099195181</v>
      </c>
      <c r="G85" s="398">
        <v>13.042310350378699</v>
      </c>
    </row>
    <row r="86" spans="2:7" x14ac:dyDescent="0.5">
      <c r="B86" s="383"/>
      <c r="C86" s="395" t="s">
        <v>703</v>
      </c>
      <c r="D86" s="396">
        <v>6.8562507752171582</v>
      </c>
      <c r="E86" s="396">
        <v>24.696842854786439</v>
      </c>
      <c r="F86" s="397">
        <v>10.156648586639761</v>
      </c>
      <c r="G86" s="398">
        <v>12.991554789991129</v>
      </c>
    </row>
    <row r="87" spans="2:7" x14ac:dyDescent="0.5">
      <c r="B87" s="383"/>
      <c r="C87" s="395" t="s">
        <v>704</v>
      </c>
      <c r="D87" s="396">
        <v>7.1809423434170103</v>
      </c>
      <c r="E87" s="396">
        <v>25.205249845640282</v>
      </c>
      <c r="F87" s="397">
        <v>10.135485749690387</v>
      </c>
      <c r="G87" s="398">
        <v>12.967652134124588</v>
      </c>
    </row>
    <row r="88" spans="2:7" x14ac:dyDescent="0.5">
      <c r="B88" s="383"/>
      <c r="C88" s="391" t="s">
        <v>705</v>
      </c>
      <c r="D88" s="392">
        <v>8.048437675689236</v>
      </c>
      <c r="E88" s="392">
        <v>27.095827441565906</v>
      </c>
      <c r="F88" s="393">
        <v>10.585051224201854</v>
      </c>
      <c r="G88" s="394">
        <v>13.421145519453477</v>
      </c>
    </row>
    <row r="89" spans="2:7" x14ac:dyDescent="0.5">
      <c r="B89" s="383" t="s">
        <v>712</v>
      </c>
      <c r="C89" s="384" t="s">
        <v>694</v>
      </c>
      <c r="D89" s="385">
        <v>6.7534472835053361</v>
      </c>
      <c r="E89" s="385">
        <v>25.684323118039742</v>
      </c>
      <c r="F89" s="386">
        <v>10.477238477582306</v>
      </c>
      <c r="G89" s="387">
        <v>13.283615701745738</v>
      </c>
    </row>
    <row r="90" spans="2:7" x14ac:dyDescent="0.5">
      <c r="B90" s="383"/>
      <c r="C90" s="384" t="s">
        <v>695</v>
      </c>
      <c r="D90" s="396">
        <v>7.395800161958678</v>
      </c>
      <c r="E90" s="396">
        <v>26.47980432692875</v>
      </c>
      <c r="F90" s="397">
        <v>10.345225762717776</v>
      </c>
      <c r="G90" s="399">
        <v>13.116242765092949</v>
      </c>
    </row>
    <row r="91" spans="2:7" x14ac:dyDescent="0.5">
      <c r="B91" s="383"/>
      <c r="C91" s="395" t="s">
        <v>696</v>
      </c>
      <c r="D91" s="396">
        <v>7.3124102735474024</v>
      </c>
      <c r="E91" s="396">
        <v>27.459988815107224</v>
      </c>
      <c r="F91" s="397">
        <v>10.191169346463976</v>
      </c>
      <c r="G91" s="399">
        <v>12.981004367218903</v>
      </c>
    </row>
    <row r="92" spans="2:7" x14ac:dyDescent="0.5">
      <c r="B92" s="383"/>
      <c r="C92" s="395" t="s">
        <v>697</v>
      </c>
      <c r="D92" s="396">
        <v>7.6648334355488092</v>
      </c>
      <c r="E92" s="396">
        <v>27.501059659617244</v>
      </c>
      <c r="F92" s="397">
        <v>10.148528717269215</v>
      </c>
      <c r="G92" s="399">
        <v>12.95367385356481</v>
      </c>
    </row>
    <row r="93" spans="2:7" x14ac:dyDescent="0.5">
      <c r="B93" s="383"/>
      <c r="C93" s="395" t="s">
        <v>698</v>
      </c>
      <c r="D93" s="396">
        <v>7.1953582831114904</v>
      </c>
      <c r="E93" s="396">
        <v>27.360203836652691</v>
      </c>
      <c r="F93" s="397">
        <v>9.8555484048631747</v>
      </c>
      <c r="G93" s="399">
        <v>12.644350039292751</v>
      </c>
    </row>
    <row r="94" spans="2:7" x14ac:dyDescent="0.5">
      <c r="B94" s="383"/>
      <c r="C94" s="395" t="s">
        <v>699</v>
      </c>
      <c r="D94" s="396">
        <v>7.5087054446877239</v>
      </c>
      <c r="E94" s="396">
        <v>27.111108114210619</v>
      </c>
      <c r="F94" s="397">
        <v>9.7289699986393856</v>
      </c>
      <c r="G94" s="399">
        <v>12.56167593946032</v>
      </c>
    </row>
    <row r="95" spans="2:7" x14ac:dyDescent="0.5">
      <c r="B95" s="383"/>
      <c r="C95" s="395" t="s">
        <v>700</v>
      </c>
      <c r="D95" s="396">
        <v>6.9120680180706229</v>
      </c>
      <c r="E95" s="396">
        <v>26.621872919305645</v>
      </c>
      <c r="F95" s="397">
        <v>9.6007854392639747</v>
      </c>
      <c r="G95" s="399">
        <v>12.361175486982592</v>
      </c>
    </row>
    <row r="96" spans="2:7" x14ac:dyDescent="0.5">
      <c r="B96" s="383"/>
      <c r="C96" s="395" t="s">
        <v>701</v>
      </c>
      <c r="D96" s="396">
        <v>6.4644850670614051</v>
      </c>
      <c r="E96" s="396">
        <v>26.433994180463866</v>
      </c>
      <c r="F96" s="397">
        <v>9.630616564747184</v>
      </c>
      <c r="G96" s="399">
        <v>12.442484149979609</v>
      </c>
    </row>
    <row r="97" spans="2:7" x14ac:dyDescent="0.5">
      <c r="B97" s="383"/>
      <c r="C97" s="395" t="s">
        <v>702</v>
      </c>
      <c r="D97" s="396">
        <v>8.1392295551194351</v>
      </c>
      <c r="E97" s="396">
        <v>27.866497522245897</v>
      </c>
      <c r="F97" s="397">
        <v>9.7785093265217302</v>
      </c>
      <c r="G97" s="399">
        <v>12.590018925236215</v>
      </c>
    </row>
    <row r="98" spans="2:7" x14ac:dyDescent="0.5">
      <c r="B98" s="383"/>
      <c r="C98" s="395" t="s">
        <v>703</v>
      </c>
      <c r="D98" s="396">
        <v>6.877571746002392</v>
      </c>
      <c r="E98" s="396">
        <v>26.558879269160169</v>
      </c>
      <c r="F98" s="397">
        <v>9.8084321734866862</v>
      </c>
      <c r="G98" s="399">
        <v>12.60767340208066</v>
      </c>
    </row>
    <row r="99" spans="2:7" x14ac:dyDescent="0.5">
      <c r="B99" s="383"/>
      <c r="C99" s="395" t="s">
        <v>704</v>
      </c>
      <c r="D99" s="396">
        <v>7.1334263636273167</v>
      </c>
      <c r="E99" s="396">
        <v>26.58438761649105</v>
      </c>
      <c r="F99" s="397">
        <v>9.8309123192461474</v>
      </c>
      <c r="G99" s="399">
        <v>12.613259957928484</v>
      </c>
    </row>
    <row r="100" spans="2:7" x14ac:dyDescent="0.5">
      <c r="B100" s="383"/>
      <c r="C100" s="391" t="s">
        <v>705</v>
      </c>
      <c r="D100" s="392">
        <v>7.4306827125443435</v>
      </c>
      <c r="E100" s="392">
        <v>26.44103893012873</v>
      </c>
      <c r="F100" s="393">
        <v>10.201045101439087</v>
      </c>
      <c r="G100" s="394">
        <v>12.922002597685218</v>
      </c>
    </row>
    <row r="101" spans="2:7" x14ac:dyDescent="0.5">
      <c r="B101" s="400" t="s">
        <v>713</v>
      </c>
      <c r="C101" s="384" t="s">
        <v>694</v>
      </c>
      <c r="D101" s="385">
        <v>6.6422797345702218</v>
      </c>
      <c r="E101" s="385">
        <v>25.709533109597604</v>
      </c>
      <c r="F101" s="386">
        <v>10.122405080103647</v>
      </c>
      <c r="G101" s="387">
        <v>12.798785252365469</v>
      </c>
    </row>
    <row r="102" spans="2:7" x14ac:dyDescent="0.5">
      <c r="B102" s="401"/>
      <c r="C102" s="395" t="s">
        <v>695</v>
      </c>
      <c r="D102" s="396">
        <v>7.7343659400587255</v>
      </c>
      <c r="E102" s="396">
        <v>26.99525607472285</v>
      </c>
      <c r="F102" s="397">
        <v>9.9903259386264285</v>
      </c>
      <c r="G102" s="399">
        <v>12.878614714850011</v>
      </c>
    </row>
    <row r="103" spans="2:7" x14ac:dyDescent="0.5">
      <c r="B103" s="401"/>
      <c r="C103" s="395" t="s">
        <v>696</v>
      </c>
      <c r="D103" s="396">
        <v>7.0942392218895174</v>
      </c>
      <c r="E103" s="396">
        <v>25.762717091354009</v>
      </c>
      <c r="F103" s="397">
        <v>10.076065725336289</v>
      </c>
      <c r="G103" s="399">
        <v>12.950625276357258</v>
      </c>
    </row>
    <row r="104" spans="2:7" x14ac:dyDescent="0.5">
      <c r="B104" s="401"/>
      <c r="C104" s="395" t="s">
        <v>697</v>
      </c>
      <c r="D104" s="396">
        <v>6.6652980307921492</v>
      </c>
      <c r="E104" s="396">
        <v>25.620053305462488</v>
      </c>
      <c r="F104" s="397">
        <v>10.040315777647224</v>
      </c>
      <c r="G104" s="399">
        <v>12.926945572537583</v>
      </c>
    </row>
    <row r="105" spans="2:7" x14ac:dyDescent="0.5">
      <c r="B105" s="401"/>
      <c r="C105" s="395" t="s">
        <v>698</v>
      </c>
      <c r="D105" s="396">
        <v>8.0819511303694505</v>
      </c>
      <c r="E105" s="396">
        <v>26.436531733800493</v>
      </c>
      <c r="F105" s="397">
        <v>9.8315963867383473</v>
      </c>
      <c r="G105" s="399">
        <v>12.736211616149046</v>
      </c>
    </row>
    <row r="106" spans="2:7" x14ac:dyDescent="0.5">
      <c r="B106" s="401"/>
      <c r="C106" s="395" t="s">
        <v>699</v>
      </c>
      <c r="D106" s="396">
        <v>7.8372054516196723</v>
      </c>
      <c r="E106" s="396">
        <v>25.817773095786027</v>
      </c>
      <c r="F106" s="397">
        <v>9.5814127602263532</v>
      </c>
      <c r="G106" s="399">
        <v>12.372027423471581</v>
      </c>
    </row>
    <row r="107" spans="2:7" x14ac:dyDescent="0.5">
      <c r="B107" s="401"/>
      <c r="C107" s="395" t="s">
        <v>700</v>
      </c>
      <c r="D107" s="396">
        <v>7.1647602048694372</v>
      </c>
      <c r="E107" s="396">
        <v>25.588018047049893</v>
      </c>
      <c r="F107" s="397">
        <v>9.5601971122235252</v>
      </c>
      <c r="G107" s="399">
        <v>12.368066825748762</v>
      </c>
    </row>
    <row r="108" spans="2:7" x14ac:dyDescent="0.5">
      <c r="B108" s="401"/>
      <c r="C108" s="395" t="s">
        <v>701</v>
      </c>
      <c r="D108" s="396">
        <v>7.709775171580949</v>
      </c>
      <c r="E108" s="396">
        <v>26.501713650007318</v>
      </c>
      <c r="F108" s="397">
        <v>9.5210826643364523</v>
      </c>
      <c r="G108" s="399">
        <v>12.325088974679206</v>
      </c>
    </row>
    <row r="109" spans="2:7" x14ac:dyDescent="0.5">
      <c r="B109" s="401"/>
      <c r="C109" s="395" t="s">
        <v>702</v>
      </c>
      <c r="D109" s="396">
        <v>7.1799942168770077</v>
      </c>
      <c r="E109" s="396">
        <v>25.397512248435799</v>
      </c>
      <c r="F109" s="397">
        <v>9.5860709688359087</v>
      </c>
      <c r="G109" s="399">
        <v>12.388201902100729</v>
      </c>
    </row>
    <row r="110" spans="2:7" x14ac:dyDescent="0.5">
      <c r="B110" s="401"/>
      <c r="C110" s="395" t="s">
        <v>703</v>
      </c>
      <c r="D110" s="396">
        <v>7.3154104661245114</v>
      </c>
      <c r="E110" s="396">
        <v>24.848815421232658</v>
      </c>
      <c r="F110" s="397">
        <v>9.5705789719528838</v>
      </c>
      <c r="G110" s="399">
        <v>12.423953786298968</v>
      </c>
    </row>
    <row r="111" spans="2:7" x14ac:dyDescent="0.5">
      <c r="B111" s="401"/>
      <c r="C111" s="395" t="s">
        <v>704</v>
      </c>
      <c r="D111" s="396">
        <v>7.4517425894015572</v>
      </c>
      <c r="E111" s="396">
        <v>24.737071824149861</v>
      </c>
      <c r="F111" s="397">
        <v>9.5771111795998412</v>
      </c>
      <c r="G111" s="399">
        <v>12.395474667157455</v>
      </c>
    </row>
    <row r="112" spans="2:7" x14ac:dyDescent="0.5">
      <c r="B112" s="401"/>
      <c r="C112" s="391" t="s">
        <v>705</v>
      </c>
      <c r="D112" s="392">
        <v>7.9999110069537807</v>
      </c>
      <c r="E112" s="392">
        <v>24.91508724059991</v>
      </c>
      <c r="F112" s="393">
        <v>10.130529134361</v>
      </c>
      <c r="G112" s="394">
        <v>12.953776265533293</v>
      </c>
    </row>
    <row r="113" spans="2:7" ht="14.7" thickBot="1" x14ac:dyDescent="0.55000000000000004">
      <c r="B113" s="402" t="s">
        <v>714</v>
      </c>
      <c r="C113" s="403" t="s">
        <v>694</v>
      </c>
      <c r="D113" s="404">
        <v>7.8017999654493995</v>
      </c>
      <c r="E113" s="404">
        <v>23.736540645983943</v>
      </c>
      <c r="F113" s="404">
        <v>10.042441915185192</v>
      </c>
      <c r="G113" s="404">
        <v>13.185518716105461</v>
      </c>
    </row>
    <row r="114" spans="2:7" ht="14.7" thickTop="1" x14ac:dyDescent="0.5"/>
  </sheetData>
  <mergeCells count="16">
    <mergeCell ref="B77:B88"/>
    <mergeCell ref="B89:B100"/>
    <mergeCell ref="B101:B112"/>
    <mergeCell ref="B5:B16"/>
    <mergeCell ref="B17:B28"/>
    <mergeCell ref="B29:B40"/>
    <mergeCell ref="B41:B52"/>
    <mergeCell ref="B53:B64"/>
    <mergeCell ref="B65:B76"/>
    <mergeCell ref="B2:G2"/>
    <mergeCell ref="B3:B4"/>
    <mergeCell ref="C3:C4"/>
    <mergeCell ref="D3:D4"/>
    <mergeCell ref="E3:E4"/>
    <mergeCell ref="F3:F4"/>
    <mergeCell ref="G3:G4"/>
  </mergeCells>
  <printOptions horizontalCentered="1"/>
  <pageMargins left="0.45" right="0.2" top="0.5" bottom="0.25" header="0.3" footer="0.3"/>
  <pageSetup paperSize="9" scale="46" orientation="portrait" r:id="rId1"/>
  <rowBreaks count="1" manualBreakCount="1">
    <brk id="4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B543-B282-49FB-A926-88183A74ECD9}">
  <sheetPr codeName="Sheet91">
    <pageSetUpPr fitToPage="1"/>
  </sheetPr>
  <dimension ref="A1:L118"/>
  <sheetViews>
    <sheetView view="pageBreakPreview" zoomScaleNormal="100" zoomScaleSheetLayoutView="100" workbookViewId="0">
      <pane ySplit="4" topLeftCell="A92"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2.41015625" customWidth="1"/>
    <col min="4" max="4" width="14.29296875" customWidth="1"/>
    <col min="5" max="5" width="15" customWidth="1"/>
    <col min="6" max="6" width="17.703125" customWidth="1"/>
    <col min="7" max="7" width="10" customWidth="1"/>
    <col min="8" max="8" width="13.29296875" customWidth="1"/>
  </cols>
  <sheetData>
    <row r="1" spans="1:8" x14ac:dyDescent="0.5">
      <c r="A1" t="s">
        <v>121</v>
      </c>
    </row>
    <row r="2" spans="1:8" ht="16" thickBot="1" x14ac:dyDescent="0.55000000000000004">
      <c r="B2" s="405" t="s">
        <v>715</v>
      </c>
      <c r="C2" s="405"/>
      <c r="D2" s="405"/>
      <c r="E2" s="405"/>
      <c r="F2" s="405"/>
      <c r="G2" s="405"/>
      <c r="H2" s="405"/>
    </row>
    <row r="3" spans="1:8" ht="43.2" customHeight="1" thickTop="1" x14ac:dyDescent="0.5">
      <c r="B3" s="375" t="s">
        <v>687</v>
      </c>
      <c r="C3" s="376" t="s">
        <v>716</v>
      </c>
      <c r="D3" s="376" t="s">
        <v>717</v>
      </c>
      <c r="E3" s="376" t="s">
        <v>718</v>
      </c>
      <c r="F3" s="376" t="s">
        <v>719</v>
      </c>
      <c r="G3" s="376" t="s">
        <v>720</v>
      </c>
      <c r="H3" s="378" t="s">
        <v>721</v>
      </c>
    </row>
    <row r="4" spans="1:8" ht="18" customHeight="1" x14ac:dyDescent="0.5">
      <c r="B4" s="379"/>
      <c r="C4" s="380"/>
      <c r="D4" s="380"/>
      <c r="E4" s="380"/>
      <c r="F4" s="380"/>
      <c r="G4" s="380"/>
      <c r="H4" s="382"/>
    </row>
    <row r="5" spans="1:8" x14ac:dyDescent="0.5">
      <c r="B5" s="383" t="s">
        <v>693</v>
      </c>
      <c r="C5" s="384" t="s">
        <v>694</v>
      </c>
      <c r="D5" s="385">
        <v>93.93</v>
      </c>
      <c r="E5" s="385">
        <v>75.209999999999994</v>
      </c>
      <c r="F5" s="385">
        <v>80.06</v>
      </c>
      <c r="G5" s="385">
        <v>2.1949495996698212</v>
      </c>
      <c r="H5" s="390">
        <v>5.6545427281782548</v>
      </c>
    </row>
    <row r="6" spans="1:8" x14ac:dyDescent="0.5">
      <c r="B6" s="383"/>
      <c r="C6" s="384" t="s">
        <v>695</v>
      </c>
      <c r="D6" s="385">
        <v>94.752870628367475</v>
      </c>
      <c r="E6" s="385">
        <v>77.225243618904344</v>
      </c>
      <c r="F6" s="385">
        <v>81.501745653481422</v>
      </c>
      <c r="G6" s="385">
        <v>2.1949495996698212</v>
      </c>
      <c r="H6" s="390">
        <v>5.6545427281782548</v>
      </c>
    </row>
    <row r="7" spans="1:8" x14ac:dyDescent="0.5">
      <c r="B7" s="383"/>
      <c r="C7" s="384" t="s">
        <v>696</v>
      </c>
      <c r="D7" s="385">
        <v>97.208766807578755</v>
      </c>
      <c r="E7" s="385">
        <v>79.090321239907851</v>
      </c>
      <c r="F7" s="385">
        <v>81.361304990592345</v>
      </c>
      <c r="G7" s="385">
        <v>2.2511032862247493</v>
      </c>
      <c r="H7" s="390">
        <v>5.7333301237215011</v>
      </c>
    </row>
    <row r="8" spans="1:8" x14ac:dyDescent="0.5">
      <c r="B8" s="383"/>
      <c r="C8" s="384" t="s">
        <v>697</v>
      </c>
      <c r="D8" s="385">
        <v>96.895102136949475</v>
      </c>
      <c r="E8" s="385">
        <v>80.188354709341297</v>
      </c>
      <c r="F8" s="385">
        <v>82.75790307337185</v>
      </c>
      <c r="G8" s="385">
        <v>2.2511032862247493</v>
      </c>
      <c r="H8" s="390">
        <v>5.7333301237215011</v>
      </c>
    </row>
    <row r="9" spans="1:8" x14ac:dyDescent="0.5">
      <c r="B9" s="383"/>
      <c r="C9" s="384" t="s">
        <v>698</v>
      </c>
      <c r="D9" s="385">
        <v>98.222195954040657</v>
      </c>
      <c r="E9" s="385">
        <v>81.737681094887705</v>
      </c>
      <c r="F9" s="385">
        <v>83.217118392602146</v>
      </c>
      <c r="G9" s="385">
        <v>2.2511032862247493</v>
      </c>
      <c r="H9" s="390">
        <v>5.7333301237215011</v>
      </c>
    </row>
    <row r="10" spans="1:8" x14ac:dyDescent="0.5">
      <c r="B10" s="383"/>
      <c r="C10" s="384" t="s">
        <v>699</v>
      </c>
      <c r="D10" s="385">
        <v>100.26012041106387</v>
      </c>
      <c r="E10" s="385">
        <v>84.276929044686028</v>
      </c>
      <c r="F10" s="385">
        <v>84.058276310813156</v>
      </c>
      <c r="G10" s="385">
        <v>2.1255624336940513</v>
      </c>
      <c r="H10" s="390">
        <v>5.6581514373617789</v>
      </c>
    </row>
    <row r="11" spans="1:8" x14ac:dyDescent="0.5">
      <c r="B11" s="383"/>
      <c r="C11" s="388" t="s">
        <v>700</v>
      </c>
      <c r="D11" s="385">
        <v>101.11125216572756</v>
      </c>
      <c r="E11" s="385">
        <v>85.856893742406669</v>
      </c>
      <c r="F11" s="385">
        <v>84.913292935668466</v>
      </c>
      <c r="G11" s="385">
        <v>2.1255624336940513</v>
      </c>
      <c r="H11" s="390">
        <v>5.6581514373617789</v>
      </c>
    </row>
    <row r="12" spans="1:8" x14ac:dyDescent="0.5">
      <c r="B12" s="383"/>
      <c r="C12" s="384" t="s">
        <v>701</v>
      </c>
      <c r="D12" s="385">
        <v>101.53970369046721</v>
      </c>
      <c r="E12" s="385">
        <v>86.102746723739997</v>
      </c>
      <c r="F12" s="385">
        <v>84.797122302242371</v>
      </c>
      <c r="G12" s="385">
        <v>2.1255624336940513</v>
      </c>
      <c r="H12" s="390">
        <v>5.6581514373617789</v>
      </c>
    </row>
    <row r="13" spans="1:8" x14ac:dyDescent="0.5">
      <c r="B13" s="383"/>
      <c r="C13" s="384" t="s">
        <v>702</v>
      </c>
      <c r="D13" s="385">
        <v>87.899114194739298</v>
      </c>
      <c r="E13" s="385">
        <v>75.277569416089705</v>
      </c>
      <c r="F13" s="385">
        <v>85.640873751370549</v>
      </c>
      <c r="G13" s="385">
        <v>1.9981108005658066</v>
      </c>
      <c r="H13" s="390">
        <v>5.8590598841320878</v>
      </c>
    </row>
    <row r="14" spans="1:8" x14ac:dyDescent="0.5">
      <c r="B14" s="383"/>
      <c r="C14" s="384" t="s">
        <v>703</v>
      </c>
      <c r="D14" s="385">
        <v>87.562132332476807</v>
      </c>
      <c r="E14" s="385">
        <v>75.356218305010273</v>
      </c>
      <c r="F14" s="385">
        <v>86.060282336295558</v>
      </c>
      <c r="G14" s="385">
        <v>1.9981108005658066</v>
      </c>
      <c r="H14" s="390">
        <v>5.8590598841320878</v>
      </c>
    </row>
    <row r="15" spans="1:8" x14ac:dyDescent="0.5">
      <c r="B15" s="383"/>
      <c r="C15" s="389" t="s">
        <v>704</v>
      </c>
      <c r="D15" s="385">
        <v>88.216642165362984</v>
      </c>
      <c r="E15" s="385">
        <v>75.665213510473947</v>
      </c>
      <c r="F15" s="385">
        <v>85.772039893151614</v>
      </c>
      <c r="G15" s="385">
        <v>1.9981108005658066</v>
      </c>
      <c r="H15" s="390">
        <v>5.8590598841320878</v>
      </c>
    </row>
    <row r="16" spans="1:8" x14ac:dyDescent="0.5">
      <c r="B16" s="383"/>
      <c r="C16" s="391" t="s">
        <v>705</v>
      </c>
      <c r="D16" s="392">
        <v>91.750385805949989</v>
      </c>
      <c r="E16" s="392">
        <v>76.740001961145651</v>
      </c>
      <c r="F16" s="392">
        <v>83.639977409412808</v>
      </c>
      <c r="G16" s="392">
        <v>1.8139693787462523</v>
      </c>
      <c r="H16" s="406">
        <v>6.2584422130150337</v>
      </c>
    </row>
    <row r="17" spans="2:12" x14ac:dyDescent="0.5">
      <c r="B17" s="383" t="s">
        <v>706</v>
      </c>
      <c r="C17" s="384" t="s">
        <v>694</v>
      </c>
      <c r="D17" s="385">
        <v>92.658251364765988</v>
      </c>
      <c r="E17" s="385">
        <v>76.601274403064139</v>
      </c>
      <c r="F17" s="385">
        <v>82.670753305616955</v>
      </c>
      <c r="G17" s="385">
        <v>1.8139693787462523</v>
      </c>
      <c r="H17" s="390">
        <v>6.2584422130150337</v>
      </c>
    </row>
    <row r="18" spans="2:12" x14ac:dyDescent="0.5">
      <c r="B18" s="383"/>
      <c r="C18" s="384" t="s">
        <v>695</v>
      </c>
      <c r="D18" s="385">
        <v>93.271214343969248</v>
      </c>
      <c r="E18" s="385">
        <v>77.890179359077493</v>
      </c>
      <c r="F18" s="385">
        <v>83.509344128222708</v>
      </c>
      <c r="G18" s="385">
        <v>1.8139693787462523</v>
      </c>
      <c r="H18" s="390">
        <v>6.2584422130150337</v>
      </c>
    </row>
    <row r="19" spans="2:12" x14ac:dyDescent="0.5">
      <c r="B19" s="383"/>
      <c r="C19" s="384" t="s">
        <v>696</v>
      </c>
      <c r="D19" s="385">
        <v>94.835867212044903</v>
      </c>
      <c r="E19" s="385">
        <v>79.989669889772358</v>
      </c>
      <c r="F19" s="385">
        <v>84.345377167187479</v>
      </c>
      <c r="G19" s="385">
        <v>2.0612022011306208</v>
      </c>
      <c r="H19" s="390">
        <v>6.1821502193706825</v>
      </c>
    </row>
    <row r="20" spans="2:12" x14ac:dyDescent="0.5">
      <c r="B20" s="383"/>
      <c r="C20" s="384" t="s">
        <v>697</v>
      </c>
      <c r="D20" s="385">
        <v>95.586690249319389</v>
      </c>
      <c r="E20" s="385">
        <v>81.040574176246949</v>
      </c>
      <c r="F20" s="385">
        <v>84.782278751223927</v>
      </c>
      <c r="G20" s="385">
        <v>2.0612022011306208</v>
      </c>
      <c r="H20" s="390">
        <v>6.1821502193706825</v>
      </c>
    </row>
    <row r="21" spans="2:12" x14ac:dyDescent="0.5">
      <c r="B21" s="383"/>
      <c r="C21" s="384" t="s">
        <v>698</v>
      </c>
      <c r="D21" s="385">
        <v>96.414959981885289</v>
      </c>
      <c r="E21" s="385">
        <v>82.47362210147196</v>
      </c>
      <c r="F21" s="385">
        <v>85.540275198960131</v>
      </c>
      <c r="G21" s="385">
        <v>2.0612022011306208</v>
      </c>
      <c r="H21" s="390">
        <v>6.1821502193706825</v>
      </c>
    </row>
    <row r="22" spans="2:12" ht="15.7" x14ac:dyDescent="0.55000000000000004">
      <c r="B22" s="383"/>
      <c r="C22" s="384" t="s">
        <v>699</v>
      </c>
      <c r="D22" s="385">
        <v>97.490226297513544</v>
      </c>
      <c r="E22" s="385">
        <v>85.024899214511834</v>
      </c>
      <c r="F22" s="385">
        <v>87.21376741401653</v>
      </c>
      <c r="G22" s="385">
        <v>1.9778617430298837</v>
      </c>
      <c r="H22" s="390">
        <v>6.1964754183229411</v>
      </c>
      <c r="L22" s="34"/>
    </row>
    <row r="23" spans="2:12" x14ac:dyDescent="0.5">
      <c r="B23" s="383"/>
      <c r="C23" s="388" t="s">
        <v>700</v>
      </c>
      <c r="D23" s="385">
        <v>97.051155531661792</v>
      </c>
      <c r="E23" s="385">
        <v>86.30847619808965</v>
      </c>
      <c r="F23" s="385">
        <v>88.930910430976297</v>
      </c>
      <c r="G23" s="385">
        <v>1.9778617430298837</v>
      </c>
      <c r="H23" s="390">
        <v>6.1964754183229411</v>
      </c>
    </row>
    <row r="24" spans="2:12" x14ac:dyDescent="0.5">
      <c r="B24" s="383"/>
      <c r="C24" s="384" t="s">
        <v>701</v>
      </c>
      <c r="D24" s="385">
        <v>98.269912788948091</v>
      </c>
      <c r="E24" s="385">
        <v>87.006811879993137</v>
      </c>
      <c r="F24" s="385">
        <v>88.538606996482798</v>
      </c>
      <c r="G24" s="385">
        <v>1.9778617430298837</v>
      </c>
      <c r="H24" s="390">
        <v>6.1964754183229411</v>
      </c>
    </row>
    <row r="25" spans="2:12" x14ac:dyDescent="0.5">
      <c r="B25" s="383"/>
      <c r="C25" s="384" t="s">
        <v>702</v>
      </c>
      <c r="D25" s="385">
        <v>86.586135577110497</v>
      </c>
      <c r="E25" s="385">
        <v>76.792004274814545</v>
      </c>
      <c r="F25" s="385">
        <v>88.688568629357917</v>
      </c>
      <c r="G25" s="385">
        <v>1.9081495770339498</v>
      </c>
      <c r="H25" s="390">
        <v>6.1453283412919522</v>
      </c>
    </row>
    <row r="26" spans="2:12" x14ac:dyDescent="0.5">
      <c r="B26" s="383"/>
      <c r="C26" s="384" t="s">
        <v>703</v>
      </c>
      <c r="D26" s="385">
        <v>87.39</v>
      </c>
      <c r="E26" s="385">
        <v>77.599999999999994</v>
      </c>
      <c r="F26" s="385">
        <v>88.8</v>
      </c>
      <c r="G26" s="385">
        <v>1.9081495770339498</v>
      </c>
      <c r="H26" s="390">
        <v>6.15</v>
      </c>
    </row>
    <row r="27" spans="2:12" x14ac:dyDescent="0.5">
      <c r="B27" s="383"/>
      <c r="C27" s="389" t="s">
        <v>704</v>
      </c>
      <c r="D27" s="385">
        <v>89.240324550796089</v>
      </c>
      <c r="E27" s="385">
        <v>78.766766988140887</v>
      </c>
      <c r="F27" s="385">
        <v>88.263649179476488</v>
      </c>
      <c r="G27" s="385">
        <v>1.9081495770339498</v>
      </c>
      <c r="H27" s="390">
        <v>6.1453283412919522</v>
      </c>
    </row>
    <row r="28" spans="2:12" x14ac:dyDescent="0.5">
      <c r="B28" s="383"/>
      <c r="C28" s="391" t="s">
        <v>705</v>
      </c>
      <c r="D28" s="392">
        <v>94.33647947728916</v>
      </c>
      <c r="E28" s="392">
        <v>80.569610039678096</v>
      </c>
      <c r="F28" s="392">
        <v>85.40663218100552</v>
      </c>
      <c r="G28" s="392">
        <v>1.6016642625619872</v>
      </c>
      <c r="H28" s="406">
        <v>6.2760277475826092</v>
      </c>
    </row>
    <row r="29" spans="2:12" x14ac:dyDescent="0.5">
      <c r="B29" s="383" t="s">
        <v>707</v>
      </c>
      <c r="C29" s="384" t="s">
        <v>694</v>
      </c>
      <c r="D29" s="385">
        <v>93.939515398727522</v>
      </c>
      <c r="E29" s="385">
        <v>81.015802034827573</v>
      </c>
      <c r="F29" s="385">
        <v>86.242516464934837</v>
      </c>
      <c r="G29" s="385">
        <v>1.6016642625619872</v>
      </c>
      <c r="H29" s="390">
        <v>6.2760277475826092</v>
      </c>
    </row>
    <row r="30" spans="2:12" x14ac:dyDescent="0.5">
      <c r="B30" s="383"/>
      <c r="C30" s="384" t="s">
        <v>695</v>
      </c>
      <c r="D30" s="385">
        <v>95.609206477720448</v>
      </c>
      <c r="E30" s="385">
        <v>83.046724912253083</v>
      </c>
      <c r="F30" s="385">
        <v>86.860594258362795</v>
      </c>
      <c r="G30" s="385">
        <v>1.6016642625619872</v>
      </c>
      <c r="H30" s="390">
        <v>6.2760277475826092</v>
      </c>
    </row>
    <row r="31" spans="2:12" x14ac:dyDescent="0.5">
      <c r="B31" s="383"/>
      <c r="C31" s="384" t="s">
        <v>696</v>
      </c>
      <c r="D31" s="385">
        <v>96.8277511433337</v>
      </c>
      <c r="E31" s="385">
        <v>86.394830404694332</v>
      </c>
      <c r="F31" s="385">
        <v>89.225278274618219</v>
      </c>
      <c r="G31" s="385">
        <v>1.6879199066265</v>
      </c>
      <c r="H31" s="390">
        <v>6.6346597384010702</v>
      </c>
    </row>
    <row r="32" spans="2:12" x14ac:dyDescent="0.5">
      <c r="B32" s="383"/>
      <c r="C32" s="384" t="s">
        <v>697</v>
      </c>
      <c r="D32" s="385">
        <v>98.18046978784281</v>
      </c>
      <c r="E32" s="385">
        <v>87.29222255235068</v>
      </c>
      <c r="F32" s="385">
        <v>88.909966249886125</v>
      </c>
      <c r="G32" s="385">
        <v>1.6879199066265</v>
      </c>
      <c r="H32" s="390">
        <v>6.6346597384010702</v>
      </c>
    </row>
    <row r="33" spans="2:8" x14ac:dyDescent="0.5">
      <c r="B33" s="383"/>
      <c r="C33" s="384" t="s">
        <v>698</v>
      </c>
      <c r="D33" s="385">
        <v>100.18029367880443</v>
      </c>
      <c r="E33" s="385">
        <v>88.690559785452322</v>
      </c>
      <c r="F33" s="385">
        <v>88.530944089473124</v>
      </c>
      <c r="G33" s="385">
        <v>1.6879199066265</v>
      </c>
      <c r="H33" s="390">
        <v>6.6346597384010702</v>
      </c>
    </row>
    <row r="34" spans="2:8" x14ac:dyDescent="0.5">
      <c r="B34" s="383"/>
      <c r="C34" s="384" t="s">
        <v>699</v>
      </c>
      <c r="D34" s="385">
        <v>101.95433345031056</v>
      </c>
      <c r="E34" s="385">
        <v>91.206759840395776</v>
      </c>
      <c r="F34" s="385">
        <v>89.458443553894824</v>
      </c>
      <c r="G34" s="385">
        <v>1.7492306358745677</v>
      </c>
      <c r="H34" s="390">
        <v>6.6112056743930765</v>
      </c>
    </row>
    <row r="35" spans="2:8" x14ac:dyDescent="0.5">
      <c r="B35" s="383"/>
      <c r="C35" s="388" t="s">
        <v>700</v>
      </c>
      <c r="D35" s="385">
        <v>102.58243980055299</v>
      </c>
      <c r="E35" s="385">
        <v>91.929516701298823</v>
      </c>
      <c r="F35" s="385">
        <v>89.615256646297127</v>
      </c>
      <c r="G35" s="385">
        <v>1.7492306358745677</v>
      </c>
      <c r="H35" s="390">
        <v>6.6112056743930765</v>
      </c>
    </row>
    <row r="36" spans="2:8" x14ac:dyDescent="0.5">
      <c r="B36" s="383"/>
      <c r="C36" s="384" t="s">
        <v>701</v>
      </c>
      <c r="D36" s="385">
        <v>103.40526471379607</v>
      </c>
      <c r="E36" s="385">
        <v>92.36930197071031</v>
      </c>
      <c r="F36" s="385">
        <v>89.327465314623026</v>
      </c>
      <c r="G36" s="385">
        <v>1.7492306358745677</v>
      </c>
      <c r="H36" s="390">
        <v>6.6112056743930765</v>
      </c>
    </row>
    <row r="37" spans="2:8" x14ac:dyDescent="0.5">
      <c r="B37" s="383"/>
      <c r="C37" s="384" t="s">
        <v>702</v>
      </c>
      <c r="D37" s="385">
        <v>104.90092333457817</v>
      </c>
      <c r="E37" s="385">
        <v>94.227791992685312</v>
      </c>
      <c r="F37" s="385">
        <v>89.825512490627716</v>
      </c>
      <c r="G37" s="385">
        <v>1.8313810092708507</v>
      </c>
      <c r="H37" s="390">
        <v>6.6493123019028282</v>
      </c>
    </row>
    <row r="38" spans="2:8" x14ac:dyDescent="0.5">
      <c r="B38" s="383"/>
      <c r="C38" s="384" t="s">
        <v>703</v>
      </c>
      <c r="D38" s="385">
        <v>91.231852544708062</v>
      </c>
      <c r="E38" s="385">
        <v>82.531725953776231</v>
      </c>
      <c r="F38" s="385">
        <v>90.463718155160393</v>
      </c>
      <c r="G38" s="385">
        <v>1.8313810092708507</v>
      </c>
      <c r="H38" s="390">
        <v>6.6493123019028282</v>
      </c>
    </row>
    <row r="39" spans="2:8" x14ac:dyDescent="0.5">
      <c r="B39" s="383"/>
      <c r="C39" s="389" t="s">
        <v>704</v>
      </c>
      <c r="D39" s="385">
        <v>92.363324499127899</v>
      </c>
      <c r="E39" s="385">
        <v>83.128746464851133</v>
      </c>
      <c r="F39" s="385">
        <v>90.001899472161213</v>
      </c>
      <c r="G39" s="385">
        <v>1.8313810092708507</v>
      </c>
      <c r="H39" s="390">
        <v>6.6493123019028282</v>
      </c>
    </row>
    <row r="40" spans="2:8" x14ac:dyDescent="0.5">
      <c r="B40" s="383"/>
      <c r="C40" s="391" t="s">
        <v>705</v>
      </c>
      <c r="D40" s="392">
        <v>96.827915443378231</v>
      </c>
      <c r="E40" s="392">
        <v>84.113783758071065</v>
      </c>
      <c r="F40" s="392">
        <v>86.869353091937668</v>
      </c>
      <c r="G40" s="392">
        <v>1.5172676337346711</v>
      </c>
      <c r="H40" s="406">
        <v>6.5624735191436008</v>
      </c>
    </row>
    <row r="41" spans="2:8" x14ac:dyDescent="0.5">
      <c r="B41" s="383" t="s">
        <v>708</v>
      </c>
      <c r="C41" s="384" t="s">
        <v>694</v>
      </c>
      <c r="D41" s="385">
        <v>96.2</v>
      </c>
      <c r="E41" s="385">
        <v>84.28</v>
      </c>
      <c r="F41" s="385">
        <v>87.61</v>
      </c>
      <c r="G41" s="385">
        <v>1.5172676337346711</v>
      </c>
      <c r="H41" s="390">
        <v>6.5624735191436008</v>
      </c>
    </row>
    <row r="42" spans="2:8" x14ac:dyDescent="0.5">
      <c r="B42" s="383"/>
      <c r="C42" s="384" t="s">
        <v>695</v>
      </c>
      <c r="D42" s="385">
        <v>96.89</v>
      </c>
      <c r="E42" s="385">
        <v>85.926960940116487</v>
      </c>
      <c r="F42" s="385">
        <v>88.689677350336666</v>
      </c>
      <c r="G42" s="385">
        <v>1.5172676337346711</v>
      </c>
      <c r="H42" s="390">
        <v>6.5624735191436008</v>
      </c>
    </row>
    <row r="43" spans="2:8" x14ac:dyDescent="0.5">
      <c r="B43" s="383"/>
      <c r="C43" s="384" t="s">
        <v>696</v>
      </c>
      <c r="D43" s="385">
        <v>96.885597108417414</v>
      </c>
      <c r="E43" s="385">
        <v>85.925721797278626</v>
      </c>
      <c r="F43" s="385">
        <v>88.687817758015754</v>
      </c>
      <c r="G43" s="385">
        <v>1.5172676337346711</v>
      </c>
      <c r="H43" s="390">
        <v>6.5624735191436008</v>
      </c>
    </row>
    <row r="44" spans="2:8" x14ac:dyDescent="0.5">
      <c r="B44" s="383"/>
      <c r="C44" s="384" t="s">
        <v>697</v>
      </c>
      <c r="D44" s="385">
        <v>99.437606332656244</v>
      </c>
      <c r="E44" s="385">
        <v>88.206217305700406</v>
      </c>
      <c r="F44" s="385">
        <v>88.705089109463671</v>
      </c>
      <c r="G44" s="385">
        <v>1.7425766028039729</v>
      </c>
      <c r="H44" s="390">
        <v>6.721281725574368</v>
      </c>
    </row>
    <row r="45" spans="2:8" x14ac:dyDescent="0.5">
      <c r="B45" s="383"/>
      <c r="C45" s="384" t="s">
        <v>698</v>
      </c>
      <c r="D45" s="385">
        <v>100.29547841903126</v>
      </c>
      <c r="E45" s="385">
        <v>89.189276998002825</v>
      </c>
      <c r="F45" s="385">
        <v>88.926518327549033</v>
      </c>
      <c r="G45" s="385">
        <v>1.7425766028039729</v>
      </c>
      <c r="H45" s="390">
        <v>6.721281725574368</v>
      </c>
    </row>
    <row r="46" spans="2:8" x14ac:dyDescent="0.5">
      <c r="B46" s="383"/>
      <c r="C46" s="384" t="s">
        <v>699</v>
      </c>
      <c r="D46" s="385">
        <v>102.77756309112647</v>
      </c>
      <c r="E46" s="385">
        <v>91.35628749627142</v>
      </c>
      <c r="F46" s="385">
        <v>88.887384316819691</v>
      </c>
      <c r="G46" s="385">
        <v>1.767050032238104</v>
      </c>
      <c r="H46" s="390">
        <v>7.0029237405343698</v>
      </c>
    </row>
    <row r="47" spans="2:8" x14ac:dyDescent="0.5">
      <c r="B47" s="383"/>
      <c r="C47" s="388" t="s">
        <v>700</v>
      </c>
      <c r="D47" s="385">
        <v>102.9163421136339</v>
      </c>
      <c r="E47" s="385">
        <v>92.063599032117978</v>
      </c>
      <c r="F47" s="385">
        <v>89.454791281317611</v>
      </c>
      <c r="G47" s="385">
        <v>1.767050032238104</v>
      </c>
      <c r="H47" s="390">
        <v>7.0029237405343698</v>
      </c>
    </row>
    <row r="48" spans="2:8" x14ac:dyDescent="0.5">
      <c r="B48" s="383"/>
      <c r="C48" s="384" t="s">
        <v>701</v>
      </c>
      <c r="D48" s="385">
        <v>104.33094915216282</v>
      </c>
      <c r="E48" s="385">
        <v>93.040392490815634</v>
      </c>
      <c r="F48" s="385">
        <v>89.178132900065606</v>
      </c>
      <c r="G48" s="385">
        <v>1.767050032238104</v>
      </c>
      <c r="H48" s="390">
        <v>7.0029237405343698</v>
      </c>
    </row>
    <row r="49" spans="2:8" x14ac:dyDescent="0.5">
      <c r="B49" s="383"/>
      <c r="C49" s="384" t="s">
        <v>702</v>
      </c>
      <c r="D49" s="385">
        <v>105.88433159957501</v>
      </c>
      <c r="E49" s="385">
        <v>94.323757122503906</v>
      </c>
      <c r="F49" s="385">
        <v>89.081883690978998</v>
      </c>
      <c r="G49" s="385">
        <v>1.8130153812949488</v>
      </c>
      <c r="H49" s="390">
        <v>6.8481821592238852</v>
      </c>
    </row>
    <row r="50" spans="2:8" x14ac:dyDescent="0.5">
      <c r="B50" s="383"/>
      <c r="C50" s="384" t="s">
        <v>703</v>
      </c>
      <c r="D50" s="385">
        <v>106.72774375654164</v>
      </c>
      <c r="E50" s="385">
        <v>93.949641497537854</v>
      </c>
      <c r="F50" s="385">
        <v>88.027384624421458</v>
      </c>
      <c r="G50" s="385">
        <v>1.8130153812949488</v>
      </c>
      <c r="H50" s="390">
        <v>6.8481821592238852</v>
      </c>
    </row>
    <row r="51" spans="2:8" x14ac:dyDescent="0.5">
      <c r="B51" s="383"/>
      <c r="C51" s="389" t="s">
        <v>704</v>
      </c>
      <c r="D51" s="385">
        <v>100.02731272796521</v>
      </c>
      <c r="E51" s="385">
        <v>86.049383208584061</v>
      </c>
      <c r="F51" s="385">
        <v>86.02588719203564</v>
      </c>
      <c r="G51" s="385">
        <v>1.8130153812949488</v>
      </c>
      <c r="H51" s="390">
        <v>6.8481821592238852</v>
      </c>
    </row>
    <row r="52" spans="2:8" x14ac:dyDescent="0.5">
      <c r="B52" s="383"/>
      <c r="C52" s="391" t="s">
        <v>705</v>
      </c>
      <c r="D52" s="392">
        <v>104.42507654549875</v>
      </c>
      <c r="E52" s="392">
        <v>86.887661574707963</v>
      </c>
      <c r="F52" s="392">
        <v>83.205743724641067</v>
      </c>
      <c r="G52" s="392">
        <v>1.8859165921805747</v>
      </c>
      <c r="H52" s="406">
        <v>6.607864143575723</v>
      </c>
    </row>
    <row r="53" spans="2:8" x14ac:dyDescent="0.5">
      <c r="B53" s="383" t="s">
        <v>709</v>
      </c>
      <c r="C53" s="384" t="s">
        <v>694</v>
      </c>
      <c r="D53" s="385">
        <v>104.45274295728125</v>
      </c>
      <c r="E53" s="385">
        <v>86.46001824695972</v>
      </c>
      <c r="F53" s="385">
        <v>82.774291798464191</v>
      </c>
      <c r="G53" s="385">
        <v>1.8859165921805747</v>
      </c>
      <c r="H53" s="390">
        <v>6.607864143575723</v>
      </c>
    </row>
    <row r="54" spans="2:8" x14ac:dyDescent="0.5">
      <c r="B54" s="383"/>
      <c r="C54" s="384" t="s">
        <v>695</v>
      </c>
      <c r="D54" s="385">
        <v>105.13378461560647</v>
      </c>
      <c r="E54" s="385">
        <v>87.354421017657941</v>
      </c>
      <c r="F54" s="385">
        <v>83.088819961200855</v>
      </c>
      <c r="G54" s="385">
        <v>1.8859165921805747</v>
      </c>
      <c r="H54" s="390">
        <v>6.607864143575723</v>
      </c>
    </row>
    <row r="55" spans="2:8" x14ac:dyDescent="0.5">
      <c r="B55" s="383"/>
      <c r="C55" s="384" t="s">
        <v>696</v>
      </c>
      <c r="D55" s="385">
        <v>109.47057986000259</v>
      </c>
      <c r="E55" s="385">
        <v>90.803846671035799</v>
      </c>
      <c r="F55" s="385">
        <v>82.948173643695938</v>
      </c>
      <c r="G55" s="385">
        <v>1.7349797499552873</v>
      </c>
      <c r="H55" s="390">
        <v>6.7820989071608233</v>
      </c>
    </row>
    <row r="56" spans="2:8" x14ac:dyDescent="0.5">
      <c r="B56" s="383"/>
      <c r="C56" s="384" t="s">
        <v>697</v>
      </c>
      <c r="D56" s="385">
        <v>109.29924858151657</v>
      </c>
      <c r="E56" s="385">
        <v>91.460161449472082</v>
      </c>
      <c r="F56" s="385">
        <v>83.678673583249847</v>
      </c>
      <c r="G56" s="385">
        <v>1.7349797499552873</v>
      </c>
      <c r="H56" s="390">
        <v>6.7820989071608233</v>
      </c>
    </row>
    <row r="57" spans="2:8" x14ac:dyDescent="0.5">
      <c r="B57" s="383"/>
      <c r="C57" s="384" t="s">
        <v>698</v>
      </c>
      <c r="D57" s="385">
        <v>111.24686475414872</v>
      </c>
      <c r="E57" s="385">
        <v>93.499222626414166</v>
      </c>
      <c r="F57" s="385">
        <v>84.04661365787149</v>
      </c>
      <c r="G57" s="385">
        <v>1.7349797499552873</v>
      </c>
      <c r="H57" s="390">
        <v>6.7820989071608233</v>
      </c>
    </row>
    <row r="58" spans="2:8" x14ac:dyDescent="0.5">
      <c r="B58" s="383"/>
      <c r="C58" s="384" t="s">
        <v>699</v>
      </c>
      <c r="D58" s="385">
        <v>113.72898367421737</v>
      </c>
      <c r="E58" s="385">
        <v>97.214715354506581</v>
      </c>
      <c r="F58" s="385">
        <v>85.479279084198282</v>
      </c>
      <c r="G58" s="385">
        <v>1.8403696782801091</v>
      </c>
      <c r="H58" s="390">
        <v>7.5854139637019511</v>
      </c>
    </row>
    <row r="59" spans="2:8" x14ac:dyDescent="0.5">
      <c r="B59" s="383"/>
      <c r="C59" s="388" t="s">
        <v>700</v>
      </c>
      <c r="D59" s="385">
        <v>114.11949101847495</v>
      </c>
      <c r="E59" s="385">
        <v>99.452565768666773</v>
      </c>
      <c r="F59" s="385">
        <v>87.147747401507672</v>
      </c>
      <c r="G59" s="385">
        <v>1.8403696782801091</v>
      </c>
      <c r="H59" s="390">
        <v>7.5854139637019511</v>
      </c>
    </row>
    <row r="60" spans="2:8" x14ac:dyDescent="0.5">
      <c r="B60" s="383"/>
      <c r="C60" s="384" t="s">
        <v>701</v>
      </c>
      <c r="D60" s="385">
        <v>110.18664539551222</v>
      </c>
      <c r="E60" s="385">
        <v>97.817688739751276</v>
      </c>
      <c r="F60" s="385">
        <v>88.774541042280688</v>
      </c>
      <c r="G60" s="385">
        <v>1.8403696782801091</v>
      </c>
      <c r="H60" s="390">
        <v>7.5854139637019511</v>
      </c>
    </row>
    <row r="61" spans="2:8" x14ac:dyDescent="0.5">
      <c r="B61" s="383"/>
      <c r="C61" s="384" t="s">
        <v>702</v>
      </c>
      <c r="D61" s="385">
        <v>113.21009374005726</v>
      </c>
      <c r="E61" s="385">
        <v>102.07064133364885</v>
      </c>
      <c r="F61" s="385">
        <v>90.160371713863412</v>
      </c>
      <c r="G61" s="385">
        <v>1.4964986530473263</v>
      </c>
      <c r="H61" s="390">
        <v>8.2484328926716994</v>
      </c>
    </row>
    <row r="62" spans="2:8" x14ac:dyDescent="0.5">
      <c r="B62" s="383"/>
      <c r="C62" s="384" t="s">
        <v>703</v>
      </c>
      <c r="D62" s="385">
        <v>113.4539003184087</v>
      </c>
      <c r="E62" s="385">
        <v>103.17073994136226</v>
      </c>
      <c r="F62" s="385">
        <v>90.936265436281403</v>
      </c>
      <c r="G62" s="385">
        <v>1.4964986530473263</v>
      </c>
      <c r="H62" s="390">
        <v>8.2484328926716994</v>
      </c>
    </row>
    <row r="63" spans="2:8" x14ac:dyDescent="0.5">
      <c r="B63" s="383"/>
      <c r="C63" s="389" t="s">
        <v>704</v>
      </c>
      <c r="D63" s="385">
        <v>114.37061135267716</v>
      </c>
      <c r="E63" s="385">
        <v>104.18523498666572</v>
      </c>
      <c r="F63" s="385">
        <v>91.094411190473181</v>
      </c>
      <c r="G63" s="385">
        <v>1.4964986530473263</v>
      </c>
      <c r="H63" s="390">
        <v>8.2484328926716994</v>
      </c>
    </row>
    <row r="64" spans="2:8" x14ac:dyDescent="0.5">
      <c r="B64" s="383"/>
      <c r="C64" s="391" t="s">
        <v>705</v>
      </c>
      <c r="D64" s="392">
        <v>111.10427093994618</v>
      </c>
      <c r="E64" s="392">
        <v>97.860142209688121</v>
      </c>
      <c r="F64" s="392">
        <v>88.079550301521053</v>
      </c>
      <c r="G64" s="392">
        <v>1.4781276770495153</v>
      </c>
      <c r="H64" s="406">
        <v>8.2484328926716994</v>
      </c>
    </row>
    <row r="65" spans="2:8" x14ac:dyDescent="0.5">
      <c r="B65" s="383" t="s">
        <v>710</v>
      </c>
      <c r="C65" s="384" t="s">
        <v>694</v>
      </c>
      <c r="D65" s="385">
        <v>109.37558710027888</v>
      </c>
      <c r="E65" s="385">
        <v>98.998087979888695</v>
      </c>
      <c r="F65" s="385">
        <v>90.512051733376495</v>
      </c>
      <c r="G65" s="385">
        <v>1.4781276770495153</v>
      </c>
      <c r="H65" s="390">
        <v>8.2484328926716994</v>
      </c>
    </row>
    <row r="66" spans="2:8" x14ac:dyDescent="0.5">
      <c r="B66" s="383"/>
      <c r="C66" s="384" t="s">
        <v>695</v>
      </c>
      <c r="D66" s="385">
        <v>110.60938292739762</v>
      </c>
      <c r="E66" s="385">
        <v>102.0975226862539</v>
      </c>
      <c r="F66" s="385">
        <v>92.304576686110977</v>
      </c>
      <c r="G66" s="385">
        <v>1.4781276770495153</v>
      </c>
      <c r="H66" s="390">
        <v>8.2484328926716994</v>
      </c>
    </row>
    <row r="67" spans="2:8" x14ac:dyDescent="0.5">
      <c r="B67" s="383"/>
      <c r="C67" s="384" t="s">
        <v>696</v>
      </c>
      <c r="D67" s="385">
        <v>113.31115412647846</v>
      </c>
      <c r="E67" s="385">
        <v>105.4160189124804</v>
      </c>
      <c r="F67" s="385">
        <v>93.032340659785831</v>
      </c>
      <c r="G67" s="385">
        <v>1.3671076476607404</v>
      </c>
      <c r="H67" s="390">
        <v>8.3895341887779722</v>
      </c>
    </row>
    <row r="68" spans="2:8" x14ac:dyDescent="0.5">
      <c r="B68" s="383"/>
      <c r="C68" s="384" t="s">
        <v>697</v>
      </c>
      <c r="D68" s="385">
        <v>112.60769639412736</v>
      </c>
      <c r="E68" s="385">
        <v>106.78535994604748</v>
      </c>
      <c r="F68" s="385">
        <v>94.829539512377835</v>
      </c>
      <c r="G68" s="385">
        <v>1.3671076476607404</v>
      </c>
      <c r="H68" s="390">
        <v>8.3895341887779722</v>
      </c>
    </row>
    <row r="69" spans="2:8" x14ac:dyDescent="0.5">
      <c r="B69" s="383"/>
      <c r="C69" s="384" t="s">
        <v>698</v>
      </c>
      <c r="D69" s="385">
        <v>112.82132322750142</v>
      </c>
      <c r="E69" s="385">
        <v>108.52652553253034</v>
      </c>
      <c r="F69" s="385">
        <v>96.193274841927973</v>
      </c>
      <c r="G69" s="385">
        <v>1.3671076476607404</v>
      </c>
      <c r="H69" s="390">
        <v>8.3895341887779722</v>
      </c>
    </row>
    <row r="70" spans="2:8" x14ac:dyDescent="0.5">
      <c r="B70" s="383"/>
      <c r="C70" s="384" t="s">
        <v>699</v>
      </c>
      <c r="D70" s="385">
        <v>114.96381952824942</v>
      </c>
      <c r="E70" s="385">
        <v>109.71445704712619</v>
      </c>
      <c r="F70" s="385">
        <v>95.433900419572154</v>
      </c>
      <c r="G70" s="385">
        <v>1.31</v>
      </c>
      <c r="H70" s="390">
        <v>8.2799999999999994</v>
      </c>
    </row>
    <row r="71" spans="2:8" x14ac:dyDescent="0.5">
      <c r="B71" s="383"/>
      <c r="C71" s="388" t="s">
        <v>700</v>
      </c>
      <c r="D71" s="385">
        <v>114.32608786518448</v>
      </c>
      <c r="E71" s="385">
        <v>110.03101317852595</v>
      </c>
      <c r="F71" s="385">
        <v>96.243136831793493</v>
      </c>
      <c r="G71" s="385">
        <v>1.31</v>
      </c>
      <c r="H71" s="390">
        <v>8.2799999999999994</v>
      </c>
    </row>
    <row r="72" spans="2:8" x14ac:dyDescent="0.5">
      <c r="B72" s="383"/>
      <c r="C72" s="384" t="s">
        <v>701</v>
      </c>
      <c r="D72" s="385">
        <v>114.9323041166567</v>
      </c>
      <c r="E72" s="385">
        <v>110.66950931529027</v>
      </c>
      <c r="F72" s="385">
        <v>96.291038595171912</v>
      </c>
      <c r="G72" s="385">
        <v>1.31</v>
      </c>
      <c r="H72" s="390">
        <v>8.2799999999999994</v>
      </c>
    </row>
    <row r="73" spans="2:8" x14ac:dyDescent="0.5">
      <c r="B73" s="383"/>
      <c r="C73" s="384" t="s">
        <v>702</v>
      </c>
      <c r="D73" s="385">
        <v>102.64525612455317</v>
      </c>
      <c r="E73" s="385">
        <v>97.720787853681912</v>
      </c>
      <c r="F73" s="385">
        <v>95.20243949228815</v>
      </c>
      <c r="G73" s="385">
        <v>1.4432161364547158</v>
      </c>
      <c r="H73" s="390">
        <v>7.8771369647740492</v>
      </c>
    </row>
    <row r="74" spans="2:8" x14ac:dyDescent="0.5">
      <c r="B74" s="383"/>
      <c r="C74" s="384" t="s">
        <v>703</v>
      </c>
      <c r="D74" s="385">
        <v>102.04499667005391</v>
      </c>
      <c r="E74" s="385">
        <v>97.771983519865771</v>
      </c>
      <c r="F74" s="385">
        <v>95.812618658801824</v>
      </c>
      <c r="G74" s="385">
        <v>1.4432161364547158</v>
      </c>
      <c r="H74" s="390">
        <v>7.8771369647740492</v>
      </c>
    </row>
    <row r="75" spans="2:8" x14ac:dyDescent="0.5">
      <c r="B75" s="383"/>
      <c r="C75" s="389" t="s">
        <v>704</v>
      </c>
      <c r="D75" s="385">
        <v>102.78837169127021</v>
      </c>
      <c r="E75" s="385">
        <v>97.913798942379486</v>
      </c>
      <c r="F75" s="385">
        <v>95.257661281441699</v>
      </c>
      <c r="G75" s="385">
        <v>1.4432161364547158</v>
      </c>
      <c r="H75" s="390">
        <v>7.8771369647740492</v>
      </c>
    </row>
    <row r="76" spans="2:8" x14ac:dyDescent="0.5">
      <c r="B76" s="383"/>
      <c r="C76" s="391" t="s">
        <v>705</v>
      </c>
      <c r="D76" s="392">
        <v>106.33911299725634</v>
      </c>
      <c r="E76" s="392">
        <v>97.173378883809548</v>
      </c>
      <c r="F76" s="392">
        <v>91.38065585173419</v>
      </c>
      <c r="G76" s="392">
        <v>1.3140500600979199</v>
      </c>
      <c r="H76" s="406">
        <v>7.2692100903298309</v>
      </c>
    </row>
    <row r="77" spans="2:8" x14ac:dyDescent="0.5">
      <c r="B77" s="383" t="s">
        <v>711</v>
      </c>
      <c r="C77" s="384" t="s">
        <v>694</v>
      </c>
      <c r="D77" s="385">
        <v>103.79953370493149</v>
      </c>
      <c r="E77" s="385">
        <v>97.369844065992169</v>
      </c>
      <c r="F77" s="385">
        <v>93.805666162993717</v>
      </c>
      <c r="G77" s="385">
        <v>1.3140500600979199</v>
      </c>
      <c r="H77" s="390">
        <v>7.2692100903298309</v>
      </c>
    </row>
    <row r="78" spans="2:8" x14ac:dyDescent="0.5">
      <c r="B78" s="383"/>
      <c r="C78" s="384" t="s">
        <v>695</v>
      </c>
      <c r="D78" s="385">
        <v>104.95758722767444</v>
      </c>
      <c r="E78" s="385">
        <v>97.953740248806454</v>
      </c>
      <c r="F78" s="385">
        <v>93.326974100809693</v>
      </c>
      <c r="G78" s="385">
        <v>1.3140500600979199</v>
      </c>
      <c r="H78" s="390">
        <v>7.2692100903298309</v>
      </c>
    </row>
    <row r="79" spans="2:8" x14ac:dyDescent="0.5">
      <c r="B79" s="383"/>
      <c r="C79" s="384" t="s">
        <v>696</v>
      </c>
      <c r="D79" s="385">
        <v>106.59667849195709</v>
      </c>
      <c r="E79" s="385">
        <v>98.45465577531192</v>
      </c>
      <c r="F79" s="385">
        <v>92.361842008745612</v>
      </c>
      <c r="G79" s="385">
        <v>1.9793153989150067</v>
      </c>
      <c r="H79" s="390">
        <v>7.1707065022436236</v>
      </c>
    </row>
    <row r="80" spans="2:8" x14ac:dyDescent="0.5">
      <c r="B80" s="383"/>
      <c r="C80" s="384" t="s">
        <v>697</v>
      </c>
      <c r="D80" s="385">
        <v>106.82087327508987</v>
      </c>
      <c r="E80" s="385">
        <v>98.684693402010922</v>
      </c>
      <c r="F80" s="385">
        <v>92.383342671121696</v>
      </c>
      <c r="G80" s="385">
        <v>1.9793153989150067</v>
      </c>
      <c r="H80" s="390">
        <v>7.1707065022436236</v>
      </c>
    </row>
    <row r="81" spans="2:8" x14ac:dyDescent="0.5">
      <c r="B81" s="383"/>
      <c r="C81" s="395" t="s">
        <v>698</v>
      </c>
      <c r="D81" s="396">
        <v>108.19</v>
      </c>
      <c r="E81" s="396">
        <v>98.85</v>
      </c>
      <c r="F81" s="396">
        <v>91.37</v>
      </c>
      <c r="G81" s="396">
        <v>1.98</v>
      </c>
      <c r="H81" s="407">
        <v>7.17</v>
      </c>
    </row>
    <row r="82" spans="2:8" x14ac:dyDescent="0.5">
      <c r="B82" s="383"/>
      <c r="C82" s="395" t="s">
        <v>699</v>
      </c>
      <c r="D82" s="396">
        <v>110.49</v>
      </c>
      <c r="E82" s="396">
        <v>99.85</v>
      </c>
      <c r="F82" s="396">
        <v>90.36</v>
      </c>
      <c r="G82" s="396">
        <v>2.63</v>
      </c>
      <c r="H82" s="407">
        <v>7.11</v>
      </c>
    </row>
    <row r="83" spans="2:8" x14ac:dyDescent="0.5">
      <c r="B83" s="383"/>
      <c r="C83" s="395" t="s">
        <v>700</v>
      </c>
      <c r="D83" s="396">
        <v>110.99853205855588</v>
      </c>
      <c r="E83" s="396">
        <v>99.695537532133329</v>
      </c>
      <c r="F83" s="396">
        <v>89.816987381004466</v>
      </c>
      <c r="G83" s="396">
        <v>2.63</v>
      </c>
      <c r="H83" s="407">
        <v>7.11</v>
      </c>
    </row>
    <row r="84" spans="2:8" x14ac:dyDescent="0.5">
      <c r="B84" s="383"/>
      <c r="C84" s="395" t="s">
        <v>701</v>
      </c>
      <c r="D84" s="396">
        <v>111.60497536541641</v>
      </c>
      <c r="E84" s="396">
        <v>100.0782886201137</v>
      </c>
      <c r="F84" s="396">
        <v>89.671888096778758</v>
      </c>
      <c r="G84" s="396">
        <v>2.6268258032264762</v>
      </c>
      <c r="H84" s="407">
        <v>7.1099904837247871</v>
      </c>
    </row>
    <row r="85" spans="2:8" x14ac:dyDescent="0.5">
      <c r="B85" s="383"/>
      <c r="C85" s="395" t="s">
        <v>702</v>
      </c>
      <c r="D85" s="396">
        <v>101.93403135349151</v>
      </c>
      <c r="E85" s="396">
        <v>90.851928914679476</v>
      </c>
      <c r="F85" s="396">
        <v>89.128162310797848</v>
      </c>
      <c r="G85" s="396">
        <v>3.3433643794091465</v>
      </c>
      <c r="H85" s="407">
        <v>6.8837143836161712</v>
      </c>
    </row>
    <row r="86" spans="2:8" x14ac:dyDescent="0.5">
      <c r="B86" s="383"/>
      <c r="C86" s="395" t="s">
        <v>703</v>
      </c>
      <c r="D86" s="396">
        <v>102.10986767210304</v>
      </c>
      <c r="E86" s="396">
        <v>90.66766413442673</v>
      </c>
      <c r="F86" s="396">
        <v>88.794223517731211</v>
      </c>
      <c r="G86" s="396">
        <v>3.3433643794091465</v>
      </c>
      <c r="H86" s="407">
        <v>6.8837143836161712</v>
      </c>
    </row>
    <row r="87" spans="2:8" x14ac:dyDescent="0.5">
      <c r="B87" s="383"/>
      <c r="C87" s="395" t="s">
        <v>704</v>
      </c>
      <c r="D87" s="396">
        <v>103.47991062392539</v>
      </c>
      <c r="E87" s="396">
        <v>90.276435882590917</v>
      </c>
      <c r="F87" s="396">
        <v>87.2405429597639</v>
      </c>
      <c r="G87" s="396">
        <v>3.3433643794091465</v>
      </c>
      <c r="H87" s="407">
        <v>6.8837143836161712</v>
      </c>
    </row>
    <row r="88" spans="2:8" x14ac:dyDescent="0.5">
      <c r="B88" s="383"/>
      <c r="C88" s="391" t="s">
        <v>705</v>
      </c>
      <c r="D88" s="392">
        <v>107.24547087103366</v>
      </c>
      <c r="E88" s="392">
        <v>90.650452633281375</v>
      </c>
      <c r="F88" s="392">
        <v>84.526136066194937</v>
      </c>
      <c r="G88" s="392">
        <v>3.0213018747633211</v>
      </c>
      <c r="H88" s="406">
        <v>6.7548076189610358</v>
      </c>
    </row>
    <row r="89" spans="2:8" x14ac:dyDescent="0.5">
      <c r="B89" s="383" t="s">
        <v>712</v>
      </c>
      <c r="C89" s="384" t="s">
        <v>694</v>
      </c>
      <c r="D89" s="385">
        <v>104.27887971642633</v>
      </c>
      <c r="E89" s="385">
        <v>90.341424959275471</v>
      </c>
      <c r="F89" s="385">
        <v>86.634441418001359</v>
      </c>
      <c r="G89" s="385">
        <v>3.0213018747633211</v>
      </c>
      <c r="H89" s="390">
        <v>6.7548076189610358</v>
      </c>
    </row>
    <row r="90" spans="2:8" x14ac:dyDescent="0.5">
      <c r="B90" s="383"/>
      <c r="C90" s="384" t="s">
        <v>695</v>
      </c>
      <c r="D90" s="385">
        <v>106.73479487798197</v>
      </c>
      <c r="E90" s="385">
        <v>91.280630949993608</v>
      </c>
      <c r="F90" s="385">
        <v>85.520969103228808</v>
      </c>
      <c r="G90" s="385">
        <v>3.0213018747633211</v>
      </c>
      <c r="H90" s="390">
        <v>6.7548076189610358</v>
      </c>
    </row>
    <row r="91" spans="2:8" x14ac:dyDescent="0.5">
      <c r="B91" s="383"/>
      <c r="C91" s="395" t="s">
        <v>696</v>
      </c>
      <c r="D91" s="396">
        <v>109.90481984066263</v>
      </c>
      <c r="E91" s="396">
        <v>92.900169903955728</v>
      </c>
      <c r="F91" s="396">
        <v>84.527839669488714</v>
      </c>
      <c r="G91" s="396">
        <v>3.6569272039544805</v>
      </c>
      <c r="H91" s="408">
        <v>6.8972894826773334</v>
      </c>
    </row>
    <row r="92" spans="2:8" x14ac:dyDescent="0.5">
      <c r="B92" s="383"/>
      <c r="C92" s="384" t="s">
        <v>697</v>
      </c>
      <c r="D92" s="396">
        <v>109.87596436693256</v>
      </c>
      <c r="E92" s="396">
        <v>92.575260587735372</v>
      </c>
      <c r="F92" s="396">
        <v>84.254332711546269</v>
      </c>
      <c r="G92" s="396">
        <v>3.6569272039544805</v>
      </c>
      <c r="H92" s="408">
        <v>6.8972894826773334</v>
      </c>
    </row>
    <row r="93" spans="2:8" x14ac:dyDescent="0.5">
      <c r="B93" s="383"/>
      <c r="C93" s="395" t="s">
        <v>698</v>
      </c>
      <c r="D93" s="396">
        <v>111.84884597033439</v>
      </c>
      <c r="E93" s="396">
        <v>92.871411272271544</v>
      </c>
      <c r="F93" s="396">
        <v>83.03296334135068</v>
      </c>
      <c r="G93" s="396">
        <v>3.6569272039544805</v>
      </c>
      <c r="H93" s="408">
        <v>6.8972894826773334</v>
      </c>
    </row>
    <row r="94" spans="2:8" x14ac:dyDescent="0.5">
      <c r="B94" s="383"/>
      <c r="C94" s="395" t="s">
        <v>699</v>
      </c>
      <c r="D94" s="396">
        <v>113.93199229594693</v>
      </c>
      <c r="E94" s="396">
        <v>94.470661607581505</v>
      </c>
      <c r="F94" s="396">
        <v>82.918467152041757</v>
      </c>
      <c r="G94" s="396">
        <v>3.732935603828333</v>
      </c>
      <c r="H94" s="408">
        <v>6.80029311454145</v>
      </c>
    </row>
    <row r="95" spans="2:8" x14ac:dyDescent="0.5">
      <c r="B95" s="383"/>
      <c r="C95" s="395" t="s">
        <v>700</v>
      </c>
      <c r="D95" s="396">
        <v>114.34261386369155</v>
      </c>
      <c r="E95" s="396">
        <v>94.583716301093062</v>
      </c>
      <c r="F95" s="396">
        <v>82.719568063965028</v>
      </c>
      <c r="G95" s="396">
        <v>3.732935603828333</v>
      </c>
      <c r="H95" s="408">
        <v>6.80029311454145</v>
      </c>
    </row>
    <row r="96" spans="2:8" x14ac:dyDescent="0.5">
      <c r="B96" s="383"/>
      <c r="C96" s="395" t="s">
        <v>701</v>
      </c>
      <c r="D96" s="396">
        <v>114.98347313459784</v>
      </c>
      <c r="E96" s="396">
        <v>94.611180045037955</v>
      </c>
      <c r="F96" s="396">
        <v>82.282416303678346</v>
      </c>
      <c r="G96" s="396">
        <v>3.732935603828333</v>
      </c>
      <c r="H96" s="408">
        <v>6.80029311454145</v>
      </c>
    </row>
    <row r="97" spans="2:8" x14ac:dyDescent="0.5">
      <c r="B97" s="383"/>
      <c r="C97" s="395" t="s">
        <v>702</v>
      </c>
      <c r="D97" s="396">
        <v>114.53500202954345</v>
      </c>
      <c r="E97" s="396">
        <v>95.270866878387224</v>
      </c>
      <c r="F97" s="396">
        <v>83.180569424369338</v>
      </c>
      <c r="G97" s="396">
        <v>3.9849266677290265</v>
      </c>
      <c r="H97" s="408">
        <v>6.380113471669449</v>
      </c>
    </row>
    <row r="98" spans="2:8" x14ac:dyDescent="0.5">
      <c r="B98" s="383"/>
      <c r="C98" s="395" t="s">
        <v>703</v>
      </c>
      <c r="D98" s="396">
        <v>115.02749956825834</v>
      </c>
      <c r="E98" s="396">
        <v>95.010513443991471</v>
      </c>
      <c r="F98" s="396">
        <v>82.598086371173707</v>
      </c>
      <c r="G98" s="396">
        <v>3.9849266677290265</v>
      </c>
      <c r="H98" s="408">
        <v>6.380113471669449</v>
      </c>
    </row>
    <row r="99" spans="2:8" x14ac:dyDescent="0.5">
      <c r="B99" s="383"/>
      <c r="C99" s="395" t="s">
        <v>704</v>
      </c>
      <c r="D99" s="396">
        <v>109.74438289736163</v>
      </c>
      <c r="E99" s="396">
        <v>90.031751146458419</v>
      </c>
      <c r="F99" s="396">
        <v>82.037684999933475</v>
      </c>
      <c r="G99" s="396">
        <v>3.9849266677290265</v>
      </c>
      <c r="H99" s="408">
        <v>6.380113471669449</v>
      </c>
    </row>
    <row r="100" spans="2:8" x14ac:dyDescent="0.5">
      <c r="B100" s="383"/>
      <c r="C100" s="391" t="s">
        <v>705</v>
      </c>
      <c r="D100" s="392">
        <v>113.86082453932804</v>
      </c>
      <c r="E100" s="392">
        <v>90.62817481098574</v>
      </c>
      <c r="F100" s="392">
        <v>79.595572206384617</v>
      </c>
      <c r="G100" s="392">
        <v>3.8641372749153109</v>
      </c>
      <c r="H100" s="406">
        <v>6.2159323792775645</v>
      </c>
    </row>
    <row r="101" spans="2:8" x14ac:dyDescent="0.5">
      <c r="B101" s="400" t="s">
        <v>713</v>
      </c>
      <c r="C101" s="384" t="s">
        <v>694</v>
      </c>
      <c r="D101" s="385">
        <v>113.00617177199055</v>
      </c>
      <c r="E101" s="385">
        <v>90.672719539409513</v>
      </c>
      <c r="F101" s="385">
        <v>80.236962386760055</v>
      </c>
      <c r="G101" s="385">
        <v>3.8641372749153109</v>
      </c>
      <c r="H101" s="390">
        <v>6.2159323792775645</v>
      </c>
    </row>
    <row r="102" spans="2:8" x14ac:dyDescent="0.5">
      <c r="B102" s="401"/>
      <c r="C102" s="395" t="s">
        <v>695</v>
      </c>
      <c r="D102" s="396">
        <v>114.43541575833922</v>
      </c>
      <c r="E102" s="396">
        <v>91.687801383526207</v>
      </c>
      <c r="F102" s="396">
        <v>80.121875536459214</v>
      </c>
      <c r="G102" s="396">
        <v>3.8641372749153109</v>
      </c>
      <c r="H102" s="408">
        <v>6.2159323792775645</v>
      </c>
    </row>
    <row r="103" spans="2:8" x14ac:dyDescent="0.5">
      <c r="B103" s="401"/>
      <c r="C103" s="395" t="s">
        <v>696</v>
      </c>
      <c r="D103" s="396">
        <v>116.78253214717115</v>
      </c>
      <c r="E103" s="396">
        <v>92.837845480566585</v>
      </c>
      <c r="F103" s="396">
        <v>79.496345706540154</v>
      </c>
      <c r="G103" s="396">
        <v>4.4159919691739171</v>
      </c>
      <c r="H103" s="408">
        <v>6.1734902630933712</v>
      </c>
    </row>
    <row r="104" spans="2:8" x14ac:dyDescent="0.5">
      <c r="B104" s="401"/>
      <c r="C104" s="395" t="s">
        <v>697</v>
      </c>
      <c r="D104" s="396">
        <v>116.4664659988059</v>
      </c>
      <c r="E104" s="396">
        <v>92.706572060232915</v>
      </c>
      <c r="F104" s="396">
        <v>79.599369024542582</v>
      </c>
      <c r="G104" s="396">
        <v>4.4159919691739171</v>
      </c>
      <c r="H104" s="408">
        <v>6.1734902630933712</v>
      </c>
    </row>
    <row r="105" spans="2:8" x14ac:dyDescent="0.5">
      <c r="B105" s="401"/>
      <c r="C105" s="395" t="s">
        <v>698</v>
      </c>
      <c r="D105" s="396">
        <v>117.11010092014584</v>
      </c>
      <c r="E105" s="396">
        <v>93.490537470362639</v>
      </c>
      <c r="F105" s="396">
        <v>79.83131833701627</v>
      </c>
      <c r="G105" s="396">
        <v>4.4159919691739171</v>
      </c>
      <c r="H105" s="408">
        <v>6.1734902630933712</v>
      </c>
    </row>
    <row r="106" spans="2:8" x14ac:dyDescent="0.5">
      <c r="B106" s="401"/>
      <c r="C106" s="395" t="s">
        <v>699</v>
      </c>
      <c r="D106" s="396">
        <v>118.10281604723649</v>
      </c>
      <c r="E106" s="396">
        <v>95.312081728526294</v>
      </c>
      <c r="F106" s="396">
        <v>80.702632603108469</v>
      </c>
      <c r="G106" s="396">
        <v>4.916738314688561</v>
      </c>
      <c r="H106" s="408">
        <v>5.9312856052799798</v>
      </c>
    </row>
    <row r="107" spans="2:8" x14ac:dyDescent="0.5">
      <c r="B107" s="401"/>
      <c r="C107" s="395" t="s">
        <v>700</v>
      </c>
      <c r="D107" s="396">
        <v>118.00128740889764</v>
      </c>
      <c r="E107" s="396">
        <v>95.389591090849009</v>
      </c>
      <c r="F107" s="396">
        <v>80.837754557969646</v>
      </c>
      <c r="G107" s="396">
        <v>4.916738314688561</v>
      </c>
      <c r="H107" s="408">
        <v>5.9312856052799798</v>
      </c>
    </row>
    <row r="108" spans="2:8" x14ac:dyDescent="0.5">
      <c r="B108" s="401"/>
      <c r="C108" s="395" t="s">
        <v>701</v>
      </c>
      <c r="D108" s="396">
        <v>118.65830693201819</v>
      </c>
      <c r="E108" s="396">
        <v>95.79614045925338</v>
      </c>
      <c r="F108" s="396">
        <v>80.732772054582725</v>
      </c>
      <c r="G108" s="396">
        <v>4.916738314688561</v>
      </c>
      <c r="H108" s="408">
        <v>5.9312856052799798</v>
      </c>
    </row>
    <row r="109" spans="2:8" x14ac:dyDescent="0.5">
      <c r="B109" s="401"/>
      <c r="C109" s="395" t="s">
        <v>702</v>
      </c>
      <c r="D109" s="396">
        <v>120.25810023449992</v>
      </c>
      <c r="E109" s="396">
        <v>97.064372921799389</v>
      </c>
      <c r="F109" s="396">
        <v>80.713376257006047</v>
      </c>
      <c r="G109" s="396">
        <v>5.2418189328498244</v>
      </c>
      <c r="H109" s="408">
        <v>5.7442020874835773</v>
      </c>
    </row>
    <row r="110" spans="2:8" x14ac:dyDescent="0.5">
      <c r="B110" s="401"/>
      <c r="C110" s="395" t="s">
        <v>703</v>
      </c>
      <c r="D110" s="396">
        <v>112.727895601345</v>
      </c>
      <c r="E110" s="396">
        <v>90.535237582796</v>
      </c>
      <c r="F110" s="396">
        <v>80.313073440994671</v>
      </c>
      <c r="G110" s="396">
        <v>5.2418189328498244</v>
      </c>
      <c r="H110" s="408">
        <v>5.7442020874835773</v>
      </c>
    </row>
    <row r="111" spans="2:8" x14ac:dyDescent="0.5">
      <c r="B111" s="401"/>
      <c r="C111" s="395" t="s">
        <v>704</v>
      </c>
      <c r="D111" s="396">
        <v>114.69271404380517</v>
      </c>
      <c r="E111" s="396">
        <v>91.154362302153416</v>
      </c>
      <c r="F111" s="396">
        <v>79.477029610911771</v>
      </c>
      <c r="G111" s="396">
        <v>5.2418189328498244</v>
      </c>
      <c r="H111" s="408">
        <v>5.7442020874835773</v>
      </c>
    </row>
    <row r="112" spans="2:8" x14ac:dyDescent="0.5">
      <c r="B112" s="401"/>
      <c r="C112" s="391" t="s">
        <v>705</v>
      </c>
      <c r="D112" s="392">
        <v>119.58845835057363</v>
      </c>
      <c r="E112" s="392">
        <v>91.595481794184977</v>
      </c>
      <c r="F112" s="392">
        <v>76.592242309598774</v>
      </c>
      <c r="G112" s="392">
        <v>4.6175596599635123</v>
      </c>
      <c r="H112" s="406">
        <v>5.5203848937936595</v>
      </c>
    </row>
    <row r="113" spans="2:8" ht="14.7" thickBot="1" x14ac:dyDescent="0.55000000000000004">
      <c r="B113" s="402" t="s">
        <v>714</v>
      </c>
      <c r="C113" s="409" t="s">
        <v>694</v>
      </c>
      <c r="D113" s="404">
        <v>118.56834280812249</v>
      </c>
      <c r="E113" s="404">
        <v>91.305608496676939</v>
      </c>
      <c r="F113" s="404">
        <v>77.006734119945946</v>
      </c>
      <c r="G113" s="404">
        <v>4.6175596599635123</v>
      </c>
      <c r="H113" s="404">
        <v>5.5203848937936595</v>
      </c>
    </row>
    <row r="114" spans="2:8" ht="14.7" thickTop="1" x14ac:dyDescent="0.5"/>
    <row r="118" spans="2:8" x14ac:dyDescent="0.5">
      <c r="F118" s="1"/>
    </row>
  </sheetData>
  <mergeCells count="17">
    <mergeCell ref="B77:B88"/>
    <mergeCell ref="B89:B100"/>
    <mergeCell ref="B101:B112"/>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45" top="0.5" bottom="0.25" header="0.3" footer="0.3"/>
  <pageSetup paperSize="9" scale="46" orientation="portrait" r:id="rId1"/>
  <rowBreaks count="1" manualBreakCount="1">
    <brk id="5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2E0E-B54A-43FF-A37C-530EF696A2FC}">
  <sheetPr codeName="Sheet92">
    <pageSetUpPr fitToPage="1"/>
  </sheetPr>
  <dimension ref="A1:N114"/>
  <sheetViews>
    <sheetView view="pageBreakPreview" zoomScaleSheetLayoutView="100" workbookViewId="0">
      <pane ySplit="4" topLeftCell="A95"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0.703125" customWidth="1"/>
    <col min="4" max="4" width="9.703125" style="410" customWidth="1"/>
    <col min="5" max="5" width="12.703125" style="410" customWidth="1"/>
    <col min="6" max="6" width="11.87890625" style="410" customWidth="1"/>
    <col min="7" max="7" width="11.703125" style="410" customWidth="1"/>
    <col min="8" max="8" width="11" style="410" customWidth="1"/>
    <col min="9" max="9" width="9" style="410"/>
    <col min="10" max="10" width="11.41015625" style="410" customWidth="1"/>
  </cols>
  <sheetData>
    <row r="1" spans="1:14" x14ac:dyDescent="0.5">
      <c r="A1" t="s">
        <v>121</v>
      </c>
    </row>
    <row r="2" spans="1:14" ht="16" thickBot="1" x14ac:dyDescent="0.55000000000000004">
      <c r="B2" s="405" t="s">
        <v>722</v>
      </c>
      <c r="C2" s="405"/>
      <c r="D2" s="405"/>
      <c r="E2" s="405"/>
      <c r="F2" s="405"/>
      <c r="G2" s="405"/>
      <c r="H2" s="405"/>
      <c r="I2" s="405"/>
      <c r="J2" s="405"/>
    </row>
    <row r="3" spans="1:14" ht="22.2" customHeight="1" thickTop="1" x14ac:dyDescent="0.5">
      <c r="B3" s="375" t="s">
        <v>687</v>
      </c>
      <c r="C3" s="376" t="s">
        <v>716</v>
      </c>
      <c r="D3" s="411" t="s">
        <v>723</v>
      </c>
      <c r="E3" s="411" t="s">
        <v>724</v>
      </c>
      <c r="F3" s="411" t="s">
        <v>725</v>
      </c>
      <c r="G3" s="411" t="s">
        <v>726</v>
      </c>
      <c r="H3" s="411" t="s">
        <v>727</v>
      </c>
      <c r="I3" s="411" t="s">
        <v>728</v>
      </c>
      <c r="J3" s="412" t="s">
        <v>729</v>
      </c>
    </row>
    <row r="4" spans="1:14" ht="48" customHeight="1" x14ac:dyDescent="0.5">
      <c r="B4" s="379"/>
      <c r="C4" s="380"/>
      <c r="D4" s="413"/>
      <c r="E4" s="413"/>
      <c r="F4" s="413"/>
      <c r="G4" s="413"/>
      <c r="H4" s="413"/>
      <c r="I4" s="413"/>
      <c r="J4" s="414"/>
    </row>
    <row r="5" spans="1:14" x14ac:dyDescent="0.5">
      <c r="B5" s="383" t="s">
        <v>693</v>
      </c>
      <c r="C5" s="384" t="s">
        <v>694</v>
      </c>
      <c r="D5" s="415">
        <v>2896</v>
      </c>
      <c r="E5" s="415">
        <v>16836017</v>
      </c>
      <c r="F5" s="415">
        <v>1096570</v>
      </c>
      <c r="G5" s="415">
        <v>1754566</v>
      </c>
      <c r="H5" s="415">
        <v>515465</v>
      </c>
      <c r="I5" s="415">
        <v>1908</v>
      </c>
      <c r="J5" s="416">
        <v>4657125</v>
      </c>
    </row>
    <row r="6" spans="1:14" x14ac:dyDescent="0.5">
      <c r="B6" s="383"/>
      <c r="C6" s="384" t="s">
        <v>695</v>
      </c>
      <c r="D6" s="415">
        <v>2896</v>
      </c>
      <c r="E6" s="415">
        <v>16836017</v>
      </c>
      <c r="F6" s="415">
        <v>1096570</v>
      </c>
      <c r="G6" s="415">
        <v>1754566</v>
      </c>
      <c r="H6" s="415">
        <v>515465</v>
      </c>
      <c r="I6" s="415">
        <v>1908</v>
      </c>
      <c r="J6" s="416">
        <v>4657125</v>
      </c>
    </row>
    <row r="7" spans="1:14" x14ac:dyDescent="0.5">
      <c r="B7" s="383"/>
      <c r="C7" s="384" t="s">
        <v>696</v>
      </c>
      <c r="D7" s="415">
        <v>2903</v>
      </c>
      <c r="E7" s="415">
        <v>17519287</v>
      </c>
      <c r="F7" s="415">
        <v>1101240</v>
      </c>
      <c r="G7" s="417">
        <v>1924946</v>
      </c>
      <c r="H7" s="415">
        <v>534372</v>
      </c>
      <c r="I7" s="415">
        <v>1938</v>
      </c>
      <c r="J7" s="416">
        <v>4671227</v>
      </c>
    </row>
    <row r="8" spans="1:14" x14ac:dyDescent="0.5">
      <c r="B8" s="383"/>
      <c r="C8" s="384" t="s">
        <v>697</v>
      </c>
      <c r="D8" s="415">
        <v>2903</v>
      </c>
      <c r="E8" s="415">
        <v>17519287</v>
      </c>
      <c r="F8" s="415">
        <v>1101240</v>
      </c>
      <c r="G8" s="415">
        <v>1924946</v>
      </c>
      <c r="H8" s="415">
        <v>534372</v>
      </c>
      <c r="I8" s="415">
        <v>1938</v>
      </c>
      <c r="J8" s="416">
        <v>4671227</v>
      </c>
    </row>
    <row r="9" spans="1:14" x14ac:dyDescent="0.5">
      <c r="B9" s="383"/>
      <c r="C9" s="384" t="s">
        <v>698</v>
      </c>
      <c r="D9" s="415">
        <v>2949</v>
      </c>
      <c r="E9" s="415">
        <v>17519287</v>
      </c>
      <c r="F9" s="415">
        <v>1101240</v>
      </c>
      <c r="G9" s="417">
        <v>1754566</v>
      </c>
      <c r="H9" s="415">
        <v>515465</v>
      </c>
      <c r="I9" s="415">
        <v>1938</v>
      </c>
      <c r="J9" s="416">
        <v>4671227</v>
      </c>
    </row>
    <row r="10" spans="1:14" x14ac:dyDescent="0.5">
      <c r="B10" s="383"/>
      <c r="C10" s="384" t="s">
        <v>699</v>
      </c>
      <c r="D10" s="415">
        <v>2979</v>
      </c>
      <c r="E10" s="415">
        <v>18206724</v>
      </c>
      <c r="F10" s="415">
        <v>1156841</v>
      </c>
      <c r="G10" s="415">
        <v>2236074</v>
      </c>
      <c r="H10" s="415">
        <v>564128</v>
      </c>
      <c r="I10" s="415">
        <v>1985</v>
      </c>
      <c r="J10" s="416">
        <v>4848053</v>
      </c>
      <c r="N10" s="418"/>
    </row>
    <row r="11" spans="1:14" x14ac:dyDescent="0.5">
      <c r="B11" s="383"/>
      <c r="C11" s="388" t="s">
        <v>700</v>
      </c>
      <c r="D11" s="415">
        <v>2994</v>
      </c>
      <c r="E11" s="415">
        <v>18206724</v>
      </c>
      <c r="F11" s="415">
        <v>1156841</v>
      </c>
      <c r="G11" s="415">
        <v>2236074</v>
      </c>
      <c r="H11" s="415">
        <v>564128</v>
      </c>
      <c r="I11" s="415">
        <v>1985</v>
      </c>
      <c r="J11" s="416">
        <v>4848053</v>
      </c>
    </row>
    <row r="12" spans="1:14" x14ac:dyDescent="0.5">
      <c r="B12" s="383"/>
      <c r="C12" s="384" t="s">
        <v>701</v>
      </c>
      <c r="D12" s="415">
        <v>3003</v>
      </c>
      <c r="E12" s="415">
        <v>18206724</v>
      </c>
      <c r="F12" s="415">
        <v>1156841</v>
      </c>
      <c r="G12" s="415">
        <v>2236074</v>
      </c>
      <c r="H12" s="415">
        <v>564128</v>
      </c>
      <c r="I12" s="415">
        <v>1985</v>
      </c>
      <c r="J12" s="416">
        <v>4848053</v>
      </c>
    </row>
    <row r="13" spans="1:14" x14ac:dyDescent="0.5">
      <c r="B13" s="383"/>
      <c r="C13" s="384" t="s">
        <v>702</v>
      </c>
      <c r="D13" s="415">
        <v>3023</v>
      </c>
      <c r="E13" s="415">
        <v>18843605</v>
      </c>
      <c r="F13" s="415">
        <v>1183632</v>
      </c>
      <c r="G13" s="415">
        <v>2426681</v>
      </c>
      <c r="H13" s="415">
        <v>734924</v>
      </c>
      <c r="I13" s="415">
        <v>2047</v>
      </c>
      <c r="J13" s="416">
        <v>4848053</v>
      </c>
    </row>
    <row r="14" spans="1:14" x14ac:dyDescent="0.5">
      <c r="B14" s="383"/>
      <c r="C14" s="384" t="s">
        <v>703</v>
      </c>
      <c r="D14" s="415">
        <v>3069</v>
      </c>
      <c r="E14" s="415">
        <v>18843605</v>
      </c>
      <c r="F14" s="415">
        <v>1183632</v>
      </c>
      <c r="G14" s="415">
        <v>2426681</v>
      </c>
      <c r="H14" s="415">
        <v>734924</v>
      </c>
      <c r="I14" s="415">
        <v>2047</v>
      </c>
      <c r="J14" s="416">
        <v>4848053</v>
      </c>
    </row>
    <row r="15" spans="1:14" x14ac:dyDescent="0.5">
      <c r="B15" s="383"/>
      <c r="C15" s="389" t="s">
        <v>704</v>
      </c>
      <c r="D15" s="415">
        <v>3069</v>
      </c>
      <c r="E15" s="415">
        <v>18843605</v>
      </c>
      <c r="F15" s="415">
        <v>1183632</v>
      </c>
      <c r="G15" s="417">
        <v>2426681</v>
      </c>
      <c r="H15" s="417">
        <v>734924</v>
      </c>
      <c r="I15" s="415">
        <v>2047</v>
      </c>
      <c r="J15" s="416">
        <v>4980958</v>
      </c>
      <c r="K15" s="410"/>
    </row>
    <row r="16" spans="1:14" x14ac:dyDescent="0.5">
      <c r="B16" s="383"/>
      <c r="C16" s="391" t="s">
        <v>705</v>
      </c>
      <c r="D16" s="418">
        <v>3173</v>
      </c>
      <c r="E16" s="418">
        <v>19754036</v>
      </c>
      <c r="F16" s="418">
        <v>1216091</v>
      </c>
      <c r="G16" s="418">
        <v>2669732</v>
      </c>
      <c r="H16" s="418">
        <v>783751</v>
      </c>
      <c r="I16" s="418">
        <v>2081</v>
      </c>
      <c r="J16" s="419">
        <v>4980958</v>
      </c>
    </row>
    <row r="17" spans="2:12" x14ac:dyDescent="0.5">
      <c r="B17" s="383" t="s">
        <v>706</v>
      </c>
      <c r="C17" s="384" t="s">
        <v>694</v>
      </c>
      <c r="D17" s="415">
        <v>3173</v>
      </c>
      <c r="E17" s="415">
        <v>19754036</v>
      </c>
      <c r="F17" s="415">
        <v>1216091</v>
      </c>
      <c r="G17" s="415">
        <v>2669732</v>
      </c>
      <c r="H17" s="415">
        <v>783751</v>
      </c>
      <c r="I17" s="415">
        <v>2081</v>
      </c>
      <c r="J17" s="416">
        <v>4980958</v>
      </c>
    </row>
    <row r="18" spans="2:12" x14ac:dyDescent="0.5">
      <c r="B18" s="383"/>
      <c r="C18" s="384" t="s">
        <v>695</v>
      </c>
      <c r="D18" s="415">
        <v>3222</v>
      </c>
      <c r="E18" s="415">
        <v>19754036</v>
      </c>
      <c r="F18" s="415">
        <v>1216091</v>
      </c>
      <c r="G18" s="415">
        <v>2669732</v>
      </c>
      <c r="H18" s="415">
        <v>783751</v>
      </c>
      <c r="I18" s="415">
        <v>2081</v>
      </c>
      <c r="J18" s="416">
        <v>4980958</v>
      </c>
    </row>
    <row r="19" spans="2:12" x14ac:dyDescent="0.5">
      <c r="B19" s="383"/>
      <c r="C19" s="384" t="s">
        <v>696</v>
      </c>
      <c r="D19" s="415">
        <v>3230</v>
      </c>
      <c r="E19" s="415">
        <v>20507612</v>
      </c>
      <c r="F19" s="415">
        <v>1217162</v>
      </c>
      <c r="G19" s="415">
        <v>2986669</v>
      </c>
      <c r="H19" s="415">
        <v>667967</v>
      </c>
      <c r="I19" s="415">
        <v>2287</v>
      </c>
      <c r="J19" s="416">
        <v>5583900</v>
      </c>
    </row>
    <row r="20" spans="2:12" x14ac:dyDescent="0.5">
      <c r="B20" s="383"/>
      <c r="C20" s="384" t="s">
        <v>697</v>
      </c>
      <c r="D20" s="415">
        <v>3266</v>
      </c>
      <c r="E20" s="415">
        <v>20507612</v>
      </c>
      <c r="F20" s="415">
        <v>1217162</v>
      </c>
      <c r="G20" s="415">
        <v>2986669</v>
      </c>
      <c r="H20" s="415">
        <v>667967</v>
      </c>
      <c r="I20" s="415">
        <v>2287</v>
      </c>
      <c r="J20" s="416">
        <v>5583900</v>
      </c>
    </row>
    <row r="21" spans="2:12" x14ac:dyDescent="0.5">
      <c r="B21" s="383"/>
      <c r="C21" s="384" t="s">
        <v>698</v>
      </c>
      <c r="D21" s="415">
        <v>3273</v>
      </c>
      <c r="E21" s="415">
        <v>20507612</v>
      </c>
      <c r="F21" s="415">
        <v>1217162</v>
      </c>
      <c r="G21" s="415">
        <v>2986669</v>
      </c>
      <c r="H21" s="415">
        <v>667967</v>
      </c>
      <c r="I21" s="415">
        <v>2287</v>
      </c>
      <c r="J21" s="416">
        <v>5583900</v>
      </c>
    </row>
    <row r="22" spans="2:12" ht="15.7" x14ac:dyDescent="0.55000000000000004">
      <c r="B22" s="383"/>
      <c r="C22" s="384" t="s">
        <v>699</v>
      </c>
      <c r="D22" s="415">
        <v>3473</v>
      </c>
      <c r="E22" s="415">
        <v>21498903</v>
      </c>
      <c r="F22" s="415">
        <v>1269220</v>
      </c>
      <c r="G22" s="417">
        <v>3530227</v>
      </c>
      <c r="H22" s="417">
        <v>842431</v>
      </c>
      <c r="I22" s="415">
        <v>2638</v>
      </c>
      <c r="J22" s="416">
        <v>5769128</v>
      </c>
      <c r="L22" s="34"/>
    </row>
    <row r="23" spans="2:12" x14ac:dyDescent="0.5">
      <c r="B23" s="383"/>
      <c r="C23" s="388" t="s">
        <v>700</v>
      </c>
      <c r="D23" s="415">
        <v>3576</v>
      </c>
      <c r="E23" s="415">
        <v>21498903</v>
      </c>
      <c r="F23" s="415">
        <v>1269220</v>
      </c>
      <c r="G23" s="417">
        <v>3530227</v>
      </c>
      <c r="H23" s="417">
        <v>842431</v>
      </c>
      <c r="I23" s="415">
        <v>2638</v>
      </c>
      <c r="J23" s="416">
        <v>5769128</v>
      </c>
    </row>
    <row r="24" spans="2:12" x14ac:dyDescent="0.5">
      <c r="B24" s="383"/>
      <c r="C24" s="384" t="s">
        <v>701</v>
      </c>
      <c r="D24" s="415">
        <v>3576</v>
      </c>
      <c r="E24" s="415">
        <v>21498903</v>
      </c>
      <c r="F24" s="415">
        <v>1269220</v>
      </c>
      <c r="G24" s="417">
        <v>3530227</v>
      </c>
      <c r="H24" s="417">
        <v>842431</v>
      </c>
      <c r="I24" s="415">
        <v>2638</v>
      </c>
      <c r="J24" s="416">
        <v>5769128</v>
      </c>
    </row>
    <row r="25" spans="2:12" x14ac:dyDescent="0.5">
      <c r="B25" s="383"/>
      <c r="C25" s="384" t="s">
        <v>702</v>
      </c>
      <c r="D25" s="415">
        <v>3673</v>
      </c>
      <c r="E25" s="415">
        <v>22500069</v>
      </c>
      <c r="F25" s="415">
        <v>1286841</v>
      </c>
      <c r="G25" s="417">
        <v>3999803</v>
      </c>
      <c r="H25" s="417">
        <v>784286</v>
      </c>
      <c r="I25" s="415">
        <v>2624</v>
      </c>
      <c r="J25" s="416">
        <v>5544253</v>
      </c>
    </row>
    <row r="26" spans="2:12" x14ac:dyDescent="0.5">
      <c r="B26" s="383"/>
      <c r="C26" s="384" t="s">
        <v>703</v>
      </c>
      <c r="D26" s="415">
        <v>3894</v>
      </c>
      <c r="E26" s="415">
        <v>22500069</v>
      </c>
      <c r="F26" s="415">
        <v>1286841</v>
      </c>
      <c r="G26" s="417">
        <v>3999803</v>
      </c>
      <c r="H26" s="417">
        <v>784286</v>
      </c>
      <c r="I26" s="415">
        <v>2624</v>
      </c>
      <c r="J26" s="416">
        <v>5544253</v>
      </c>
    </row>
    <row r="27" spans="2:12" x14ac:dyDescent="0.5">
      <c r="B27" s="383"/>
      <c r="C27" s="389" t="s">
        <v>704</v>
      </c>
      <c r="D27" s="415">
        <v>4053</v>
      </c>
      <c r="E27" s="415">
        <v>22500069</v>
      </c>
      <c r="F27" s="415">
        <v>1286841</v>
      </c>
      <c r="G27" s="417">
        <v>3999803</v>
      </c>
      <c r="H27" s="417">
        <v>784286</v>
      </c>
      <c r="I27" s="415">
        <v>2624</v>
      </c>
      <c r="J27" s="416">
        <v>5544253</v>
      </c>
    </row>
    <row r="28" spans="2:12" x14ac:dyDescent="0.5">
      <c r="B28" s="383"/>
      <c r="C28" s="391" t="s">
        <v>705</v>
      </c>
      <c r="D28" s="418">
        <v>4202</v>
      </c>
      <c r="E28" s="418">
        <v>23544859</v>
      </c>
      <c r="F28" s="418">
        <v>1301010</v>
      </c>
      <c r="G28" s="418">
        <v>5086069</v>
      </c>
      <c r="H28" s="418">
        <v>834302</v>
      </c>
      <c r="I28" s="418">
        <v>2791</v>
      </c>
      <c r="J28" s="419">
        <v>5544253</v>
      </c>
    </row>
    <row r="29" spans="2:12" x14ac:dyDescent="0.5">
      <c r="B29" s="383" t="s">
        <v>707</v>
      </c>
      <c r="C29" s="384" t="s">
        <v>694</v>
      </c>
      <c r="D29" s="415">
        <v>4265</v>
      </c>
      <c r="E29" s="415">
        <v>23544859</v>
      </c>
      <c r="F29" s="415">
        <v>1301010</v>
      </c>
      <c r="G29" s="415">
        <v>5086069</v>
      </c>
      <c r="H29" s="415">
        <v>834302</v>
      </c>
      <c r="I29" s="415">
        <v>2791</v>
      </c>
      <c r="J29" s="416">
        <v>5544253</v>
      </c>
    </row>
    <row r="30" spans="2:12" x14ac:dyDescent="0.5">
      <c r="B30" s="383"/>
      <c r="C30" s="384" t="s">
        <v>695</v>
      </c>
      <c r="D30" s="415">
        <v>4322</v>
      </c>
      <c r="E30" s="415">
        <v>23544859</v>
      </c>
      <c r="F30" s="415">
        <v>1301010</v>
      </c>
      <c r="G30" s="415">
        <v>5086069</v>
      </c>
      <c r="H30" s="415">
        <v>834302</v>
      </c>
      <c r="I30" s="415">
        <v>2791</v>
      </c>
      <c r="J30" s="416">
        <v>5544253</v>
      </c>
    </row>
    <row r="31" spans="2:12" x14ac:dyDescent="0.5">
      <c r="B31" s="383"/>
      <c r="C31" s="384" t="s">
        <v>696</v>
      </c>
      <c r="D31" s="415">
        <v>4347</v>
      </c>
      <c r="E31" s="415">
        <v>24351485</v>
      </c>
      <c r="F31" s="415">
        <v>1333341</v>
      </c>
      <c r="G31" s="415">
        <v>5827289</v>
      </c>
      <c r="H31" s="415">
        <v>791740</v>
      </c>
      <c r="I31" s="415">
        <v>2919</v>
      </c>
      <c r="J31" s="416">
        <v>5854167</v>
      </c>
    </row>
    <row r="32" spans="2:12" x14ac:dyDescent="0.5">
      <c r="B32" s="383"/>
      <c r="C32" s="384" t="s">
        <v>697</v>
      </c>
      <c r="D32" s="415">
        <v>4477</v>
      </c>
      <c r="E32" s="415">
        <v>24351485</v>
      </c>
      <c r="F32" s="415">
        <v>1333341</v>
      </c>
      <c r="G32" s="415">
        <v>5827289</v>
      </c>
      <c r="H32" s="415">
        <v>791740</v>
      </c>
      <c r="I32" s="415">
        <v>2919</v>
      </c>
      <c r="J32" s="416">
        <v>5854167</v>
      </c>
    </row>
    <row r="33" spans="2:10" x14ac:dyDescent="0.5">
      <c r="B33" s="383"/>
      <c r="C33" s="384" t="s">
        <v>698</v>
      </c>
      <c r="D33" s="415">
        <v>4531</v>
      </c>
      <c r="E33" s="415">
        <v>24351485</v>
      </c>
      <c r="F33" s="415">
        <v>1333341</v>
      </c>
      <c r="G33" s="415">
        <v>5827289</v>
      </c>
      <c r="H33" s="415">
        <v>791740</v>
      </c>
      <c r="I33" s="415">
        <v>2919</v>
      </c>
      <c r="J33" s="416">
        <v>5854167</v>
      </c>
    </row>
    <row r="34" spans="2:10" x14ac:dyDescent="0.5">
      <c r="B34" s="383"/>
      <c r="C34" s="384" t="s">
        <v>699</v>
      </c>
      <c r="D34" s="415">
        <v>4591</v>
      </c>
      <c r="E34" s="415">
        <v>25658387</v>
      </c>
      <c r="F34" s="415">
        <v>1360314</v>
      </c>
      <c r="G34" s="415">
        <v>6394916</v>
      </c>
      <c r="H34" s="415">
        <v>856695</v>
      </c>
      <c r="I34" s="415">
        <v>3109</v>
      </c>
      <c r="J34" s="416">
        <v>5962838</v>
      </c>
    </row>
    <row r="35" spans="2:10" x14ac:dyDescent="0.5">
      <c r="B35" s="383"/>
      <c r="C35" s="388" t="s">
        <v>700</v>
      </c>
      <c r="D35" s="415">
        <v>4644</v>
      </c>
      <c r="E35" s="415">
        <v>25658387</v>
      </c>
      <c r="F35" s="415">
        <v>1360314</v>
      </c>
      <c r="G35" s="415">
        <v>6394916</v>
      </c>
      <c r="H35" s="415">
        <v>856695</v>
      </c>
      <c r="I35" s="415">
        <v>3049</v>
      </c>
      <c r="J35" s="416">
        <v>5962838</v>
      </c>
    </row>
    <row r="36" spans="2:10" x14ac:dyDescent="0.5">
      <c r="B36" s="383"/>
      <c r="C36" s="384" t="s">
        <v>701</v>
      </c>
      <c r="D36" s="415">
        <v>4701</v>
      </c>
      <c r="E36" s="415">
        <v>25658387</v>
      </c>
      <c r="F36" s="415">
        <v>1360314</v>
      </c>
      <c r="G36" s="415">
        <v>6394916</v>
      </c>
      <c r="H36" s="415">
        <v>856695</v>
      </c>
      <c r="I36" s="415">
        <v>3049</v>
      </c>
      <c r="J36" s="416">
        <v>5962838</v>
      </c>
    </row>
    <row r="37" spans="2:10" x14ac:dyDescent="0.5">
      <c r="B37" s="383"/>
      <c r="C37" s="384" t="s">
        <v>702</v>
      </c>
      <c r="D37" s="415">
        <v>4736</v>
      </c>
      <c r="E37" s="415">
        <v>26910480.001000002</v>
      </c>
      <c r="F37" s="415">
        <v>1427937.3221</v>
      </c>
      <c r="G37" s="415">
        <v>6998924</v>
      </c>
      <c r="H37" s="415">
        <v>892859</v>
      </c>
      <c r="I37" s="415">
        <v>3188</v>
      </c>
      <c r="J37" s="416">
        <v>6281427</v>
      </c>
    </row>
    <row r="38" spans="2:10" x14ac:dyDescent="0.5">
      <c r="B38" s="383"/>
      <c r="C38" s="384" t="s">
        <v>703</v>
      </c>
      <c r="D38" s="415">
        <v>4800</v>
      </c>
      <c r="E38" s="415">
        <v>26910480.001000002</v>
      </c>
      <c r="F38" s="415">
        <v>1427937.3221</v>
      </c>
      <c r="G38" s="415">
        <v>6998924</v>
      </c>
      <c r="H38" s="415">
        <v>892859</v>
      </c>
      <c r="I38" s="415">
        <v>3188</v>
      </c>
      <c r="J38" s="416">
        <v>6281427</v>
      </c>
    </row>
    <row r="39" spans="2:10" x14ac:dyDescent="0.5">
      <c r="B39" s="383"/>
      <c r="C39" s="389" t="s">
        <v>704</v>
      </c>
      <c r="D39" s="415">
        <v>4994</v>
      </c>
      <c r="E39" s="415">
        <v>26910480.001000002</v>
      </c>
      <c r="F39" s="415">
        <v>1427937.3221</v>
      </c>
      <c r="G39" s="415">
        <v>6998924</v>
      </c>
      <c r="H39" s="415">
        <v>892859</v>
      </c>
      <c r="I39" s="415">
        <v>3188</v>
      </c>
      <c r="J39" s="416">
        <v>6281427</v>
      </c>
    </row>
    <row r="40" spans="2:10" x14ac:dyDescent="0.5">
      <c r="B40" s="383"/>
      <c r="C40" s="391" t="s">
        <v>705</v>
      </c>
      <c r="D40" s="418">
        <v>5057</v>
      </c>
      <c r="E40" s="418">
        <v>27866505</v>
      </c>
      <c r="F40" s="418">
        <v>1439648.0001000001</v>
      </c>
      <c r="G40" s="418">
        <v>8347187</v>
      </c>
      <c r="H40" s="418">
        <v>917344</v>
      </c>
      <c r="I40" s="418">
        <v>3316</v>
      </c>
      <c r="J40" s="419">
        <v>6708521</v>
      </c>
    </row>
    <row r="41" spans="2:10" x14ac:dyDescent="0.5">
      <c r="B41" s="383" t="s">
        <v>708</v>
      </c>
      <c r="C41" s="384" t="s">
        <v>694</v>
      </c>
      <c r="D41" s="415">
        <v>5138</v>
      </c>
      <c r="E41" s="415">
        <v>27866505</v>
      </c>
      <c r="F41" s="415">
        <v>1439648.0001000001</v>
      </c>
      <c r="G41" s="415">
        <v>8347187</v>
      </c>
      <c r="H41" s="415">
        <v>917344</v>
      </c>
      <c r="I41" s="415">
        <v>3316</v>
      </c>
      <c r="J41" s="416">
        <v>6708521</v>
      </c>
    </row>
    <row r="42" spans="2:10" x14ac:dyDescent="0.5">
      <c r="B42" s="383"/>
      <c r="C42" s="384" t="s">
        <v>695</v>
      </c>
      <c r="D42" s="415">
        <v>5257</v>
      </c>
      <c r="E42" s="415">
        <v>27866505</v>
      </c>
      <c r="F42" s="415">
        <v>1439648.0001000001</v>
      </c>
      <c r="G42" s="415">
        <v>8347187</v>
      </c>
      <c r="H42" s="415">
        <v>917344</v>
      </c>
      <c r="I42" s="415">
        <v>3316</v>
      </c>
      <c r="J42" s="416">
        <v>6708521</v>
      </c>
    </row>
    <row r="43" spans="2:10" x14ac:dyDescent="0.5">
      <c r="B43" s="383"/>
      <c r="C43" s="384" t="s">
        <v>696</v>
      </c>
      <c r="D43" s="415">
        <v>5357</v>
      </c>
      <c r="E43" s="417">
        <v>29269631</v>
      </c>
      <c r="F43" s="417">
        <v>1456410.0001000001</v>
      </c>
      <c r="G43" s="417">
        <v>9099732</v>
      </c>
      <c r="H43" s="417">
        <v>928709</v>
      </c>
      <c r="I43" s="415">
        <v>3520</v>
      </c>
      <c r="J43" s="416">
        <v>6819602</v>
      </c>
    </row>
    <row r="44" spans="2:10" x14ac:dyDescent="0.5">
      <c r="B44" s="383"/>
      <c r="C44" s="384" t="s">
        <v>697</v>
      </c>
      <c r="D44" s="415">
        <v>5428</v>
      </c>
      <c r="E44" s="415">
        <v>29269631</v>
      </c>
      <c r="F44" s="415">
        <v>1456410.0001000001</v>
      </c>
      <c r="G44" s="415">
        <v>9099732</v>
      </c>
      <c r="H44" s="415">
        <v>928709</v>
      </c>
      <c r="I44" s="415">
        <v>3520</v>
      </c>
      <c r="J44" s="416">
        <v>6819602</v>
      </c>
    </row>
    <row r="45" spans="2:10" x14ac:dyDescent="0.5">
      <c r="B45" s="383"/>
      <c r="C45" s="384" t="s">
        <v>698</v>
      </c>
      <c r="D45" s="415">
        <v>5470</v>
      </c>
      <c r="E45" s="415">
        <v>29269631</v>
      </c>
      <c r="F45" s="415">
        <v>1456410.0001000001</v>
      </c>
      <c r="G45" s="415">
        <v>9099732</v>
      </c>
      <c r="H45" s="415">
        <v>928709</v>
      </c>
      <c r="I45" s="415">
        <v>3520</v>
      </c>
      <c r="J45" s="416">
        <v>6819602</v>
      </c>
    </row>
    <row r="46" spans="2:10" x14ac:dyDescent="0.5">
      <c r="B46" s="383"/>
      <c r="C46" s="384" t="s">
        <v>699</v>
      </c>
      <c r="D46" s="415">
        <v>5533</v>
      </c>
      <c r="E46" s="415">
        <v>31112194</v>
      </c>
      <c r="F46" s="415">
        <v>1498467.0001000001</v>
      </c>
      <c r="G46" s="415">
        <v>9806237</v>
      </c>
      <c r="H46" s="415">
        <v>969055</v>
      </c>
      <c r="I46" s="415">
        <v>3662</v>
      </c>
      <c r="J46" s="416">
        <v>7215646</v>
      </c>
    </row>
    <row r="47" spans="2:10" x14ac:dyDescent="0.5">
      <c r="B47" s="383"/>
      <c r="C47" s="388" t="s">
        <v>700</v>
      </c>
      <c r="D47" s="415">
        <v>5621</v>
      </c>
      <c r="E47" s="415">
        <v>31112194</v>
      </c>
      <c r="F47" s="415">
        <v>1498467.0001000001</v>
      </c>
      <c r="G47" s="415">
        <v>9806237</v>
      </c>
      <c r="H47" s="415">
        <v>969055</v>
      </c>
      <c r="I47" s="415">
        <v>3662</v>
      </c>
      <c r="J47" s="416">
        <v>7215646</v>
      </c>
    </row>
    <row r="48" spans="2:10" x14ac:dyDescent="0.5">
      <c r="B48" s="383"/>
      <c r="C48" s="384" t="s">
        <v>701</v>
      </c>
      <c r="D48" s="415">
        <v>5671</v>
      </c>
      <c r="E48" s="415">
        <v>31112194</v>
      </c>
      <c r="F48" s="415">
        <v>1498467.0001000001</v>
      </c>
      <c r="G48" s="415">
        <v>9806237</v>
      </c>
      <c r="H48" s="415">
        <v>969055</v>
      </c>
      <c r="I48" s="415">
        <v>3662</v>
      </c>
      <c r="J48" s="416">
        <v>7215646</v>
      </c>
    </row>
    <row r="49" spans="2:10" x14ac:dyDescent="0.5">
      <c r="B49" s="383"/>
      <c r="C49" s="384" t="s">
        <v>702</v>
      </c>
      <c r="D49" s="415">
        <v>5673</v>
      </c>
      <c r="E49" s="415">
        <v>31885779</v>
      </c>
      <c r="F49" s="415">
        <v>1525435.0001000001</v>
      </c>
      <c r="G49" s="415">
        <v>10670072</v>
      </c>
      <c r="H49" s="415">
        <v>992724</v>
      </c>
      <c r="I49" s="415">
        <v>3945</v>
      </c>
      <c r="J49" s="416">
        <v>7243153</v>
      </c>
    </row>
    <row r="50" spans="2:10" x14ac:dyDescent="0.5">
      <c r="B50" s="383"/>
      <c r="C50" s="384" t="s">
        <v>703</v>
      </c>
      <c r="D50" s="415">
        <v>5674</v>
      </c>
      <c r="E50" s="415">
        <v>31885779</v>
      </c>
      <c r="F50" s="415">
        <v>1525435.0001000001</v>
      </c>
      <c r="G50" s="415">
        <v>10670072</v>
      </c>
      <c r="H50" s="415">
        <v>992724</v>
      </c>
      <c r="I50" s="415">
        <v>3945</v>
      </c>
      <c r="J50" s="416">
        <v>7243153</v>
      </c>
    </row>
    <row r="51" spans="2:10" x14ac:dyDescent="0.5">
      <c r="B51" s="383"/>
      <c r="C51" s="389" t="s">
        <v>704</v>
      </c>
      <c r="D51" s="415">
        <v>5694</v>
      </c>
      <c r="E51" s="415">
        <v>31885779</v>
      </c>
      <c r="F51" s="415">
        <v>1525435.0001000001</v>
      </c>
      <c r="G51" s="415">
        <v>10670072</v>
      </c>
      <c r="H51" s="415">
        <v>992724</v>
      </c>
      <c r="I51" s="415">
        <v>3945</v>
      </c>
      <c r="J51" s="416">
        <v>7243153</v>
      </c>
    </row>
    <row r="52" spans="2:10" x14ac:dyDescent="0.5">
      <c r="B52" s="383"/>
      <c r="C52" s="391" t="s">
        <v>705</v>
      </c>
      <c r="D52" s="418">
        <v>5708</v>
      </c>
      <c r="E52" s="418">
        <v>32454204</v>
      </c>
      <c r="F52" s="418">
        <v>1544059.0001000001</v>
      </c>
      <c r="G52" s="418">
        <v>11306797</v>
      </c>
      <c r="H52" s="418">
        <v>1031227</v>
      </c>
      <c r="I52" s="418">
        <v>4106</v>
      </c>
      <c r="J52" s="419">
        <v>7329202</v>
      </c>
    </row>
    <row r="53" spans="2:10" x14ac:dyDescent="0.5">
      <c r="B53" s="383" t="s">
        <v>709</v>
      </c>
      <c r="C53" s="384" t="s">
        <v>694</v>
      </c>
      <c r="D53" s="415">
        <v>5743</v>
      </c>
      <c r="E53" s="415">
        <v>32454204</v>
      </c>
      <c r="F53" s="415">
        <v>1544059.0001000001</v>
      </c>
      <c r="G53" s="415">
        <v>11306797</v>
      </c>
      <c r="H53" s="415">
        <v>1031227</v>
      </c>
      <c r="I53" s="415">
        <v>4106</v>
      </c>
      <c r="J53" s="416">
        <v>7329202</v>
      </c>
    </row>
    <row r="54" spans="2:10" x14ac:dyDescent="0.5">
      <c r="B54" s="383"/>
      <c r="C54" s="384" t="s">
        <v>695</v>
      </c>
      <c r="D54" s="415">
        <v>5772</v>
      </c>
      <c r="E54" s="415">
        <v>32454204</v>
      </c>
      <c r="F54" s="415">
        <v>1544059.0001000001</v>
      </c>
      <c r="G54" s="415">
        <v>11306797</v>
      </c>
      <c r="H54" s="415">
        <v>1031227</v>
      </c>
      <c r="I54" s="415">
        <v>4106</v>
      </c>
      <c r="J54" s="416">
        <v>7329202</v>
      </c>
    </row>
    <row r="55" spans="2:10" x14ac:dyDescent="0.5">
      <c r="B55" s="383"/>
      <c r="C55" s="384" t="s">
        <v>696</v>
      </c>
      <c r="D55" s="415">
        <v>5786</v>
      </c>
      <c r="E55" s="415">
        <v>33531787</v>
      </c>
      <c r="F55" s="415">
        <v>1557276.5859079685</v>
      </c>
      <c r="G55" s="415">
        <v>11912813</v>
      </c>
      <c r="H55" s="415">
        <v>1061340</v>
      </c>
      <c r="I55" s="415">
        <v>4191</v>
      </c>
      <c r="J55" s="416">
        <v>7669827</v>
      </c>
    </row>
    <row r="56" spans="2:10" x14ac:dyDescent="0.5">
      <c r="B56" s="383"/>
      <c r="C56" s="384" t="s">
        <v>697</v>
      </c>
      <c r="D56" s="415">
        <v>5819</v>
      </c>
      <c r="E56" s="415">
        <v>33531787</v>
      </c>
      <c r="F56" s="415">
        <v>1557276.5859079685</v>
      </c>
      <c r="G56" s="415">
        <v>11912813</v>
      </c>
      <c r="H56" s="415">
        <v>1061340</v>
      </c>
      <c r="I56" s="415">
        <v>4191</v>
      </c>
      <c r="J56" s="416">
        <v>7669827</v>
      </c>
    </row>
    <row r="57" spans="2:10" x14ac:dyDescent="0.5">
      <c r="B57" s="383"/>
      <c r="C57" s="384" t="s">
        <v>698</v>
      </c>
      <c r="D57" s="415">
        <v>5870</v>
      </c>
      <c r="E57" s="415">
        <v>33531787</v>
      </c>
      <c r="F57" s="415">
        <v>1557276.5859079685</v>
      </c>
      <c r="G57" s="415">
        <v>11912813</v>
      </c>
      <c r="H57" s="415">
        <v>1061340</v>
      </c>
      <c r="I57" s="415">
        <v>4191</v>
      </c>
      <c r="J57" s="416">
        <v>7669827</v>
      </c>
    </row>
    <row r="58" spans="2:10" x14ac:dyDescent="0.5">
      <c r="B58" s="383"/>
      <c r="C58" s="384" t="s">
        <v>699</v>
      </c>
      <c r="D58" s="415">
        <v>5915</v>
      </c>
      <c r="E58" s="415">
        <v>34671949</v>
      </c>
      <c r="F58" s="415">
        <v>1601957.5858079686</v>
      </c>
      <c r="G58" s="415">
        <v>12689445</v>
      </c>
      <c r="H58" s="415">
        <v>1090322</v>
      </c>
      <c r="I58" s="415">
        <v>4254</v>
      </c>
      <c r="J58" s="416">
        <v>8049059</v>
      </c>
    </row>
    <row r="59" spans="2:10" x14ac:dyDescent="0.5">
      <c r="B59" s="383"/>
      <c r="C59" s="388" t="s">
        <v>700</v>
      </c>
      <c r="D59" s="415">
        <v>5958</v>
      </c>
      <c r="E59" s="415">
        <v>34671949</v>
      </c>
      <c r="F59" s="415">
        <v>1601957.5858079686</v>
      </c>
      <c r="G59" s="415">
        <v>12689445</v>
      </c>
      <c r="H59" s="415">
        <v>1090322</v>
      </c>
      <c r="I59" s="415">
        <v>4254</v>
      </c>
      <c r="J59" s="416">
        <v>8049059</v>
      </c>
    </row>
    <row r="60" spans="2:10" x14ac:dyDescent="0.5">
      <c r="B60" s="383"/>
      <c r="C60" s="384" t="s">
        <v>701</v>
      </c>
      <c r="D60" s="417">
        <v>5957</v>
      </c>
      <c r="E60" s="415">
        <v>34671949</v>
      </c>
      <c r="F60" s="415">
        <v>1601957.5858079686</v>
      </c>
      <c r="G60" s="415">
        <v>12689445</v>
      </c>
      <c r="H60" s="415">
        <v>1090322</v>
      </c>
      <c r="I60" s="415">
        <v>4254</v>
      </c>
      <c r="J60" s="416">
        <v>8049059</v>
      </c>
    </row>
    <row r="61" spans="2:10" x14ac:dyDescent="0.5">
      <c r="B61" s="383"/>
      <c r="C61" s="384" t="s">
        <v>702</v>
      </c>
      <c r="D61" s="417">
        <v>5978</v>
      </c>
      <c r="E61" s="415">
        <v>36366041</v>
      </c>
      <c r="F61" s="415">
        <v>1682845</v>
      </c>
      <c r="G61" s="415">
        <v>13591375</v>
      </c>
      <c r="H61" s="415">
        <v>1122888</v>
      </c>
      <c r="I61" s="415">
        <v>4300</v>
      </c>
      <c r="J61" s="416">
        <v>8573382</v>
      </c>
    </row>
    <row r="62" spans="2:10" x14ac:dyDescent="0.5">
      <c r="B62" s="383"/>
      <c r="C62" s="384" t="s">
        <v>703</v>
      </c>
      <c r="D62" s="417">
        <v>5974</v>
      </c>
      <c r="E62" s="415">
        <v>36366041</v>
      </c>
      <c r="F62" s="415">
        <v>1682845</v>
      </c>
      <c r="G62" s="415">
        <v>13591375</v>
      </c>
      <c r="H62" s="415">
        <v>1122888</v>
      </c>
      <c r="I62" s="415">
        <v>4300</v>
      </c>
      <c r="J62" s="416">
        <v>8573382</v>
      </c>
    </row>
    <row r="63" spans="2:10" x14ac:dyDescent="0.5">
      <c r="B63" s="383"/>
      <c r="C63" s="389" t="s">
        <v>704</v>
      </c>
      <c r="D63" s="417">
        <v>5974</v>
      </c>
      <c r="E63" s="415">
        <v>36366041</v>
      </c>
      <c r="F63" s="415">
        <v>1682845</v>
      </c>
      <c r="G63" s="415">
        <v>13591375</v>
      </c>
      <c r="H63" s="415">
        <v>1122888</v>
      </c>
      <c r="I63" s="415">
        <v>4300</v>
      </c>
      <c r="J63" s="416">
        <v>8573382</v>
      </c>
    </row>
    <row r="64" spans="2:10" x14ac:dyDescent="0.5">
      <c r="B64" s="383"/>
      <c r="C64" s="391" t="s">
        <v>705</v>
      </c>
      <c r="D64" s="418">
        <v>5998</v>
      </c>
      <c r="E64" s="418">
        <v>37770985.482000001</v>
      </c>
      <c r="F64" s="418">
        <v>1702195</v>
      </c>
      <c r="G64" s="418">
        <v>14194839</v>
      </c>
      <c r="H64" s="418">
        <v>1160321</v>
      </c>
      <c r="I64" s="418">
        <v>4325</v>
      </c>
      <c r="J64" s="419">
        <v>8839855</v>
      </c>
    </row>
    <row r="65" spans="2:10" x14ac:dyDescent="0.5">
      <c r="B65" s="383" t="s">
        <v>710</v>
      </c>
      <c r="C65" s="384" t="s">
        <v>694</v>
      </c>
      <c r="D65" s="415">
        <v>6015</v>
      </c>
      <c r="E65" s="415">
        <v>37770985.482000001</v>
      </c>
      <c r="F65" s="415">
        <v>1702195</v>
      </c>
      <c r="G65" s="415">
        <v>14194839</v>
      </c>
      <c r="H65" s="415">
        <v>1160321</v>
      </c>
      <c r="I65" s="415">
        <v>4329</v>
      </c>
      <c r="J65" s="416">
        <v>8839855</v>
      </c>
    </row>
    <row r="66" spans="2:10" x14ac:dyDescent="0.5">
      <c r="B66" s="383"/>
      <c r="C66" s="384" t="s">
        <v>695</v>
      </c>
      <c r="D66" s="415">
        <v>6041</v>
      </c>
      <c r="E66" s="415">
        <v>37770985.482000001</v>
      </c>
      <c r="F66" s="415">
        <v>1702195</v>
      </c>
      <c r="G66" s="415">
        <v>14194839</v>
      </c>
      <c r="H66" s="415">
        <v>1160321</v>
      </c>
      <c r="I66" s="415">
        <v>4340</v>
      </c>
      <c r="J66" s="416">
        <v>8839855</v>
      </c>
    </row>
    <row r="67" spans="2:10" x14ac:dyDescent="0.5">
      <c r="B67" s="383"/>
      <c r="C67" s="384" t="s">
        <v>696</v>
      </c>
      <c r="D67" s="415">
        <v>6101</v>
      </c>
      <c r="E67" s="415">
        <v>39413555</v>
      </c>
      <c r="F67" s="415">
        <v>1764458</v>
      </c>
      <c r="G67" s="415">
        <v>15153463</v>
      </c>
      <c r="H67" s="415">
        <v>1258586</v>
      </c>
      <c r="I67" s="415">
        <v>4347</v>
      </c>
      <c r="J67" s="416">
        <v>9369678</v>
      </c>
    </row>
    <row r="68" spans="2:10" x14ac:dyDescent="0.5">
      <c r="B68" s="383"/>
      <c r="C68" s="384" t="s">
        <v>697</v>
      </c>
      <c r="D68" s="415">
        <v>6136</v>
      </c>
      <c r="E68" s="415">
        <v>39413555</v>
      </c>
      <c r="F68" s="415">
        <v>1764458</v>
      </c>
      <c r="G68" s="415">
        <v>15153463</v>
      </c>
      <c r="H68" s="415">
        <v>1258586</v>
      </c>
      <c r="I68" s="415">
        <v>4377</v>
      </c>
      <c r="J68" s="416">
        <v>9369678</v>
      </c>
    </row>
    <row r="69" spans="2:10" x14ac:dyDescent="0.5">
      <c r="B69" s="383"/>
      <c r="C69" s="384" t="s">
        <v>698</v>
      </c>
      <c r="D69" s="415">
        <v>6154</v>
      </c>
      <c r="E69" s="417">
        <v>40437862</v>
      </c>
      <c r="F69" s="417">
        <v>1792550</v>
      </c>
      <c r="G69" s="417">
        <v>15941535</v>
      </c>
      <c r="H69" s="417">
        <v>1520600</v>
      </c>
      <c r="I69" s="415">
        <v>4384</v>
      </c>
      <c r="J69" s="416">
        <v>9757919</v>
      </c>
    </row>
    <row r="70" spans="2:10" x14ac:dyDescent="0.5">
      <c r="B70" s="383"/>
      <c r="C70" s="384" t="s">
        <v>699</v>
      </c>
      <c r="D70" s="415">
        <v>6169</v>
      </c>
      <c r="E70" s="417">
        <v>41250195</v>
      </c>
      <c r="F70" s="417">
        <v>1801554</v>
      </c>
      <c r="G70" s="417">
        <v>16212468</v>
      </c>
      <c r="H70" s="417">
        <v>1556331</v>
      </c>
      <c r="I70" s="415">
        <v>4417</v>
      </c>
      <c r="J70" s="416">
        <v>9855221</v>
      </c>
    </row>
    <row r="71" spans="2:10" x14ac:dyDescent="0.5">
      <c r="B71" s="383"/>
      <c r="C71" s="388" t="s">
        <v>700</v>
      </c>
      <c r="D71" s="415">
        <v>6190</v>
      </c>
      <c r="E71" s="415">
        <v>41742979</v>
      </c>
      <c r="F71" s="415">
        <v>1807752</v>
      </c>
      <c r="G71" s="415">
        <v>16476700</v>
      </c>
      <c r="H71" s="415">
        <v>1583253</v>
      </c>
      <c r="I71" s="415">
        <v>4431</v>
      </c>
      <c r="J71" s="416">
        <v>10012907</v>
      </c>
    </row>
    <row r="72" spans="2:10" x14ac:dyDescent="0.5">
      <c r="B72" s="383"/>
      <c r="C72" s="384" t="s">
        <v>701</v>
      </c>
      <c r="D72" s="415">
        <v>6273</v>
      </c>
      <c r="E72" s="415">
        <v>42451071</v>
      </c>
      <c r="F72" s="415">
        <v>1837050</v>
      </c>
      <c r="G72" s="415">
        <v>16848434</v>
      </c>
      <c r="H72" s="415">
        <v>1609209</v>
      </c>
      <c r="I72" s="415">
        <v>4464</v>
      </c>
      <c r="J72" s="416">
        <v>10238473</v>
      </c>
    </row>
    <row r="73" spans="2:10" x14ac:dyDescent="0.5">
      <c r="B73" s="383"/>
      <c r="C73" s="384" t="s">
        <v>702</v>
      </c>
      <c r="D73" s="415">
        <v>6303</v>
      </c>
      <c r="E73" s="415">
        <v>43286374</v>
      </c>
      <c r="F73" s="415">
        <v>1836191</v>
      </c>
      <c r="G73" s="415">
        <v>17382448</v>
      </c>
      <c r="H73" s="415">
        <v>1658184</v>
      </c>
      <c r="I73" s="415">
        <v>4472</v>
      </c>
      <c r="J73" s="416">
        <v>10442985</v>
      </c>
    </row>
    <row r="74" spans="2:10" x14ac:dyDescent="0.5">
      <c r="B74" s="383"/>
      <c r="C74" s="384" t="s">
        <v>703</v>
      </c>
      <c r="D74" s="415">
        <v>6344</v>
      </c>
      <c r="E74" s="415">
        <v>43792578</v>
      </c>
      <c r="F74" s="415">
        <v>1834818</v>
      </c>
      <c r="G74" s="415">
        <v>17676259</v>
      </c>
      <c r="H74" s="415">
        <v>1606829</v>
      </c>
      <c r="I74" s="415">
        <v>4512</v>
      </c>
      <c r="J74" s="416">
        <v>10606549</v>
      </c>
    </row>
    <row r="75" spans="2:10" x14ac:dyDescent="0.5">
      <c r="B75" s="383"/>
      <c r="C75" s="389" t="s">
        <v>704</v>
      </c>
      <c r="D75" s="415">
        <v>6374</v>
      </c>
      <c r="E75" s="415">
        <v>44266462</v>
      </c>
      <c r="F75" s="415">
        <v>1844527.76182324</v>
      </c>
      <c r="G75" s="415">
        <v>17953837</v>
      </c>
      <c r="H75" s="415">
        <v>1632274</v>
      </c>
      <c r="I75" s="415">
        <v>4581</v>
      </c>
      <c r="J75" s="416">
        <v>10848831</v>
      </c>
    </row>
    <row r="76" spans="2:10" x14ac:dyDescent="0.5">
      <c r="B76" s="383"/>
      <c r="C76" s="391" t="s">
        <v>705</v>
      </c>
      <c r="D76" s="418">
        <v>6394</v>
      </c>
      <c r="E76" s="418">
        <v>44971969</v>
      </c>
      <c r="F76" s="418">
        <v>1829044</v>
      </c>
      <c r="G76" s="418">
        <v>18307255</v>
      </c>
      <c r="H76" s="418">
        <v>1684310</v>
      </c>
      <c r="I76" s="418">
        <v>4602</v>
      </c>
      <c r="J76" s="419">
        <v>10856357</v>
      </c>
    </row>
    <row r="77" spans="2:10" x14ac:dyDescent="0.5">
      <c r="B77" s="383" t="s">
        <v>711</v>
      </c>
      <c r="C77" s="384" t="s">
        <v>694</v>
      </c>
      <c r="D77" s="415">
        <v>6420</v>
      </c>
      <c r="E77" s="415">
        <v>45605999</v>
      </c>
      <c r="F77" s="415">
        <v>1831708</v>
      </c>
      <c r="G77" s="415">
        <v>18643834</v>
      </c>
      <c r="H77" s="415">
        <v>1706869</v>
      </c>
      <c r="I77" s="415">
        <v>4636</v>
      </c>
      <c r="J77" s="416">
        <v>11080950</v>
      </c>
    </row>
    <row r="78" spans="2:10" x14ac:dyDescent="0.5">
      <c r="B78" s="383"/>
      <c r="C78" s="384" t="s">
        <v>695</v>
      </c>
      <c r="D78" s="415">
        <v>6447</v>
      </c>
      <c r="E78" s="415">
        <v>46202693</v>
      </c>
      <c r="F78" s="415">
        <v>1834935.2340200003</v>
      </c>
      <c r="G78" s="415">
        <v>18889430</v>
      </c>
      <c r="H78" s="415">
        <v>1706091</v>
      </c>
      <c r="I78" s="415">
        <v>4661</v>
      </c>
      <c r="J78" s="416">
        <v>11349362</v>
      </c>
    </row>
    <row r="79" spans="2:10" x14ac:dyDescent="0.5">
      <c r="B79" s="383"/>
      <c r="C79" s="384" t="s">
        <v>696</v>
      </c>
      <c r="D79" s="415">
        <v>6469</v>
      </c>
      <c r="E79" s="415">
        <v>46855643</v>
      </c>
      <c r="F79" s="415">
        <v>1821786.5557463099</v>
      </c>
      <c r="G79" s="415">
        <v>19102652</v>
      </c>
      <c r="H79" s="415">
        <v>1719733</v>
      </c>
      <c r="I79" s="415">
        <v>4664</v>
      </c>
      <c r="J79" s="416">
        <v>11557174</v>
      </c>
    </row>
    <row r="80" spans="2:10" x14ac:dyDescent="0.5">
      <c r="B80" s="383"/>
      <c r="C80" s="395" t="s">
        <v>697</v>
      </c>
      <c r="D80" s="420">
        <v>6488</v>
      </c>
      <c r="E80" s="420">
        <v>47400244</v>
      </c>
      <c r="F80" s="420">
        <v>1827565.5557463099</v>
      </c>
      <c r="G80" s="420">
        <v>19403680</v>
      </c>
      <c r="H80" s="420">
        <v>1750936</v>
      </c>
      <c r="I80" s="415">
        <v>4696</v>
      </c>
      <c r="J80" s="416">
        <v>11738973</v>
      </c>
    </row>
    <row r="81" spans="2:10" x14ac:dyDescent="0.5">
      <c r="B81" s="383"/>
      <c r="C81" s="395" t="s">
        <v>698</v>
      </c>
      <c r="D81" s="420">
        <v>6502</v>
      </c>
      <c r="E81" s="420">
        <v>47750302</v>
      </c>
      <c r="F81" s="420">
        <v>1815685</v>
      </c>
      <c r="G81" s="420">
        <v>19754288</v>
      </c>
      <c r="H81" s="420">
        <v>1769739</v>
      </c>
      <c r="I81" s="420">
        <v>4739</v>
      </c>
      <c r="J81" s="421">
        <v>11920529</v>
      </c>
    </row>
    <row r="82" spans="2:10" x14ac:dyDescent="0.5">
      <c r="B82" s="383"/>
      <c r="C82" s="395" t="s">
        <v>699</v>
      </c>
      <c r="D82" s="420">
        <v>6437</v>
      </c>
      <c r="E82" s="420">
        <v>48324939</v>
      </c>
      <c r="F82" s="420">
        <v>1833165.2</v>
      </c>
      <c r="G82" s="420">
        <v>20053420</v>
      </c>
      <c r="H82" s="420">
        <v>1768932</v>
      </c>
      <c r="I82" s="420">
        <v>4648</v>
      </c>
      <c r="J82" s="421">
        <v>12222387</v>
      </c>
    </row>
    <row r="83" spans="2:10" x14ac:dyDescent="0.5">
      <c r="B83" s="383"/>
      <c r="C83" s="395" t="s">
        <v>700</v>
      </c>
      <c r="D83" s="420">
        <v>6454</v>
      </c>
      <c r="E83" s="420">
        <v>48775235</v>
      </c>
      <c r="F83" s="420">
        <v>1836485</v>
      </c>
      <c r="G83" s="420">
        <v>20036524</v>
      </c>
      <c r="H83" s="420">
        <v>1764801</v>
      </c>
      <c r="I83" s="420">
        <v>4692</v>
      </c>
      <c r="J83" s="421">
        <v>12305506</v>
      </c>
    </row>
    <row r="84" spans="2:10" x14ac:dyDescent="0.5">
      <c r="B84" s="383"/>
      <c r="C84" s="395" t="s">
        <v>701</v>
      </c>
      <c r="D84" s="420">
        <v>6461</v>
      </c>
      <c r="E84" s="420">
        <v>49205514</v>
      </c>
      <c r="F84" s="420">
        <v>1854598</v>
      </c>
      <c r="G84" s="420">
        <v>20065267</v>
      </c>
      <c r="H84" s="420">
        <v>1779134</v>
      </c>
      <c r="I84" s="420">
        <v>4713</v>
      </c>
      <c r="J84" s="421">
        <v>11874649</v>
      </c>
    </row>
    <row r="85" spans="2:10" x14ac:dyDescent="0.5">
      <c r="B85" s="383"/>
      <c r="C85" s="395" t="s">
        <v>702</v>
      </c>
      <c r="D85" s="420">
        <v>6479</v>
      </c>
      <c r="E85" s="420">
        <v>49749766</v>
      </c>
      <c r="F85" s="420">
        <v>1843796</v>
      </c>
      <c r="G85" s="420">
        <v>20434031</v>
      </c>
      <c r="H85" s="420">
        <v>1798866</v>
      </c>
      <c r="I85" s="420">
        <v>4729</v>
      </c>
      <c r="J85" s="421">
        <v>12118371</v>
      </c>
    </row>
    <row r="86" spans="2:10" x14ac:dyDescent="0.5">
      <c r="B86" s="383"/>
      <c r="C86" s="395" t="s">
        <v>703</v>
      </c>
      <c r="D86" s="420">
        <v>6416</v>
      </c>
      <c r="E86" s="420">
        <v>50113498</v>
      </c>
      <c r="F86" s="420">
        <v>1842930</v>
      </c>
      <c r="G86" s="420">
        <v>20763346</v>
      </c>
      <c r="H86" s="420">
        <v>1803065</v>
      </c>
      <c r="I86" s="420">
        <v>4716</v>
      </c>
      <c r="J86" s="421">
        <v>11760594</v>
      </c>
    </row>
    <row r="87" spans="2:10" x14ac:dyDescent="0.5">
      <c r="B87" s="383"/>
      <c r="C87" s="395" t="s">
        <v>704</v>
      </c>
      <c r="D87" s="420">
        <v>6432</v>
      </c>
      <c r="E87" s="420">
        <v>50666205</v>
      </c>
      <c r="F87" s="420">
        <v>1855780</v>
      </c>
      <c r="G87" s="420">
        <v>21091059</v>
      </c>
      <c r="H87" s="420">
        <v>1830425</v>
      </c>
      <c r="I87" s="420">
        <v>4743</v>
      </c>
      <c r="J87" s="421">
        <v>12234366</v>
      </c>
    </row>
    <row r="88" spans="2:10" x14ac:dyDescent="0.5">
      <c r="B88" s="383"/>
      <c r="C88" s="391" t="s">
        <v>705</v>
      </c>
      <c r="D88" s="418">
        <v>6461</v>
      </c>
      <c r="E88" s="418">
        <v>51177923</v>
      </c>
      <c r="F88" s="418">
        <v>1845213</v>
      </c>
      <c r="G88" s="418">
        <v>21363989</v>
      </c>
      <c r="H88" s="418">
        <v>1856195</v>
      </c>
      <c r="I88" s="418">
        <v>4855</v>
      </c>
      <c r="J88" s="419">
        <v>12245485</v>
      </c>
    </row>
    <row r="89" spans="2:10" x14ac:dyDescent="0.5">
      <c r="B89" s="400" t="s">
        <v>712</v>
      </c>
      <c r="C89" s="422" t="s">
        <v>694</v>
      </c>
      <c r="D89" s="415">
        <v>6441</v>
      </c>
      <c r="E89" s="415">
        <v>51738031</v>
      </c>
      <c r="F89" s="415">
        <v>1848700</v>
      </c>
      <c r="G89" s="415">
        <v>21691474</v>
      </c>
      <c r="H89" s="415">
        <v>1887046</v>
      </c>
      <c r="I89" s="415">
        <v>4969</v>
      </c>
      <c r="J89" s="421">
        <v>12400949</v>
      </c>
    </row>
    <row r="90" spans="2:10" x14ac:dyDescent="0.5">
      <c r="B90" s="401"/>
      <c r="C90" s="422" t="s">
        <v>695</v>
      </c>
      <c r="D90" s="415">
        <v>6435</v>
      </c>
      <c r="E90" s="415">
        <v>52183587</v>
      </c>
      <c r="F90" s="415">
        <v>1849070</v>
      </c>
      <c r="G90" s="415">
        <v>21957692</v>
      </c>
      <c r="H90" s="415">
        <v>1888345</v>
      </c>
      <c r="I90" s="415">
        <v>4978</v>
      </c>
      <c r="J90" s="421">
        <v>12529875</v>
      </c>
    </row>
    <row r="91" spans="2:10" x14ac:dyDescent="0.5">
      <c r="B91" s="401"/>
      <c r="C91" s="423" t="s">
        <v>696</v>
      </c>
      <c r="D91" s="420">
        <v>6436</v>
      </c>
      <c r="E91" s="420">
        <v>52714189</v>
      </c>
      <c r="F91" s="420">
        <v>1854466</v>
      </c>
      <c r="G91" s="420">
        <v>22284622</v>
      </c>
      <c r="H91" s="420">
        <v>1625009</v>
      </c>
      <c r="I91" s="420">
        <v>5048</v>
      </c>
      <c r="J91" s="421">
        <v>12639622</v>
      </c>
    </row>
    <row r="92" spans="2:10" x14ac:dyDescent="0.5">
      <c r="B92" s="401"/>
      <c r="C92" s="395" t="s">
        <v>697</v>
      </c>
      <c r="D92" s="420">
        <v>6429</v>
      </c>
      <c r="E92" s="420">
        <v>52901031</v>
      </c>
      <c r="F92" s="420">
        <v>1846764</v>
      </c>
      <c r="G92" s="420">
        <v>22505083</v>
      </c>
      <c r="H92" s="420">
        <v>1759193</v>
      </c>
      <c r="I92" s="420">
        <v>5059</v>
      </c>
      <c r="J92" s="421">
        <v>12673560</v>
      </c>
    </row>
    <row r="93" spans="2:10" x14ac:dyDescent="0.5">
      <c r="B93" s="401"/>
      <c r="C93" s="395" t="s">
        <v>698</v>
      </c>
      <c r="D93" s="420">
        <v>6444</v>
      </c>
      <c r="E93" s="420">
        <v>53303378</v>
      </c>
      <c r="F93" s="420">
        <v>1858355</v>
      </c>
      <c r="G93" s="420">
        <v>22624607</v>
      </c>
      <c r="H93" s="420">
        <v>1788657</v>
      </c>
      <c r="I93" s="420">
        <v>5073</v>
      </c>
      <c r="J93" s="421">
        <v>12680168</v>
      </c>
    </row>
    <row r="94" spans="2:10" x14ac:dyDescent="0.5">
      <c r="B94" s="401"/>
      <c r="C94" s="395" t="s">
        <v>699</v>
      </c>
      <c r="D94" s="420">
        <v>6441</v>
      </c>
      <c r="E94" s="420">
        <v>53550306</v>
      </c>
      <c r="F94" s="420">
        <v>1867083</v>
      </c>
      <c r="G94" s="420">
        <v>23216383</v>
      </c>
      <c r="H94" s="420">
        <v>1825092</v>
      </c>
      <c r="I94" s="420">
        <v>5064</v>
      </c>
      <c r="J94" s="421">
        <v>12747060</v>
      </c>
    </row>
    <row r="95" spans="2:10" x14ac:dyDescent="0.5">
      <c r="B95" s="401"/>
      <c r="C95" s="395" t="s">
        <v>700</v>
      </c>
      <c r="D95" s="420">
        <v>6458</v>
      </c>
      <c r="E95" s="420">
        <v>54077473</v>
      </c>
      <c r="F95" s="420">
        <v>1871659</v>
      </c>
      <c r="G95" s="420">
        <v>23506028</v>
      </c>
      <c r="H95" s="420">
        <v>1835849</v>
      </c>
      <c r="I95" s="420">
        <v>5078</v>
      </c>
      <c r="J95" s="421">
        <v>12524121</v>
      </c>
    </row>
    <row r="96" spans="2:10" x14ac:dyDescent="0.5">
      <c r="B96" s="401"/>
      <c r="C96" s="395" t="s">
        <v>701</v>
      </c>
      <c r="D96" s="420">
        <v>6464</v>
      </c>
      <c r="E96" s="420">
        <v>54400720</v>
      </c>
      <c r="F96" s="420">
        <v>1876473</v>
      </c>
      <c r="G96" s="420">
        <v>23783389</v>
      </c>
      <c r="H96" s="420">
        <v>1874982</v>
      </c>
      <c r="I96" s="420">
        <v>5091</v>
      </c>
      <c r="J96" s="421">
        <v>12651185</v>
      </c>
    </row>
    <row r="97" spans="2:10" x14ac:dyDescent="0.5">
      <c r="B97" s="401"/>
      <c r="C97" s="395" t="s">
        <v>702</v>
      </c>
      <c r="D97" s="420">
        <v>6465</v>
      </c>
      <c r="E97" s="420">
        <v>54745587</v>
      </c>
      <c r="F97" s="420">
        <v>1886899</v>
      </c>
      <c r="G97" s="420">
        <v>24053629</v>
      </c>
      <c r="H97" s="420">
        <v>1904773</v>
      </c>
      <c r="I97" s="420">
        <v>5096</v>
      </c>
      <c r="J97" s="421">
        <v>12714861</v>
      </c>
    </row>
    <row r="98" spans="2:10" x14ac:dyDescent="0.5">
      <c r="B98" s="401"/>
      <c r="C98" s="395" t="s">
        <v>703</v>
      </c>
      <c r="D98" s="420">
        <v>6455</v>
      </c>
      <c r="E98" s="420">
        <v>55052604</v>
      </c>
      <c r="F98" s="420">
        <v>1891576</v>
      </c>
      <c r="G98" s="420">
        <v>23797680</v>
      </c>
      <c r="H98" s="420">
        <v>1938888</v>
      </c>
      <c r="I98" s="420">
        <v>5163</v>
      </c>
      <c r="J98" s="421">
        <v>12789656</v>
      </c>
    </row>
    <row r="99" spans="2:10" x14ac:dyDescent="0.5">
      <c r="B99" s="401"/>
      <c r="C99" s="395" t="s">
        <v>704</v>
      </c>
      <c r="D99" s="420">
        <v>6452</v>
      </c>
      <c r="E99" s="420">
        <v>55475918</v>
      </c>
      <c r="F99" s="420">
        <v>1901051</v>
      </c>
      <c r="G99" s="420">
        <v>24363776</v>
      </c>
      <c r="H99" s="420">
        <v>1945736</v>
      </c>
      <c r="I99" s="420">
        <v>5182</v>
      </c>
      <c r="J99" s="421">
        <v>12927850</v>
      </c>
    </row>
    <row r="100" spans="2:10" x14ac:dyDescent="0.5">
      <c r="B100" s="401"/>
      <c r="C100" s="391" t="s">
        <v>705</v>
      </c>
      <c r="D100" s="418">
        <v>6479</v>
      </c>
      <c r="E100" s="418">
        <v>55895780</v>
      </c>
      <c r="F100" s="418">
        <v>1893270</v>
      </c>
      <c r="G100" s="418">
        <v>24648846</v>
      </c>
      <c r="H100" s="418">
        <v>1919322</v>
      </c>
      <c r="I100" s="418">
        <v>5193</v>
      </c>
      <c r="J100" s="419">
        <v>12893528</v>
      </c>
    </row>
    <row r="101" spans="2:10" x14ac:dyDescent="0.5">
      <c r="B101" s="401" t="s">
        <v>713</v>
      </c>
      <c r="C101" s="422" t="s">
        <v>694</v>
      </c>
      <c r="D101" s="415">
        <v>6486</v>
      </c>
      <c r="E101" s="415">
        <v>56255305</v>
      </c>
      <c r="F101" s="415">
        <v>1899483</v>
      </c>
      <c r="G101" s="415">
        <v>24961165</v>
      </c>
      <c r="H101" s="415">
        <v>1962827</v>
      </c>
      <c r="I101" s="415">
        <v>5200</v>
      </c>
      <c r="J101" s="416">
        <v>12997305</v>
      </c>
    </row>
    <row r="102" spans="2:10" x14ac:dyDescent="0.5">
      <c r="B102" s="401"/>
      <c r="C102" s="423" t="s">
        <v>695</v>
      </c>
      <c r="D102" s="420">
        <v>6487</v>
      </c>
      <c r="E102" s="420">
        <v>56726628</v>
      </c>
      <c r="F102" s="420">
        <v>1909199</v>
      </c>
      <c r="G102" s="420">
        <v>25207122</v>
      </c>
      <c r="H102" s="420">
        <v>1986817</v>
      </c>
      <c r="I102" s="420">
        <v>5205</v>
      </c>
      <c r="J102" s="416">
        <v>13097125</v>
      </c>
    </row>
    <row r="103" spans="2:10" x14ac:dyDescent="0.5">
      <c r="B103" s="401"/>
      <c r="C103" s="423" t="s">
        <v>696</v>
      </c>
      <c r="D103" s="420">
        <v>6488</v>
      </c>
      <c r="E103" s="420">
        <v>56975358</v>
      </c>
      <c r="F103" s="420">
        <v>1912234</v>
      </c>
      <c r="G103" s="420">
        <v>25524189</v>
      </c>
      <c r="H103" s="420">
        <v>2026524</v>
      </c>
      <c r="I103" s="420">
        <v>5220</v>
      </c>
      <c r="J103" s="416">
        <v>13161459</v>
      </c>
    </row>
    <row r="104" spans="2:10" x14ac:dyDescent="0.5">
      <c r="B104" s="401"/>
      <c r="C104" s="423" t="s">
        <v>697</v>
      </c>
      <c r="D104" s="420">
        <v>6491</v>
      </c>
      <c r="E104" s="420">
        <v>57226303</v>
      </c>
      <c r="F104" s="420">
        <v>1918926</v>
      </c>
      <c r="G104" s="420">
        <v>25758242</v>
      </c>
      <c r="H104" s="420">
        <v>2057438</v>
      </c>
      <c r="I104" s="420">
        <v>5224</v>
      </c>
      <c r="J104" s="416">
        <v>13245840</v>
      </c>
    </row>
    <row r="105" spans="2:10" x14ac:dyDescent="0.5">
      <c r="B105" s="401"/>
      <c r="C105" s="423" t="s">
        <v>698</v>
      </c>
      <c r="D105" s="420">
        <v>6499</v>
      </c>
      <c r="E105" s="420">
        <v>57566770</v>
      </c>
      <c r="F105" s="420">
        <v>1928110</v>
      </c>
      <c r="G105" s="420">
        <v>26034354</v>
      </c>
      <c r="H105" s="420">
        <v>2088831</v>
      </c>
      <c r="I105" s="420">
        <v>5227</v>
      </c>
      <c r="J105" s="416">
        <v>13218192</v>
      </c>
    </row>
    <row r="106" spans="2:10" x14ac:dyDescent="0.5">
      <c r="B106" s="401"/>
      <c r="C106" s="423" t="s">
        <v>699</v>
      </c>
      <c r="D106" s="420">
        <v>6501</v>
      </c>
      <c r="E106" s="420">
        <v>57925795</v>
      </c>
      <c r="F106" s="420">
        <v>1925724</v>
      </c>
      <c r="G106" s="420">
        <v>26336117</v>
      </c>
      <c r="H106" s="420">
        <v>2118384</v>
      </c>
      <c r="I106" s="420">
        <v>5229</v>
      </c>
      <c r="J106" s="421">
        <v>13363174</v>
      </c>
    </row>
    <row r="107" spans="2:10" x14ac:dyDescent="0.5">
      <c r="B107" s="401"/>
      <c r="C107" s="423" t="s">
        <v>700</v>
      </c>
      <c r="D107" s="420">
        <v>6501</v>
      </c>
      <c r="E107" s="420">
        <v>58172700</v>
      </c>
      <c r="F107" s="420">
        <v>1929793</v>
      </c>
      <c r="G107" s="420">
        <v>26573072</v>
      </c>
      <c r="H107" s="420">
        <v>2141604</v>
      </c>
      <c r="I107" s="420">
        <v>5235</v>
      </c>
      <c r="J107" s="421">
        <v>13457625</v>
      </c>
    </row>
    <row r="108" spans="2:10" x14ac:dyDescent="0.5">
      <c r="B108" s="401"/>
      <c r="C108" s="423" t="s">
        <v>701</v>
      </c>
      <c r="D108" s="420">
        <v>6504</v>
      </c>
      <c r="E108" s="420">
        <v>58399784</v>
      </c>
      <c r="F108" s="420">
        <v>1937480</v>
      </c>
      <c r="G108" s="420">
        <v>26757194</v>
      </c>
      <c r="H108" s="420">
        <v>2141423</v>
      </c>
      <c r="I108" s="420">
        <v>5242</v>
      </c>
      <c r="J108" s="421">
        <v>13480427</v>
      </c>
    </row>
    <row r="109" spans="2:10" x14ac:dyDescent="0.5">
      <c r="B109" s="401"/>
      <c r="C109" s="423" t="s">
        <v>702</v>
      </c>
      <c r="D109" s="420">
        <v>6506</v>
      </c>
      <c r="E109" s="420">
        <v>58774480</v>
      </c>
      <c r="F109" s="420">
        <v>1940888</v>
      </c>
      <c r="G109" s="420">
        <v>27012002</v>
      </c>
      <c r="H109" s="420">
        <v>2173746</v>
      </c>
      <c r="I109" s="420">
        <v>5262</v>
      </c>
      <c r="J109" s="421">
        <v>13589225</v>
      </c>
    </row>
    <row r="110" spans="2:10" x14ac:dyDescent="0.5">
      <c r="B110" s="401"/>
      <c r="C110" s="423" t="s">
        <v>703</v>
      </c>
      <c r="D110" s="420">
        <v>6507</v>
      </c>
      <c r="E110" s="420">
        <v>59028478</v>
      </c>
      <c r="F110" s="420">
        <v>1953008</v>
      </c>
      <c r="G110" s="420">
        <v>27263391</v>
      </c>
      <c r="H110" s="420">
        <v>2423038</v>
      </c>
      <c r="I110" s="420">
        <v>5266</v>
      </c>
      <c r="J110" s="421">
        <v>13531550</v>
      </c>
    </row>
    <row r="111" spans="2:10" x14ac:dyDescent="0.5">
      <c r="B111" s="401"/>
      <c r="C111" s="423" t="s">
        <v>704</v>
      </c>
      <c r="D111" s="420">
        <v>6518</v>
      </c>
      <c r="E111" s="420">
        <v>59429367</v>
      </c>
      <c r="F111" s="420">
        <v>1966558</v>
      </c>
      <c r="G111" s="420">
        <v>27464996</v>
      </c>
      <c r="H111" s="420">
        <v>2665143</v>
      </c>
      <c r="I111" s="420">
        <v>5265</v>
      </c>
      <c r="J111" s="421">
        <v>13592014</v>
      </c>
    </row>
    <row r="112" spans="2:10" x14ac:dyDescent="0.5">
      <c r="B112" s="401"/>
      <c r="C112" s="391" t="s">
        <v>705</v>
      </c>
      <c r="D112" s="418">
        <v>6522</v>
      </c>
      <c r="E112" s="418">
        <v>59881353</v>
      </c>
      <c r="F112" s="418">
        <v>1961469</v>
      </c>
      <c r="G112" s="418">
        <v>27741284</v>
      </c>
      <c r="H112" s="418">
        <v>2219341</v>
      </c>
      <c r="I112" s="418">
        <v>5263</v>
      </c>
      <c r="J112" s="419">
        <v>13665792</v>
      </c>
    </row>
    <row r="113" spans="2:10" ht="14.7" thickBot="1" x14ac:dyDescent="0.55000000000000004">
      <c r="B113" s="402" t="s">
        <v>714</v>
      </c>
      <c r="C113" s="403" t="s">
        <v>694</v>
      </c>
      <c r="D113" s="424">
        <v>6526</v>
      </c>
      <c r="E113" s="424">
        <v>60158433</v>
      </c>
      <c r="F113" s="424">
        <v>1969247</v>
      </c>
      <c r="G113" s="424">
        <v>27988708</v>
      </c>
      <c r="H113" s="424">
        <v>2250772</v>
      </c>
      <c r="I113" s="424">
        <v>5264</v>
      </c>
      <c r="J113" s="425">
        <v>13661821</v>
      </c>
    </row>
    <row r="114" spans="2:10" ht="14.7" thickTop="1" x14ac:dyDescent="0.5"/>
  </sheetData>
  <mergeCells count="19">
    <mergeCell ref="B77:B88"/>
    <mergeCell ref="B89:B100"/>
    <mergeCell ref="B101:B112"/>
    <mergeCell ref="B5:B16"/>
    <mergeCell ref="B17:B28"/>
    <mergeCell ref="B29:B40"/>
    <mergeCell ref="B41:B52"/>
    <mergeCell ref="B53:B64"/>
    <mergeCell ref="B65:B76"/>
    <mergeCell ref="B2:J2"/>
    <mergeCell ref="B3:B4"/>
    <mergeCell ref="C3:C4"/>
    <mergeCell ref="D3:D4"/>
    <mergeCell ref="E3:E4"/>
    <mergeCell ref="F3:F4"/>
    <mergeCell ref="G3:G4"/>
    <mergeCell ref="H3:H4"/>
    <mergeCell ref="I3:I4"/>
    <mergeCell ref="J3:J4"/>
  </mergeCells>
  <printOptions horizontalCentered="1"/>
  <pageMargins left="0.45" right="0.2" top="0.5" bottom="0.25" header="0.3" footer="0.3"/>
  <pageSetup paperSize="9" scale="46" orientation="portrait" r:id="rId1"/>
  <rowBreaks count="1" manualBreakCount="1">
    <brk id="5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DB17-1277-451D-AE8E-3D75D2FFD5DC}">
  <sheetPr codeName="Sheet93">
    <pageSetUpPr fitToPage="1"/>
  </sheetPr>
  <dimension ref="A1:L114"/>
  <sheetViews>
    <sheetView view="pageBreakPreview" zoomScaleSheetLayoutView="100" workbookViewId="0">
      <pane ySplit="4" topLeftCell="A92"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5.29296875" customWidth="1"/>
    <col min="4" max="5" width="13.41015625" customWidth="1"/>
    <col min="6" max="6" width="14.1171875" customWidth="1"/>
    <col min="7" max="7" width="12.5859375" customWidth="1"/>
    <col min="8" max="8" width="12.41015625" bestFit="1" customWidth="1"/>
  </cols>
  <sheetData>
    <row r="1" spans="1:8" x14ac:dyDescent="0.5">
      <c r="A1" t="s">
        <v>121</v>
      </c>
    </row>
    <row r="2" spans="1:8" ht="16" thickBot="1" x14ac:dyDescent="0.55000000000000004">
      <c r="B2" s="426" t="s">
        <v>730</v>
      </c>
      <c r="C2" s="426"/>
      <c r="D2" s="426"/>
      <c r="E2" s="426"/>
      <c r="F2" s="426"/>
      <c r="G2" s="426"/>
      <c r="H2" s="426"/>
    </row>
    <row r="3" spans="1:8" ht="43.2" customHeight="1" thickTop="1" x14ac:dyDescent="0.5">
      <c r="B3" s="375" t="s">
        <v>687</v>
      </c>
      <c r="C3" s="376" t="s">
        <v>716</v>
      </c>
      <c r="D3" s="376" t="s">
        <v>731</v>
      </c>
      <c r="E3" s="376" t="s">
        <v>732</v>
      </c>
      <c r="F3" s="376" t="s">
        <v>733</v>
      </c>
      <c r="G3" s="376" t="s">
        <v>734</v>
      </c>
      <c r="H3" s="378" t="s">
        <v>735</v>
      </c>
    </row>
    <row r="4" spans="1:8" ht="36" customHeight="1" x14ac:dyDescent="0.5">
      <c r="B4" s="379"/>
      <c r="C4" s="380"/>
      <c r="D4" s="380"/>
      <c r="E4" s="380"/>
      <c r="F4" s="380"/>
      <c r="G4" s="380"/>
      <c r="H4" s="382"/>
    </row>
    <row r="5" spans="1:8" x14ac:dyDescent="0.5">
      <c r="B5" s="383" t="s">
        <v>693</v>
      </c>
      <c r="C5" s="384" t="s">
        <v>694</v>
      </c>
      <c r="D5" s="427">
        <v>3.29</v>
      </c>
      <c r="E5" s="427">
        <v>2.12</v>
      </c>
      <c r="F5" s="427">
        <v>5.61</v>
      </c>
      <c r="G5" s="427">
        <v>3.95</v>
      </c>
      <c r="H5" s="428">
        <v>8.8627390796693852</v>
      </c>
    </row>
    <row r="6" spans="1:8" x14ac:dyDescent="0.5">
      <c r="B6" s="383"/>
      <c r="C6" s="384" t="s">
        <v>695</v>
      </c>
      <c r="D6" s="427">
        <v>3.2708025288080029</v>
      </c>
      <c r="E6" s="427">
        <v>2.1254449800022299</v>
      </c>
      <c r="F6" s="427">
        <v>5.6546297683726694</v>
      </c>
      <c r="G6" s="427">
        <v>3.7862375122081193</v>
      </c>
      <c r="H6" s="428">
        <v>8.770936414635047</v>
      </c>
    </row>
    <row r="7" spans="1:8" x14ac:dyDescent="0.5">
      <c r="B7" s="383"/>
      <c r="C7" s="384" t="s">
        <v>696</v>
      </c>
      <c r="D7" s="427">
        <v>3.3</v>
      </c>
      <c r="E7" s="427">
        <v>2.06</v>
      </c>
      <c r="F7" s="427">
        <v>5.67</v>
      </c>
      <c r="G7" s="427">
        <v>4.16</v>
      </c>
      <c r="H7" s="428">
        <v>8.6199999999999992</v>
      </c>
    </row>
    <row r="8" spans="1:8" x14ac:dyDescent="0.5">
      <c r="B8" s="383"/>
      <c r="C8" s="384" t="s">
        <v>697</v>
      </c>
      <c r="D8" s="427">
        <v>3.4557359685252953</v>
      </c>
      <c r="E8" s="427">
        <v>2.0382646193816321</v>
      </c>
      <c r="F8" s="427">
        <v>5.9220716901264909</v>
      </c>
      <c r="G8" s="427">
        <v>4.3784836922314794</v>
      </c>
      <c r="H8" s="428">
        <v>8.8831005706782786</v>
      </c>
    </row>
    <row r="9" spans="1:8" x14ac:dyDescent="0.5">
      <c r="B9" s="383"/>
      <c r="C9" s="384" t="s">
        <v>698</v>
      </c>
      <c r="D9" s="427">
        <v>3.4557359685252953</v>
      </c>
      <c r="E9" s="427">
        <v>2.0382646193816321</v>
      </c>
      <c r="F9" s="427">
        <v>5.9220716901264909</v>
      </c>
      <c r="G9" s="427">
        <v>4.3784836922314794</v>
      </c>
      <c r="H9" s="428">
        <v>8.8831005706782786</v>
      </c>
    </row>
    <row r="10" spans="1:8" x14ac:dyDescent="0.5">
      <c r="B10" s="383"/>
      <c r="C10" s="384" t="s">
        <v>699</v>
      </c>
      <c r="D10" s="427">
        <v>4.0182428493441336</v>
      </c>
      <c r="E10" s="427">
        <v>2.1055608337301126</v>
      </c>
      <c r="F10" s="427">
        <v>6.7213658274395431</v>
      </c>
      <c r="G10" s="427">
        <v>5.5478602464263371</v>
      </c>
      <c r="H10" s="428">
        <v>9.2841885802441464</v>
      </c>
    </row>
    <row r="11" spans="1:8" x14ac:dyDescent="0.5">
      <c r="B11" s="383"/>
      <c r="C11" s="388" t="s">
        <v>700</v>
      </c>
      <c r="D11" s="427">
        <v>4.702043156180661</v>
      </c>
      <c r="E11" s="427">
        <v>2.1645743352532638</v>
      </c>
      <c r="F11" s="427">
        <v>7.3690023893096122</v>
      </c>
      <c r="G11" s="427">
        <v>7.2381536854869273</v>
      </c>
      <c r="H11" s="428">
        <v>10.051970280863683</v>
      </c>
    </row>
    <row r="12" spans="1:8" x14ac:dyDescent="0.5">
      <c r="B12" s="383"/>
      <c r="C12" s="384" t="s">
        <v>701</v>
      </c>
      <c r="D12" s="427">
        <v>5.0350209042423275</v>
      </c>
      <c r="E12" s="427">
        <v>2.2566570560332173</v>
      </c>
      <c r="F12" s="427">
        <v>7.9400502874397851</v>
      </c>
      <c r="G12" s="427">
        <v>7.2828117251208999</v>
      </c>
      <c r="H12" s="428">
        <v>10.6</v>
      </c>
    </row>
    <row r="13" spans="1:8" x14ac:dyDescent="0.5">
      <c r="B13" s="383"/>
      <c r="C13" s="384" t="s">
        <v>702</v>
      </c>
      <c r="D13" s="427">
        <v>5.08</v>
      </c>
      <c r="E13" s="427">
        <v>2.66</v>
      </c>
      <c r="F13" s="427">
        <v>8.64</v>
      </c>
      <c r="G13" s="427">
        <v>4.5</v>
      </c>
      <c r="H13" s="428">
        <v>10.78</v>
      </c>
    </row>
    <row r="14" spans="1:8" x14ac:dyDescent="0.5">
      <c r="B14" s="383"/>
      <c r="C14" s="384" t="s">
        <v>703</v>
      </c>
      <c r="D14" s="427">
        <v>5.5121091324898837</v>
      </c>
      <c r="E14" s="427">
        <v>3.5614158474030582</v>
      </c>
      <c r="F14" s="427">
        <v>8.9190086422088193</v>
      </c>
      <c r="G14" s="427">
        <v>3.9184303175281494</v>
      </c>
      <c r="H14" s="428">
        <v>10.565751564921564</v>
      </c>
    </row>
    <row r="15" spans="1:8" x14ac:dyDescent="0.5">
      <c r="B15" s="383"/>
      <c r="C15" s="389" t="s">
        <v>704</v>
      </c>
      <c r="D15" s="427">
        <v>5.91</v>
      </c>
      <c r="E15" s="427">
        <v>3.8</v>
      </c>
      <c r="F15" s="427">
        <v>9.61</v>
      </c>
      <c r="G15" s="427">
        <v>4.01</v>
      </c>
      <c r="H15" s="428">
        <v>11.25</v>
      </c>
    </row>
    <row r="16" spans="1:8" x14ac:dyDescent="0.5">
      <c r="B16" s="383"/>
      <c r="C16" s="391" t="s">
        <v>705</v>
      </c>
      <c r="D16" s="429">
        <v>6.1523569312978204</v>
      </c>
      <c r="E16" s="429">
        <v>4.0093728878442105</v>
      </c>
      <c r="F16" s="429">
        <v>10.084446670447926</v>
      </c>
      <c r="G16" s="429">
        <v>4.1350927709899494</v>
      </c>
      <c r="H16" s="430">
        <v>11.386035971406745</v>
      </c>
    </row>
    <row r="17" spans="2:12" x14ac:dyDescent="0.5">
      <c r="B17" s="383" t="s">
        <v>706</v>
      </c>
      <c r="C17" s="384" t="s">
        <v>694</v>
      </c>
      <c r="D17" s="427">
        <v>6.2510452802748127</v>
      </c>
      <c r="E17" s="427">
        <v>4.0351433139397281</v>
      </c>
      <c r="F17" s="427">
        <v>10.223826781819048</v>
      </c>
      <c r="G17" s="427">
        <v>3.8786364752936748</v>
      </c>
      <c r="H17" s="428">
        <v>11.66390912655195</v>
      </c>
    </row>
    <row r="18" spans="2:12" x14ac:dyDescent="0.5">
      <c r="B18" s="383"/>
      <c r="C18" s="384" t="s">
        <v>695</v>
      </c>
      <c r="D18" s="427">
        <v>6.1907432772142119</v>
      </c>
      <c r="E18" s="427">
        <v>3.9548366202115162</v>
      </c>
      <c r="F18" s="427">
        <v>10.322889310085261</v>
      </c>
      <c r="G18" s="427">
        <v>3.4223686772274018</v>
      </c>
      <c r="H18" s="428">
        <v>11.803775464291123</v>
      </c>
    </row>
    <row r="19" spans="2:12" x14ac:dyDescent="0.5">
      <c r="B19" s="383"/>
      <c r="C19" s="384" t="s">
        <v>696</v>
      </c>
      <c r="D19" s="427">
        <v>6.1735077686700661</v>
      </c>
      <c r="E19" s="427">
        <v>3.926611332266476</v>
      </c>
      <c r="F19" s="427">
        <v>10.30735328758248</v>
      </c>
      <c r="G19" s="427">
        <v>3.7672054151902348</v>
      </c>
      <c r="H19" s="428">
        <v>11.762568096096528</v>
      </c>
    </row>
    <row r="20" spans="2:12" x14ac:dyDescent="0.5">
      <c r="B20" s="383"/>
      <c r="C20" s="384" t="s">
        <v>697</v>
      </c>
      <c r="D20" s="427">
        <v>6.0981099963992955</v>
      </c>
      <c r="E20" s="427">
        <v>3.8242844674922192</v>
      </c>
      <c r="F20" s="427">
        <v>10.195595637894026</v>
      </c>
      <c r="G20" s="427">
        <v>3.8854077854229456</v>
      </c>
      <c r="H20" s="428">
        <v>11.62706943660613</v>
      </c>
    </row>
    <row r="21" spans="2:12" x14ac:dyDescent="0.5">
      <c r="B21" s="383"/>
      <c r="C21" s="384" t="s">
        <v>698</v>
      </c>
      <c r="D21" s="427">
        <v>6.1728712194188393</v>
      </c>
      <c r="E21" s="427">
        <v>3.9402378803707694</v>
      </c>
      <c r="F21" s="427">
        <v>10.271282092120352</v>
      </c>
      <c r="G21" s="427">
        <v>3.9208969811018335</v>
      </c>
      <c r="H21" s="428">
        <v>11.271530862688145</v>
      </c>
    </row>
    <row r="22" spans="2:12" ht="15.7" x14ac:dyDescent="0.55000000000000004">
      <c r="B22" s="383"/>
      <c r="C22" s="384" t="s">
        <v>699</v>
      </c>
      <c r="D22" s="427">
        <v>6.2053748201330308</v>
      </c>
      <c r="E22" s="427">
        <v>3.9307218486740538</v>
      </c>
      <c r="F22" s="427">
        <v>10.199855814449904</v>
      </c>
      <c r="G22" s="427">
        <v>4.1079225540899218</v>
      </c>
      <c r="H22" s="428">
        <v>11.791156337456201</v>
      </c>
      <c r="L22" s="34"/>
    </row>
    <row r="23" spans="2:12" x14ac:dyDescent="0.5">
      <c r="B23" s="383"/>
      <c r="C23" s="388" t="s">
        <v>700</v>
      </c>
      <c r="D23" s="427">
        <v>6.3792078001806285</v>
      </c>
      <c r="E23" s="427">
        <v>4.1490698401093384</v>
      </c>
      <c r="F23" s="427">
        <v>10.186834734388743</v>
      </c>
      <c r="G23" s="427">
        <v>4.2890981783044264</v>
      </c>
      <c r="H23" s="428">
        <v>11.915964240694198</v>
      </c>
    </row>
    <row r="24" spans="2:12" x14ac:dyDescent="0.5">
      <c r="B24" s="383"/>
      <c r="C24" s="384" t="s">
        <v>701</v>
      </c>
      <c r="D24" s="427">
        <v>6.4499767676637481</v>
      </c>
      <c r="E24" s="427">
        <v>4.3241742822406666</v>
      </c>
      <c r="F24" s="427">
        <v>10.170065714436348</v>
      </c>
      <c r="G24" s="427">
        <v>4.4839806181591788</v>
      </c>
      <c r="H24" s="428">
        <v>12.009695300229659</v>
      </c>
    </row>
    <row r="25" spans="2:12" x14ac:dyDescent="0.5">
      <c r="B25" s="383"/>
      <c r="C25" s="384" t="s">
        <v>702</v>
      </c>
      <c r="D25" s="427">
        <v>6.6412435274607677</v>
      </c>
      <c r="E25" s="427">
        <v>4.4576701715641729</v>
      </c>
      <c r="F25" s="427">
        <v>10.381744734190825</v>
      </c>
      <c r="G25" s="427">
        <v>4.7141416852501177</v>
      </c>
      <c r="H25" s="428">
        <v>12.117335388596159</v>
      </c>
    </row>
    <row r="26" spans="2:12" x14ac:dyDescent="0.5">
      <c r="B26" s="383"/>
      <c r="C26" s="384" t="s">
        <v>703</v>
      </c>
      <c r="D26" s="427">
        <v>6.4499767676637481</v>
      </c>
      <c r="E26" s="427">
        <v>4.3241742822406666</v>
      </c>
      <c r="F26" s="427">
        <v>10.170065714436348</v>
      </c>
      <c r="G26" s="427">
        <v>4.4839806181591788</v>
      </c>
      <c r="H26" s="428">
        <v>12.009695300229659</v>
      </c>
    </row>
    <row r="27" spans="2:12" x14ac:dyDescent="0.5">
      <c r="B27" s="383"/>
      <c r="C27" s="389" t="s">
        <v>704</v>
      </c>
      <c r="D27" s="427">
        <v>6.6112977698149447</v>
      </c>
      <c r="E27" s="427">
        <v>4.4233730266611104</v>
      </c>
      <c r="F27" s="427">
        <v>10.306405291525063</v>
      </c>
      <c r="G27" s="427">
        <v>4.4851712080206099</v>
      </c>
      <c r="H27" s="428">
        <v>12.377430844838713</v>
      </c>
    </row>
    <row r="28" spans="2:12" x14ac:dyDescent="0.5">
      <c r="B28" s="383"/>
      <c r="C28" s="391" t="s">
        <v>705</v>
      </c>
      <c r="D28" s="429">
        <v>6.4852555214590986</v>
      </c>
      <c r="E28" s="429">
        <v>4.362671782518535</v>
      </c>
      <c r="F28" s="429">
        <v>10.239494648633544</v>
      </c>
      <c r="G28" s="429">
        <v>4.6687433421084013</v>
      </c>
      <c r="H28" s="430">
        <v>12.293985697930685</v>
      </c>
    </row>
    <row r="29" spans="2:12" x14ac:dyDescent="0.5">
      <c r="B29" s="383" t="s">
        <v>707</v>
      </c>
      <c r="C29" s="384" t="s">
        <v>694</v>
      </c>
      <c r="D29" s="427">
        <v>6.3993076371430346</v>
      </c>
      <c r="E29" s="427">
        <v>4.2652832608234661</v>
      </c>
      <c r="F29" s="427">
        <v>9.8432286349301279</v>
      </c>
      <c r="G29" s="427">
        <v>4.2194607849783834</v>
      </c>
      <c r="H29" s="428">
        <v>12.478763874842731</v>
      </c>
    </row>
    <row r="30" spans="2:12" x14ac:dyDescent="0.5">
      <c r="B30" s="383"/>
      <c r="C30" s="384" t="s">
        <v>695</v>
      </c>
      <c r="D30" s="427">
        <v>6.3012124975867021</v>
      </c>
      <c r="E30" s="427">
        <v>4.0578837144026503</v>
      </c>
      <c r="F30" s="427">
        <v>9.9781688438325773</v>
      </c>
      <c r="G30" s="427">
        <v>3.6319136002194647</v>
      </c>
      <c r="H30" s="428">
        <v>12.32478345186064</v>
      </c>
    </row>
    <row r="31" spans="2:12" x14ac:dyDescent="0.5">
      <c r="B31" s="383"/>
      <c r="C31" s="384" t="s">
        <v>696</v>
      </c>
      <c r="D31" s="427">
        <v>6.5712583225164103</v>
      </c>
      <c r="E31" s="427">
        <v>4.2933479016255482</v>
      </c>
      <c r="F31" s="427">
        <v>10.246027232287377</v>
      </c>
      <c r="G31" s="427">
        <v>4.0061694441991804</v>
      </c>
      <c r="H31" s="428">
        <v>12.240976355355105</v>
      </c>
    </row>
    <row r="32" spans="2:12" x14ac:dyDescent="0.5">
      <c r="B32" s="383"/>
      <c r="C32" s="384" t="s">
        <v>697</v>
      </c>
      <c r="D32" s="427">
        <v>6.6051148890360176</v>
      </c>
      <c r="E32" s="427">
        <v>4.318983420771902</v>
      </c>
      <c r="F32" s="427">
        <v>10.271948102085352</v>
      </c>
      <c r="G32" s="427">
        <v>3.8346333288492636</v>
      </c>
      <c r="H32" s="428">
        <v>12.251468139845429</v>
      </c>
    </row>
    <row r="33" spans="2:8" x14ac:dyDescent="0.5">
      <c r="B33" s="383"/>
      <c r="C33" s="384" t="s">
        <v>698</v>
      </c>
      <c r="D33" s="427">
        <v>6.6161021257179744</v>
      </c>
      <c r="E33" s="427">
        <v>4.4104028259547787</v>
      </c>
      <c r="F33" s="427">
        <v>10.114721102732396</v>
      </c>
      <c r="G33" s="427">
        <v>3.996455932661052</v>
      </c>
      <c r="H33" s="428">
        <v>12.275506463431617</v>
      </c>
    </row>
    <row r="34" spans="2:8" x14ac:dyDescent="0.5">
      <c r="B34" s="383"/>
      <c r="C34" s="384" t="s">
        <v>699</v>
      </c>
      <c r="D34" s="427">
        <v>6.724331593083976</v>
      </c>
      <c r="E34" s="427">
        <v>4.4614180149855516</v>
      </c>
      <c r="F34" s="427">
        <v>10.283308639976505</v>
      </c>
      <c r="G34" s="427">
        <v>3.9847871906180847</v>
      </c>
      <c r="H34" s="428">
        <v>12.276694081469548</v>
      </c>
    </row>
    <row r="35" spans="2:8" x14ac:dyDescent="0.5">
      <c r="B35" s="383"/>
      <c r="C35" s="388" t="s">
        <v>700</v>
      </c>
      <c r="D35" s="427">
        <v>6.6741839155534315</v>
      </c>
      <c r="E35" s="427">
        <v>4.3710657197609137</v>
      </c>
      <c r="F35" s="427">
        <v>10.294247553471886</v>
      </c>
      <c r="G35" s="427">
        <v>3.8879037669297327</v>
      </c>
      <c r="H35" s="428">
        <v>12.349877171950688</v>
      </c>
    </row>
    <row r="36" spans="2:8" x14ac:dyDescent="0.5">
      <c r="B36" s="383"/>
      <c r="C36" s="384" t="s">
        <v>701</v>
      </c>
      <c r="D36" s="427">
        <v>6.6185755122047922</v>
      </c>
      <c r="E36" s="427">
        <v>4.4489274083458037</v>
      </c>
      <c r="F36" s="427">
        <v>10.09621987265005</v>
      </c>
      <c r="G36" s="427">
        <v>4.0677787385392508</v>
      </c>
      <c r="H36" s="428">
        <v>12.321855641163268</v>
      </c>
    </row>
    <row r="37" spans="2:8" x14ac:dyDescent="0.5">
      <c r="B37" s="383"/>
      <c r="C37" s="384" t="s">
        <v>702</v>
      </c>
      <c r="D37" s="427">
        <v>6.6710907987025889</v>
      </c>
      <c r="E37" s="427">
        <v>4.525673704199507</v>
      </c>
      <c r="F37" s="427">
        <v>10.177019873852494</v>
      </c>
      <c r="G37" s="427">
        <v>4.12743101002531</v>
      </c>
      <c r="H37" s="428">
        <v>12.265874413981942</v>
      </c>
    </row>
    <row r="38" spans="2:8" x14ac:dyDescent="0.5">
      <c r="B38" s="383"/>
      <c r="C38" s="384" t="s">
        <v>703</v>
      </c>
      <c r="D38" s="427">
        <v>6.6725754491172795</v>
      </c>
      <c r="E38" s="427">
        <v>4.5853021354839951</v>
      </c>
      <c r="F38" s="427">
        <v>10.092849624773361</v>
      </c>
      <c r="G38" s="427">
        <v>4.1151075014234531</v>
      </c>
      <c r="H38" s="428">
        <v>12.219068906149902</v>
      </c>
    </row>
    <row r="39" spans="2:8" x14ac:dyDescent="0.5">
      <c r="B39" s="383"/>
      <c r="C39" s="389" t="s">
        <v>704</v>
      </c>
      <c r="D39" s="427">
        <v>6.6352719667952442</v>
      </c>
      <c r="E39" s="427">
        <v>4.5521002217437818</v>
      </c>
      <c r="F39" s="427">
        <v>10.090951174478208</v>
      </c>
      <c r="G39" s="427">
        <v>4.2613622585618751</v>
      </c>
      <c r="H39" s="428">
        <v>12.2</v>
      </c>
    </row>
    <row r="40" spans="2:8" x14ac:dyDescent="0.5">
      <c r="B40" s="383"/>
      <c r="C40" s="391" t="s">
        <v>705</v>
      </c>
      <c r="D40" s="429">
        <v>6.60176688176995</v>
      </c>
      <c r="E40" s="429">
        <v>4.9595595141653446</v>
      </c>
      <c r="F40" s="429">
        <v>9.9517881845853484</v>
      </c>
      <c r="G40" s="429">
        <v>4.4032478001181063</v>
      </c>
      <c r="H40" s="430">
        <v>12.157637531116116</v>
      </c>
    </row>
    <row r="41" spans="2:8" x14ac:dyDescent="0.5">
      <c r="B41" s="383" t="s">
        <v>708</v>
      </c>
      <c r="C41" s="384" t="s">
        <v>694</v>
      </c>
      <c r="D41" s="427">
        <v>6.7657105159902322</v>
      </c>
      <c r="E41" s="427">
        <v>5.0160705427316818</v>
      </c>
      <c r="F41" s="427">
        <v>9.8917092450402642</v>
      </c>
      <c r="G41" s="427">
        <v>4.280674695367523</v>
      </c>
      <c r="H41" s="428">
        <v>12.086652055642796</v>
      </c>
    </row>
    <row r="42" spans="2:8" x14ac:dyDescent="0.5">
      <c r="B42" s="383"/>
      <c r="C42" s="384" t="s">
        <v>695</v>
      </c>
      <c r="D42" s="427">
        <v>6.8</v>
      </c>
      <c r="E42" s="427">
        <v>4.8505930924511098</v>
      </c>
      <c r="F42" s="427">
        <v>9.8744695447076207</v>
      </c>
      <c r="G42" s="427">
        <v>4.2250937632206957</v>
      </c>
      <c r="H42" s="428">
        <v>11.97</v>
      </c>
    </row>
    <row r="43" spans="2:8" x14ac:dyDescent="0.5">
      <c r="B43" s="383"/>
      <c r="C43" s="384" t="s">
        <v>696</v>
      </c>
      <c r="D43" s="427">
        <v>6.75</v>
      </c>
      <c r="E43" s="427">
        <v>5.09</v>
      </c>
      <c r="F43" s="427">
        <v>9.7799999999999994</v>
      </c>
      <c r="G43" s="427">
        <v>4.3899999999999997</v>
      </c>
      <c r="H43" s="428">
        <v>11.97</v>
      </c>
    </row>
    <row r="44" spans="2:8" x14ac:dyDescent="0.5">
      <c r="B44" s="383"/>
      <c r="C44" s="384" t="s">
        <v>697</v>
      </c>
      <c r="D44" s="427">
        <v>6.812104227644717</v>
      </c>
      <c r="E44" s="427">
        <v>5.0571483859539121</v>
      </c>
      <c r="F44" s="427">
        <v>9.8165776228172152</v>
      </c>
      <c r="G44" s="427">
        <v>4.3400284134201002</v>
      </c>
      <c r="H44" s="428">
        <v>12.020827927975938</v>
      </c>
    </row>
    <row r="45" spans="2:8" x14ac:dyDescent="0.5">
      <c r="B45" s="383"/>
      <c r="C45" s="384" t="s">
        <v>698</v>
      </c>
      <c r="D45" s="427">
        <v>6.8</v>
      </c>
      <c r="E45" s="427">
        <v>4.9923038104505011</v>
      </c>
      <c r="F45" s="427">
        <v>9.7198724054487791</v>
      </c>
      <c r="G45" s="427">
        <v>4.1580843169808848</v>
      </c>
      <c r="H45" s="428">
        <v>11.93</v>
      </c>
    </row>
    <row r="46" spans="2:8" x14ac:dyDescent="0.5">
      <c r="B46" s="383"/>
      <c r="C46" s="384" t="s">
        <v>699</v>
      </c>
      <c r="D46" s="427">
        <v>6.786162197889281</v>
      </c>
      <c r="E46" s="427">
        <v>4.9691613140070636</v>
      </c>
      <c r="F46" s="427">
        <v>9.7121032064511539</v>
      </c>
      <c r="G46" s="427">
        <v>4.1891774017490331</v>
      </c>
      <c r="H46" s="428">
        <v>11.938543027385922</v>
      </c>
    </row>
    <row r="47" spans="2:8" x14ac:dyDescent="0.5">
      <c r="B47" s="383"/>
      <c r="C47" s="388" t="s">
        <v>700</v>
      </c>
      <c r="D47" s="427">
        <v>6.78</v>
      </c>
      <c r="E47" s="427">
        <v>4.7830931565778698</v>
      </c>
      <c r="F47" s="427">
        <v>9.6882632455394138</v>
      </c>
      <c r="G47" s="427">
        <v>4.1395397232722564</v>
      </c>
      <c r="H47" s="428">
        <v>11.94</v>
      </c>
    </row>
    <row r="48" spans="2:8" x14ac:dyDescent="0.5">
      <c r="B48" s="383"/>
      <c r="C48" s="384" t="s">
        <v>701</v>
      </c>
      <c r="D48" s="427">
        <v>6.77</v>
      </c>
      <c r="E48" s="427">
        <v>4.777716623545432</v>
      </c>
      <c r="F48" s="427">
        <v>9.7429030557190526</v>
      </c>
      <c r="G48" s="427">
        <v>4.3208403193437217</v>
      </c>
      <c r="H48" s="428">
        <v>11.8</v>
      </c>
    </row>
    <row r="49" spans="2:8" x14ac:dyDescent="0.5">
      <c r="B49" s="383"/>
      <c r="C49" s="384" t="s">
        <v>702</v>
      </c>
      <c r="D49" s="427">
        <v>6.74</v>
      </c>
      <c r="E49" s="427">
        <v>4.777716623545432</v>
      </c>
      <c r="F49" s="427">
        <v>9.7429030557190526</v>
      </c>
      <c r="G49" s="427">
        <v>4.3208403193437217</v>
      </c>
      <c r="H49" s="428">
        <v>11.77</v>
      </c>
    </row>
    <row r="50" spans="2:8" x14ac:dyDescent="0.5">
      <c r="B50" s="383"/>
      <c r="C50" s="384" t="s">
        <v>703</v>
      </c>
      <c r="D50" s="427">
        <v>6.4431100717597527</v>
      </c>
      <c r="E50" s="427">
        <v>4.265896778454608</v>
      </c>
      <c r="F50" s="427">
        <v>9.446727241094889</v>
      </c>
      <c r="G50" s="427">
        <v>2.8303824553159687</v>
      </c>
      <c r="H50" s="428">
        <v>10.99</v>
      </c>
    </row>
    <row r="51" spans="2:8" x14ac:dyDescent="0.5">
      <c r="B51" s="383"/>
      <c r="C51" s="389" t="s">
        <v>704</v>
      </c>
      <c r="D51" s="427">
        <v>6.1706504902350536</v>
      </c>
      <c r="E51" s="427">
        <v>4.1882438173089485</v>
      </c>
      <c r="F51" s="427">
        <v>9.2599089398252872</v>
      </c>
      <c r="G51" s="427">
        <v>2.7585102371374499</v>
      </c>
      <c r="H51" s="428">
        <v>10.426250629386633</v>
      </c>
    </row>
    <row r="52" spans="2:8" x14ac:dyDescent="0.5">
      <c r="B52" s="383"/>
      <c r="C52" s="391" t="s">
        <v>705</v>
      </c>
      <c r="D52" s="429">
        <v>6.0117202188965875</v>
      </c>
      <c r="E52" s="429">
        <v>4.1568412166400597</v>
      </c>
      <c r="F52" s="429">
        <v>9.0164496414133222</v>
      </c>
      <c r="G52" s="429">
        <v>2.3650707683358259</v>
      </c>
      <c r="H52" s="430">
        <v>10.109165203675886</v>
      </c>
    </row>
    <row r="53" spans="2:8" x14ac:dyDescent="0.5">
      <c r="B53" s="383" t="s">
        <v>709</v>
      </c>
      <c r="C53" s="384" t="s">
        <v>694</v>
      </c>
      <c r="D53" s="427">
        <v>5.77</v>
      </c>
      <c r="E53" s="427">
        <v>3.6387517176951993</v>
      </c>
      <c r="F53" s="427">
        <v>8.7944724121220776</v>
      </c>
      <c r="G53" s="427">
        <v>1.7256995942981357</v>
      </c>
      <c r="H53" s="428">
        <v>10.47</v>
      </c>
    </row>
    <row r="54" spans="2:8" x14ac:dyDescent="0.5">
      <c r="B54" s="383"/>
      <c r="C54" s="384" t="s">
        <v>695</v>
      </c>
      <c r="D54" s="427">
        <v>5.61</v>
      </c>
      <c r="E54" s="427">
        <v>3.3309934609427923</v>
      </c>
      <c r="F54" s="427">
        <v>8.6805201854261984</v>
      </c>
      <c r="G54" s="427">
        <v>1.3602135402958198</v>
      </c>
      <c r="H54" s="428">
        <v>10.18</v>
      </c>
    </row>
    <row r="55" spans="2:8" x14ac:dyDescent="0.5">
      <c r="B55" s="383"/>
      <c r="C55" s="384" t="s">
        <v>696</v>
      </c>
      <c r="D55" s="427">
        <v>5.4485346781296711</v>
      </c>
      <c r="E55" s="427">
        <v>3.222892786641069</v>
      </c>
      <c r="F55" s="427">
        <v>8.460589108478052</v>
      </c>
      <c r="G55" s="427">
        <v>1.2248966276108295</v>
      </c>
      <c r="H55" s="428">
        <v>9.8318649812907015</v>
      </c>
    </row>
    <row r="56" spans="2:8" x14ac:dyDescent="0.5">
      <c r="B56" s="383"/>
      <c r="C56" s="384" t="s">
        <v>697</v>
      </c>
      <c r="D56" s="427">
        <v>5.3083686809997035</v>
      </c>
      <c r="E56" s="427">
        <v>3.1063096936568892</v>
      </c>
      <c r="F56" s="427">
        <v>8.3653931374736263</v>
      </c>
      <c r="G56" s="427">
        <v>1.0852120737095456</v>
      </c>
      <c r="H56" s="428">
        <v>9.517731632300432</v>
      </c>
    </row>
    <row r="57" spans="2:8" x14ac:dyDescent="0.5">
      <c r="B57" s="383"/>
      <c r="C57" s="384" t="s">
        <v>698</v>
      </c>
      <c r="D57" s="427">
        <v>5.1433643034573233</v>
      </c>
      <c r="E57" s="427">
        <v>2.84648991646936</v>
      </c>
      <c r="F57" s="427">
        <v>8.2018829194443743</v>
      </c>
      <c r="G57" s="427">
        <v>0.99679135446721689</v>
      </c>
      <c r="H57" s="428">
        <v>9.3697289946410578</v>
      </c>
    </row>
    <row r="58" spans="2:8" x14ac:dyDescent="0.5">
      <c r="B58" s="383"/>
      <c r="C58" s="384" t="s">
        <v>699</v>
      </c>
      <c r="D58" s="427">
        <v>5</v>
      </c>
      <c r="E58" s="427">
        <v>2.7816365002036028</v>
      </c>
      <c r="F58" s="427">
        <v>8.0137113818000856</v>
      </c>
      <c r="G58" s="427">
        <v>0.98179257812102982</v>
      </c>
      <c r="H58" s="428">
        <v>9.09</v>
      </c>
    </row>
    <row r="59" spans="2:8" x14ac:dyDescent="0.5">
      <c r="B59" s="383"/>
      <c r="C59" s="388" t="s">
        <v>700</v>
      </c>
      <c r="D59" s="427">
        <v>4.8643516895826258</v>
      </c>
      <c r="E59" s="427">
        <v>2.7599468210211731</v>
      </c>
      <c r="F59" s="427">
        <v>8.0404510143097756</v>
      </c>
      <c r="G59" s="427">
        <v>0.83878260493259571</v>
      </c>
      <c r="H59" s="428">
        <v>8.8912745435893399</v>
      </c>
    </row>
    <row r="60" spans="2:8" x14ac:dyDescent="0.5">
      <c r="B60" s="383"/>
      <c r="C60" s="384" t="s">
        <v>701</v>
      </c>
      <c r="D60" s="427">
        <v>4.6756777421036286</v>
      </c>
      <c r="E60" s="427">
        <v>2.6430616891540697</v>
      </c>
      <c r="F60" s="427">
        <v>7.7508776532051824</v>
      </c>
      <c r="G60" s="427">
        <v>0.90434676285015259</v>
      </c>
      <c r="H60" s="428">
        <v>8.7276050942080641</v>
      </c>
    </row>
    <row r="61" spans="2:8" x14ac:dyDescent="0.5">
      <c r="B61" s="383"/>
      <c r="C61" s="384" t="s">
        <v>702</v>
      </c>
      <c r="D61" s="427">
        <v>4.79</v>
      </c>
      <c r="E61" s="427">
        <v>2.9285086018143054</v>
      </c>
      <c r="F61" s="427">
        <v>7.659040696314718</v>
      </c>
      <c r="G61" s="427">
        <v>1.0386679896198439</v>
      </c>
      <c r="H61" s="428">
        <v>8.61</v>
      </c>
    </row>
    <row r="62" spans="2:8" x14ac:dyDescent="0.5">
      <c r="B62" s="383"/>
      <c r="C62" s="384" t="s">
        <v>703</v>
      </c>
      <c r="D62" s="427">
        <v>4.8141802093800887</v>
      </c>
      <c r="E62" s="427">
        <v>2.838566235637539</v>
      </c>
      <c r="F62" s="427">
        <v>7.6269091247923617</v>
      </c>
      <c r="G62" s="427">
        <v>1.0025390886271424</v>
      </c>
      <c r="H62" s="428">
        <v>8.5342448085804961</v>
      </c>
    </row>
    <row r="63" spans="2:8" x14ac:dyDescent="0.5">
      <c r="B63" s="383"/>
      <c r="C63" s="389" t="s">
        <v>704</v>
      </c>
      <c r="D63" s="427">
        <v>4.7183868094842252</v>
      </c>
      <c r="E63" s="427">
        <v>2.7242022857582757</v>
      </c>
      <c r="F63" s="427">
        <v>7.6585443347275373</v>
      </c>
      <c r="G63" s="427">
        <v>0.96045869991311861</v>
      </c>
      <c r="H63" s="428">
        <v>8.4591292533300528</v>
      </c>
    </row>
    <row r="64" spans="2:8" x14ac:dyDescent="0.5">
      <c r="B64" s="383"/>
      <c r="C64" s="391" t="s">
        <v>705</v>
      </c>
      <c r="D64" s="429">
        <v>4.76</v>
      </c>
      <c r="E64" s="429">
        <v>3.0086018077737906</v>
      </c>
      <c r="F64" s="429">
        <v>7.72356866416784</v>
      </c>
      <c r="G64" s="429">
        <v>0.92851947747441033</v>
      </c>
      <c r="H64" s="430">
        <v>8.4348018971758574</v>
      </c>
    </row>
    <row r="65" spans="2:8" x14ac:dyDescent="0.5">
      <c r="B65" s="383" t="s">
        <v>710</v>
      </c>
      <c r="C65" s="384" t="s">
        <v>694</v>
      </c>
      <c r="D65" s="431">
        <v>4.76</v>
      </c>
      <c r="E65" s="431">
        <v>2.92</v>
      </c>
      <c r="F65" s="431">
        <v>7.77</v>
      </c>
      <c r="G65" s="431">
        <v>0.94</v>
      </c>
      <c r="H65" s="432">
        <v>8.48</v>
      </c>
    </row>
    <row r="66" spans="2:8" x14ac:dyDescent="0.5">
      <c r="B66" s="383"/>
      <c r="C66" s="384" t="s">
        <v>695</v>
      </c>
      <c r="D66" s="427">
        <v>4.92</v>
      </c>
      <c r="E66" s="427">
        <v>3.0524776875486404</v>
      </c>
      <c r="F66" s="427">
        <v>7.8020539904415429</v>
      </c>
      <c r="G66" s="427">
        <v>0.97154427970052137</v>
      </c>
      <c r="H66" s="428">
        <v>8.57</v>
      </c>
    </row>
    <row r="67" spans="2:8" x14ac:dyDescent="0.5">
      <c r="B67" s="383"/>
      <c r="C67" s="384" t="s">
        <v>696</v>
      </c>
      <c r="D67" s="427">
        <v>5.4272512703314533</v>
      </c>
      <c r="E67" s="427">
        <v>4.1313721420155547</v>
      </c>
      <c r="F67" s="427">
        <v>7.9645719488925302</v>
      </c>
      <c r="G67" s="427">
        <v>1.1143067116934713</v>
      </c>
      <c r="H67" s="428">
        <v>8.69</v>
      </c>
    </row>
    <row r="68" spans="2:8" x14ac:dyDescent="0.5">
      <c r="B68" s="383"/>
      <c r="C68" s="384" t="s">
        <v>697</v>
      </c>
      <c r="D68" s="427">
        <v>5.8</v>
      </c>
      <c r="E68" s="427">
        <v>4.4946833886941082</v>
      </c>
      <c r="F68" s="427">
        <v>8.2623982505157976</v>
      </c>
      <c r="G68" s="427">
        <v>1.3223872635115201</v>
      </c>
      <c r="H68" s="428">
        <v>9.02</v>
      </c>
    </row>
    <row r="69" spans="2:8" x14ac:dyDescent="0.5">
      <c r="B69" s="383"/>
      <c r="C69" s="384" t="s">
        <v>698</v>
      </c>
      <c r="D69" s="427">
        <v>6.24</v>
      </c>
      <c r="E69" s="427">
        <v>5.1716778397039045</v>
      </c>
      <c r="F69" s="427">
        <v>8.6069407485137006</v>
      </c>
      <c r="G69" s="427">
        <v>1.4234281192028231</v>
      </c>
      <c r="H69" s="428">
        <v>9.2899999999999991</v>
      </c>
    </row>
    <row r="70" spans="2:8" x14ac:dyDescent="0.5">
      <c r="B70" s="383"/>
      <c r="C70" s="384" t="s">
        <v>699</v>
      </c>
      <c r="D70" s="427">
        <v>6.37</v>
      </c>
      <c r="E70" s="427">
        <v>5.2551109626189563</v>
      </c>
      <c r="F70" s="427">
        <v>8.9180080693756079</v>
      </c>
      <c r="G70" s="427">
        <v>1.5374047049510455</v>
      </c>
      <c r="H70" s="428">
        <v>9.4428426085328372</v>
      </c>
    </row>
    <row r="71" spans="2:8" x14ac:dyDescent="0.5">
      <c r="B71" s="383"/>
      <c r="C71" s="388" t="s">
        <v>700</v>
      </c>
      <c r="D71" s="427">
        <v>6.49</v>
      </c>
      <c r="E71" s="427">
        <v>5.2318833788772974</v>
      </c>
      <c r="F71" s="427">
        <v>9.1263286402325434</v>
      </c>
      <c r="G71" s="427">
        <v>1.6217658294281896</v>
      </c>
      <c r="H71" s="428">
        <v>10.31</v>
      </c>
    </row>
    <row r="72" spans="2:8" x14ac:dyDescent="0.5">
      <c r="B72" s="383"/>
      <c r="C72" s="384" t="s">
        <v>701</v>
      </c>
      <c r="D72" s="427">
        <v>6.93</v>
      </c>
      <c r="E72" s="427">
        <v>6.2413557603231213</v>
      </c>
      <c r="F72" s="427">
        <v>9.4370502468149287</v>
      </c>
      <c r="G72" s="427">
        <v>1.8627871322375267</v>
      </c>
      <c r="H72" s="428">
        <v>10.6</v>
      </c>
    </row>
    <row r="73" spans="2:8" x14ac:dyDescent="0.5">
      <c r="B73" s="383"/>
      <c r="C73" s="384" t="s">
        <v>702</v>
      </c>
      <c r="D73" s="427">
        <v>7.11</v>
      </c>
      <c r="E73" s="427">
        <v>6.2420461239742924</v>
      </c>
      <c r="F73" s="427">
        <v>9.6661837737056953</v>
      </c>
      <c r="G73" s="427">
        <v>2.023076561076103</v>
      </c>
      <c r="H73" s="428">
        <v>10.78</v>
      </c>
    </row>
    <row r="74" spans="2:8" x14ac:dyDescent="0.5">
      <c r="B74" s="383"/>
      <c r="C74" s="384" t="s">
        <v>703</v>
      </c>
      <c r="D74" s="427">
        <v>7.25</v>
      </c>
      <c r="E74" s="427">
        <v>6.2313526395728003</v>
      </c>
      <c r="F74" s="427">
        <v>9.857866371695085</v>
      </c>
      <c r="G74" s="427">
        <v>2.13223712393892</v>
      </c>
      <c r="H74" s="428">
        <v>11.42</v>
      </c>
    </row>
    <row r="75" spans="2:8" x14ac:dyDescent="0.5">
      <c r="B75" s="383"/>
      <c r="C75" s="389" t="s">
        <v>704</v>
      </c>
      <c r="D75" s="427">
        <v>7.34</v>
      </c>
      <c r="E75" s="427">
        <v>6.2269923911464566</v>
      </c>
      <c r="F75" s="427">
        <v>9.961901169147227</v>
      </c>
      <c r="G75" s="427">
        <v>2.1847611831072964</v>
      </c>
      <c r="H75" s="428">
        <v>11.54</v>
      </c>
    </row>
    <row r="76" spans="2:8" x14ac:dyDescent="0.5">
      <c r="B76" s="383"/>
      <c r="C76" s="391" t="s">
        <v>705</v>
      </c>
      <c r="D76" s="429">
        <v>7.41</v>
      </c>
      <c r="E76" s="429">
        <v>6.2383216946800193</v>
      </c>
      <c r="F76" s="429">
        <v>10.117144068238314</v>
      </c>
      <c r="G76" s="429">
        <v>2.2914377497400693</v>
      </c>
      <c r="H76" s="430">
        <v>11.62</v>
      </c>
    </row>
    <row r="77" spans="2:8" x14ac:dyDescent="0.5">
      <c r="B77" s="383" t="s">
        <v>711</v>
      </c>
      <c r="C77" s="384" t="s">
        <v>694</v>
      </c>
      <c r="D77" s="427">
        <v>7.64</v>
      </c>
      <c r="E77" s="427">
        <v>6.2919197083861498</v>
      </c>
      <c r="F77" s="427">
        <v>10.226564834707139</v>
      </c>
      <c r="G77" s="427">
        <v>2.2523001737843202</v>
      </c>
      <c r="H77" s="428">
        <v>11.94</v>
      </c>
    </row>
    <row r="78" spans="2:8" x14ac:dyDescent="0.5">
      <c r="B78" s="383"/>
      <c r="C78" s="384" t="s">
        <v>695</v>
      </c>
      <c r="D78" s="427">
        <v>7.81</v>
      </c>
      <c r="E78" s="427">
        <v>6.2716512784080489</v>
      </c>
      <c r="F78" s="427">
        <v>10.344521470644835</v>
      </c>
      <c r="G78" s="427">
        <v>2.3814465096281281</v>
      </c>
      <c r="H78" s="428">
        <v>12.06</v>
      </c>
    </row>
    <row r="79" spans="2:8" x14ac:dyDescent="0.5">
      <c r="B79" s="383"/>
      <c r="C79" s="384" t="s">
        <v>696</v>
      </c>
      <c r="D79" s="427">
        <v>8.16</v>
      </c>
      <c r="E79" s="427">
        <v>7.3676573479880174</v>
      </c>
      <c r="F79" s="427">
        <v>10.546858207482456</v>
      </c>
      <c r="G79" s="427">
        <v>2.6885612881746601</v>
      </c>
      <c r="H79" s="428">
        <v>12.19</v>
      </c>
    </row>
    <row r="80" spans="2:8" x14ac:dyDescent="0.5">
      <c r="B80" s="383"/>
      <c r="C80" s="395" t="s">
        <v>697</v>
      </c>
      <c r="D80" s="433">
        <v>8.32</v>
      </c>
      <c r="E80" s="433">
        <v>7.4237042658232584</v>
      </c>
      <c r="F80" s="433">
        <v>10.652961356925347</v>
      </c>
      <c r="G80" s="433">
        <v>2.7324588967948698</v>
      </c>
      <c r="H80" s="434">
        <v>12.65</v>
      </c>
    </row>
    <row r="81" spans="2:8" x14ac:dyDescent="0.5">
      <c r="B81" s="383"/>
      <c r="C81" s="395" t="s">
        <v>698</v>
      </c>
      <c r="D81" s="433">
        <v>8.4600000000000009</v>
      </c>
      <c r="E81" s="433">
        <v>7.46</v>
      </c>
      <c r="F81" s="433">
        <v>10.91</v>
      </c>
      <c r="G81" s="433">
        <v>2.69</v>
      </c>
      <c r="H81" s="434">
        <v>12.74</v>
      </c>
    </row>
    <row r="82" spans="2:8" x14ac:dyDescent="0.5">
      <c r="B82" s="383"/>
      <c r="C82" s="395" t="s">
        <v>699</v>
      </c>
      <c r="D82" s="433">
        <v>8.51</v>
      </c>
      <c r="E82" s="433">
        <v>7.4372560880000353</v>
      </c>
      <c r="F82" s="433">
        <v>11.061386984903066</v>
      </c>
      <c r="G82" s="433">
        <v>2.829623827816536</v>
      </c>
      <c r="H82" s="434">
        <v>12.79</v>
      </c>
    </row>
    <row r="83" spans="2:8" x14ac:dyDescent="0.5">
      <c r="B83" s="383"/>
      <c r="C83" s="395" t="s">
        <v>700</v>
      </c>
      <c r="D83" s="433">
        <v>8.4057994980988742</v>
      </c>
      <c r="E83" s="433">
        <v>6.9255728527674307</v>
      </c>
      <c r="F83" s="433">
        <v>11.059968745872389</v>
      </c>
      <c r="G83" s="433">
        <v>2.6214551488163069</v>
      </c>
      <c r="H83" s="434">
        <v>13.033348190370932</v>
      </c>
    </row>
    <row r="84" spans="2:8" x14ac:dyDescent="0.5">
      <c r="B84" s="383"/>
      <c r="C84" s="395" t="s">
        <v>701</v>
      </c>
      <c r="D84" s="433">
        <v>8.3699999999999992</v>
      </c>
      <c r="E84" s="433">
        <v>6.780983159463414</v>
      </c>
      <c r="F84" s="433">
        <v>10.992810027129506</v>
      </c>
      <c r="G84" s="433">
        <v>2.67</v>
      </c>
      <c r="H84" s="434">
        <v>13.03</v>
      </c>
    </row>
    <row r="85" spans="2:8" x14ac:dyDescent="0.5">
      <c r="B85" s="383"/>
      <c r="C85" s="395" t="s">
        <v>702</v>
      </c>
      <c r="D85" s="433">
        <v>8.26</v>
      </c>
      <c r="E85" s="433">
        <v>6.5</v>
      </c>
      <c r="F85" s="433">
        <v>10.88</v>
      </c>
      <c r="G85" s="433">
        <v>2.63</v>
      </c>
      <c r="H85" s="434">
        <v>12.84</v>
      </c>
    </row>
    <row r="86" spans="2:8" x14ac:dyDescent="0.5">
      <c r="B86" s="383"/>
      <c r="C86" s="395" t="s">
        <v>703</v>
      </c>
      <c r="D86" s="433">
        <v>8.08</v>
      </c>
      <c r="E86" s="433">
        <v>6.0987716693612679</v>
      </c>
      <c r="F86" s="433">
        <v>10.757151513343413</v>
      </c>
      <c r="G86" s="433">
        <v>2.4170509049179891</v>
      </c>
      <c r="H86" s="434">
        <v>12.65</v>
      </c>
    </row>
    <row r="87" spans="2:8" x14ac:dyDescent="0.5">
      <c r="B87" s="383"/>
      <c r="C87" s="395" t="s">
        <v>704</v>
      </c>
      <c r="D87" s="433">
        <v>7.9935794016801145</v>
      </c>
      <c r="E87" s="433">
        <v>5.8353599865135477</v>
      </c>
      <c r="F87" s="433">
        <v>10.274800935372387</v>
      </c>
      <c r="G87" s="433">
        <v>2.3104880585499044</v>
      </c>
      <c r="H87" s="434">
        <v>12.534739692054348</v>
      </c>
    </row>
    <row r="88" spans="2:8" x14ac:dyDescent="0.5">
      <c r="B88" s="383"/>
      <c r="C88" s="391" t="s">
        <v>705</v>
      </c>
      <c r="D88" s="429">
        <v>7.8602755862174645</v>
      </c>
      <c r="E88" s="429">
        <v>5.8108572437619461</v>
      </c>
      <c r="F88" s="429">
        <v>10.129505891578802</v>
      </c>
      <c r="G88" s="429">
        <v>2.3447930488513871</v>
      </c>
      <c r="H88" s="430">
        <v>12.2968211469067</v>
      </c>
    </row>
    <row r="89" spans="2:8" x14ac:dyDescent="0.5">
      <c r="B89" s="383" t="s">
        <v>712</v>
      </c>
      <c r="C89" s="384" t="s">
        <v>694</v>
      </c>
      <c r="D89" s="427">
        <v>8.004974352608123</v>
      </c>
      <c r="E89" s="427">
        <v>5.3050596083629999</v>
      </c>
      <c r="F89" s="427">
        <v>9.9803170905966656</v>
      </c>
      <c r="G89" s="427">
        <v>2.34084791572749</v>
      </c>
      <c r="H89" s="428">
        <v>12.243697262021449</v>
      </c>
    </row>
    <row r="90" spans="2:8" x14ac:dyDescent="0.5">
      <c r="B90" s="383"/>
      <c r="C90" s="384" t="s">
        <v>695</v>
      </c>
      <c r="D90" s="427">
        <v>8.0629580350105545</v>
      </c>
      <c r="E90" s="427">
        <v>5.7037526273740333</v>
      </c>
      <c r="F90" s="427">
        <v>9.996614675709198</v>
      </c>
      <c r="G90" s="427">
        <v>2.3380197694743776</v>
      </c>
      <c r="H90" s="428">
        <v>12.234427425431878</v>
      </c>
    </row>
    <row r="91" spans="2:8" x14ac:dyDescent="0.5">
      <c r="B91" s="383"/>
      <c r="C91" s="395" t="s">
        <v>696</v>
      </c>
      <c r="D91" s="433">
        <v>7.899868047397173</v>
      </c>
      <c r="E91" s="433">
        <v>5.9385750617006856</v>
      </c>
      <c r="F91" s="433">
        <v>10.257288404513924</v>
      </c>
      <c r="G91" s="433">
        <v>2.4291732630903082</v>
      </c>
      <c r="H91" s="434">
        <v>12.10897667218951</v>
      </c>
    </row>
    <row r="92" spans="2:8" x14ac:dyDescent="0.5">
      <c r="B92" s="383"/>
      <c r="C92" s="395" t="s">
        <v>697</v>
      </c>
      <c r="D92" s="433">
        <v>7.7648574209079166</v>
      </c>
      <c r="E92" s="433">
        <v>5.5777829723046466</v>
      </c>
      <c r="F92" s="433">
        <v>10.250531791464333</v>
      </c>
      <c r="G92" s="433">
        <v>2.3572859748197912</v>
      </c>
      <c r="H92" s="434">
        <v>11.95612012774439</v>
      </c>
    </row>
    <row r="93" spans="2:8" x14ac:dyDescent="0.5">
      <c r="B93" s="383"/>
      <c r="C93" s="395" t="s">
        <v>698</v>
      </c>
      <c r="D93" s="433">
        <v>7.62</v>
      </c>
      <c r="E93" s="433">
        <v>5.1345159721018998</v>
      </c>
      <c r="F93" s="433">
        <v>9.6919935890012301</v>
      </c>
      <c r="G93" s="433">
        <v>2.0796671472612789</v>
      </c>
      <c r="H93" s="434">
        <v>11.85</v>
      </c>
    </row>
    <row r="94" spans="2:8" x14ac:dyDescent="0.5">
      <c r="B94" s="383"/>
      <c r="C94" s="395" t="s">
        <v>699</v>
      </c>
      <c r="D94" s="433">
        <v>7.32</v>
      </c>
      <c r="E94" s="433">
        <v>4.6062127401088695</v>
      </c>
      <c r="F94" s="433">
        <v>9.4513740435923044</v>
      </c>
      <c r="G94" s="433">
        <v>2.1222589373010594</v>
      </c>
      <c r="H94" s="434">
        <v>11.38</v>
      </c>
    </row>
    <row r="95" spans="2:8" x14ac:dyDescent="0.5">
      <c r="B95" s="383"/>
      <c r="C95" s="395" t="s">
        <v>700</v>
      </c>
      <c r="D95" s="433">
        <v>7.01</v>
      </c>
      <c r="E95" s="433">
        <v>4.4153770024778876</v>
      </c>
      <c r="F95" s="433">
        <v>9.514497401513097</v>
      </c>
      <c r="G95" s="433">
        <v>1.8270896151745626</v>
      </c>
      <c r="H95" s="434">
        <v>11.08</v>
      </c>
    </row>
    <row r="96" spans="2:8" x14ac:dyDescent="0.5">
      <c r="B96" s="383"/>
      <c r="C96" s="395" t="s">
        <v>701</v>
      </c>
      <c r="D96" s="433">
        <v>6.7421096391547941</v>
      </c>
      <c r="E96" s="433">
        <v>4.1042100628378186</v>
      </c>
      <c r="F96" s="433">
        <v>9.224509966883744</v>
      </c>
      <c r="G96" s="433">
        <v>1.8239765493046571</v>
      </c>
      <c r="H96" s="434">
        <v>10.775240061849351</v>
      </c>
    </row>
    <row r="97" spans="2:8" x14ac:dyDescent="0.5">
      <c r="B97" s="383"/>
      <c r="C97" s="395" t="s">
        <v>702</v>
      </c>
      <c r="D97" s="433">
        <v>6.53</v>
      </c>
      <c r="E97" s="433">
        <v>4.0058385352467791</v>
      </c>
      <c r="F97" s="433">
        <v>8.7225331605167504</v>
      </c>
      <c r="G97" s="433">
        <v>1.696626231558658</v>
      </c>
      <c r="H97" s="434">
        <v>10.55</v>
      </c>
    </row>
    <row r="98" spans="2:8" x14ac:dyDescent="0.5">
      <c r="B98" s="383"/>
      <c r="C98" s="395" t="s">
        <v>703</v>
      </c>
      <c r="D98" s="433">
        <v>6.35</v>
      </c>
      <c r="E98" s="433">
        <v>3.7841991666295947</v>
      </c>
      <c r="F98" s="433">
        <v>8.5916062257676167</v>
      </c>
      <c r="G98" s="433">
        <v>1.6557037986431191</v>
      </c>
      <c r="H98" s="434">
        <v>10.34</v>
      </c>
    </row>
    <row r="99" spans="2:8" x14ac:dyDescent="0.5">
      <c r="B99" s="383"/>
      <c r="C99" s="395" t="s">
        <v>704</v>
      </c>
      <c r="D99" s="433">
        <v>6.0618310242645999</v>
      </c>
      <c r="E99" s="433">
        <v>3.7694935373718081</v>
      </c>
      <c r="F99" s="433">
        <v>8.3784709451144526</v>
      </c>
      <c r="G99" s="433">
        <v>1.6617581052868029</v>
      </c>
      <c r="H99" s="434">
        <v>10.154948961007413</v>
      </c>
    </row>
    <row r="100" spans="2:8" x14ac:dyDescent="0.5">
      <c r="B100" s="383"/>
      <c r="C100" s="391" t="s">
        <v>705</v>
      </c>
      <c r="D100" s="429">
        <v>5.7731872039276091</v>
      </c>
      <c r="E100" s="429">
        <v>3.6908149295105988</v>
      </c>
      <c r="F100" s="429">
        <v>8.1475154380035146</v>
      </c>
      <c r="G100" s="429">
        <v>1.6038962420408609</v>
      </c>
      <c r="H100" s="430">
        <v>9.9340099482150723</v>
      </c>
    </row>
    <row r="101" spans="2:8" x14ac:dyDescent="0.5">
      <c r="B101" s="400" t="s">
        <v>713</v>
      </c>
      <c r="C101" s="384" t="s">
        <v>694</v>
      </c>
      <c r="D101" s="427">
        <v>5.6577825771861567</v>
      </c>
      <c r="E101" s="427">
        <v>3.4311146921891429</v>
      </c>
      <c r="F101" s="427">
        <v>7.9328004245104919</v>
      </c>
      <c r="G101" s="427">
        <v>1.4538319521120602</v>
      </c>
      <c r="H101" s="428">
        <v>9.6819707561813946</v>
      </c>
    </row>
    <row r="102" spans="2:8" x14ac:dyDescent="0.5">
      <c r="B102" s="401"/>
      <c r="C102" s="395" t="s">
        <v>695</v>
      </c>
      <c r="D102" s="433">
        <v>5.4833393185169639</v>
      </c>
      <c r="E102" s="433">
        <v>3.3799425826492437</v>
      </c>
      <c r="F102" s="433">
        <v>7.7065507158783255</v>
      </c>
      <c r="G102" s="433">
        <v>1.3947439686376826</v>
      </c>
      <c r="H102" s="428">
        <v>9.5213623138278116</v>
      </c>
    </row>
    <row r="103" spans="2:8" x14ac:dyDescent="0.5">
      <c r="B103" s="401"/>
      <c r="C103" s="395" t="s">
        <v>696</v>
      </c>
      <c r="D103" s="433">
        <v>5.2373561538016666</v>
      </c>
      <c r="E103" s="433">
        <v>3.3249260968016303</v>
      </c>
      <c r="F103" s="433">
        <v>7.4285245810923684</v>
      </c>
      <c r="G103" s="433">
        <v>1.6702665068950149</v>
      </c>
      <c r="H103" s="434">
        <v>9.3337851291244238</v>
      </c>
    </row>
    <row r="104" spans="2:8" x14ac:dyDescent="0.5">
      <c r="B104" s="401"/>
      <c r="C104" s="395" t="s">
        <v>697</v>
      </c>
      <c r="D104" s="433">
        <v>5.0129354574339917</v>
      </c>
      <c r="E104" s="433">
        <v>3.3405323125846924</v>
      </c>
      <c r="F104" s="433">
        <v>7.0814433003100801</v>
      </c>
      <c r="G104" s="433">
        <v>1.358944970737646</v>
      </c>
      <c r="H104" s="434">
        <v>9.0706822686876922</v>
      </c>
    </row>
    <row r="105" spans="2:8" x14ac:dyDescent="0.5">
      <c r="B105" s="401"/>
      <c r="C105" s="395" t="s">
        <v>698</v>
      </c>
      <c r="D105" s="433">
        <v>4.780908646976548</v>
      </c>
      <c r="E105" s="433">
        <v>3.3481076925954589</v>
      </c>
      <c r="F105" s="433">
        <v>6.7964494909362063</v>
      </c>
      <c r="G105" s="433">
        <v>1.2819742393546549</v>
      </c>
      <c r="H105" s="434">
        <v>8.8968826638385803</v>
      </c>
    </row>
    <row r="106" spans="2:8" x14ac:dyDescent="0.5">
      <c r="B106" s="401"/>
      <c r="C106" s="395" t="s">
        <v>699</v>
      </c>
      <c r="D106" s="433">
        <v>4.7521509335564662</v>
      </c>
      <c r="E106" s="433">
        <v>3.3430062827941294</v>
      </c>
      <c r="F106" s="433">
        <v>6.505746916650553</v>
      </c>
      <c r="G106" s="433">
        <v>1.2109771199748485</v>
      </c>
      <c r="H106" s="434">
        <v>8.6921667278712587</v>
      </c>
    </row>
    <row r="107" spans="2:8" x14ac:dyDescent="0.5">
      <c r="B107" s="401"/>
      <c r="C107" s="395" t="s">
        <v>700</v>
      </c>
      <c r="D107" s="433">
        <v>4.6222000684059878</v>
      </c>
      <c r="E107" s="433">
        <v>3.3632826972845411</v>
      </c>
      <c r="F107" s="433">
        <v>6.3247551079354354</v>
      </c>
      <c r="G107" s="433">
        <v>1.2454973893538941</v>
      </c>
      <c r="H107" s="434">
        <v>8.5450129605434491</v>
      </c>
    </row>
    <row r="108" spans="2:8" x14ac:dyDescent="0.5">
      <c r="B108" s="401"/>
      <c r="C108" s="395" t="s">
        <v>701</v>
      </c>
      <c r="D108" s="433">
        <v>4.5399343175759643</v>
      </c>
      <c r="E108" s="433">
        <v>3.3609158686286955</v>
      </c>
      <c r="F108" s="433">
        <v>6.2742212223330283</v>
      </c>
      <c r="G108" s="433">
        <v>1.268442513459918</v>
      </c>
      <c r="H108" s="434">
        <v>8.4015833654817484</v>
      </c>
    </row>
    <row r="109" spans="2:8" x14ac:dyDescent="0.5">
      <c r="B109" s="401"/>
      <c r="C109" s="395" t="s">
        <v>702</v>
      </c>
      <c r="D109" s="433">
        <v>4.4499923840877784</v>
      </c>
      <c r="E109" s="433">
        <v>3.3927498203874618</v>
      </c>
      <c r="F109" s="433">
        <v>6.0963933457516024</v>
      </c>
      <c r="G109" s="433">
        <v>1.2286324952330445</v>
      </c>
      <c r="H109" s="434">
        <v>8.2192154261003925</v>
      </c>
    </row>
    <row r="110" spans="2:8" x14ac:dyDescent="0.5">
      <c r="B110" s="401"/>
      <c r="C110" s="395" t="s">
        <v>703</v>
      </c>
      <c r="D110" s="433">
        <v>4.3720316025386099</v>
      </c>
      <c r="E110" s="433">
        <v>3.3757466913186329</v>
      </c>
      <c r="F110" s="433">
        <v>5.9735661804777997</v>
      </c>
      <c r="G110" s="433">
        <v>1.1007422719675986</v>
      </c>
      <c r="H110" s="434">
        <v>8.1067716867788207</v>
      </c>
    </row>
    <row r="111" spans="2:8" x14ac:dyDescent="0.5">
      <c r="B111" s="401"/>
      <c r="C111" s="395" t="s">
        <v>704</v>
      </c>
      <c r="D111" s="433">
        <v>4.2946961539083643</v>
      </c>
      <c r="E111" s="433">
        <v>3.3801207473277479</v>
      </c>
      <c r="F111" s="433">
        <v>5.921143171566345</v>
      </c>
      <c r="G111" s="433">
        <v>1.1173359489799586</v>
      </c>
      <c r="H111" s="434">
        <v>7.99369434046947</v>
      </c>
    </row>
    <row r="112" spans="2:8" x14ac:dyDescent="0.5">
      <c r="B112" s="401"/>
      <c r="C112" s="391" t="s">
        <v>705</v>
      </c>
      <c r="D112" s="429">
        <v>4.1909426956063296</v>
      </c>
      <c r="E112" s="429">
        <v>3.370742358833378</v>
      </c>
      <c r="F112" s="429">
        <v>5.7920289185498612</v>
      </c>
      <c r="G112" s="429">
        <v>1.0485728905843197</v>
      </c>
      <c r="H112" s="430">
        <v>7.8511803276959151</v>
      </c>
    </row>
    <row r="113" spans="2:8" ht="14.7" thickBot="1" x14ac:dyDescent="0.55000000000000004">
      <c r="B113" s="402" t="s">
        <v>714</v>
      </c>
      <c r="C113" s="403" t="s">
        <v>694</v>
      </c>
      <c r="D113" s="404">
        <v>4.015412981449491</v>
      </c>
      <c r="E113" s="404">
        <v>3.0744840457700722</v>
      </c>
      <c r="F113" s="404">
        <v>5.3258492337729972</v>
      </c>
      <c r="G113" s="404">
        <v>1.0380995257415229</v>
      </c>
      <c r="H113" s="435">
        <v>7.7559166396523276</v>
      </c>
    </row>
    <row r="114" spans="2:8" ht="14.7" thickTop="1" x14ac:dyDescent="0.5">
      <c r="D114" s="436"/>
      <c r="E114" s="436"/>
      <c r="F114" s="436"/>
      <c r="G114" s="436"/>
      <c r="H114" s="436"/>
    </row>
  </sheetData>
  <mergeCells count="17">
    <mergeCell ref="B77:B88"/>
    <mergeCell ref="B89:B100"/>
    <mergeCell ref="B101:B112"/>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2" top="0.5" bottom="0.25" header="0.3" footer="0.3"/>
  <pageSetup paperSize="9" scale="45" orientation="portrait" r:id="rId1"/>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7096-9F23-4FF0-BD58-507FE9829729}">
  <sheetPr codeName="Sheet94">
    <pageSetUpPr fitToPage="1"/>
  </sheetPr>
  <dimension ref="B2:J160"/>
  <sheetViews>
    <sheetView view="pageBreakPreview" zoomScaleSheetLayoutView="100" workbookViewId="0">
      <pane ySplit="4" topLeftCell="A134" activePane="bottomLeft" state="frozen"/>
      <selection activeCell="M36" sqref="M36"/>
      <selection pane="bottomLeft" activeCell="M36" sqref="M36"/>
    </sheetView>
  </sheetViews>
  <sheetFormatPr defaultColWidth="9" defaultRowHeight="14.35" x14ac:dyDescent="0.5"/>
  <cols>
    <col min="1" max="1" width="2.29296875" customWidth="1"/>
    <col min="2" max="2" width="11" customWidth="1"/>
    <col min="3" max="4" width="13.41015625" customWidth="1"/>
    <col min="5" max="5" width="14.1171875" customWidth="1"/>
    <col min="6" max="6" width="14.87890625" customWidth="1"/>
    <col min="7" max="7" width="13.29296875" customWidth="1"/>
  </cols>
  <sheetData>
    <row r="2" spans="2:7" ht="16" thickBot="1" x14ac:dyDescent="0.55000000000000004">
      <c r="B2" s="426" t="s">
        <v>736</v>
      </c>
      <c r="C2" s="426"/>
      <c r="D2" s="426"/>
      <c r="E2" s="426"/>
      <c r="F2" s="426"/>
      <c r="G2" s="437"/>
    </row>
    <row r="3" spans="2:7" ht="15.6" customHeight="1" thickTop="1" x14ac:dyDescent="0.5">
      <c r="B3" s="376" t="s">
        <v>687</v>
      </c>
      <c r="C3" s="376" t="s">
        <v>737</v>
      </c>
      <c r="D3" s="376" t="s">
        <v>738</v>
      </c>
      <c r="E3" s="376" t="s">
        <v>739</v>
      </c>
      <c r="F3" s="376" t="s">
        <v>664</v>
      </c>
      <c r="G3" s="438"/>
    </row>
    <row r="4" spans="2:7" x14ac:dyDescent="0.5">
      <c r="B4" s="380"/>
      <c r="C4" s="380"/>
      <c r="D4" s="380"/>
      <c r="E4" s="380"/>
      <c r="F4" s="380"/>
    </row>
    <row r="5" spans="2:7" x14ac:dyDescent="0.5">
      <c r="B5" s="439" t="s">
        <v>740</v>
      </c>
      <c r="C5" s="440">
        <v>1073862.3498990745</v>
      </c>
      <c r="D5" s="440">
        <v>415228.73216933163</v>
      </c>
      <c r="E5" s="440">
        <v>366890.91485296708</v>
      </c>
      <c r="F5" s="440">
        <v>191363.10486399083</v>
      </c>
    </row>
    <row r="6" spans="2:7" x14ac:dyDescent="0.5">
      <c r="B6" s="439" t="s">
        <v>741</v>
      </c>
      <c r="C6" s="440">
        <v>1093696.4332949587</v>
      </c>
      <c r="D6" s="440">
        <v>429829.1162177056</v>
      </c>
      <c r="E6" s="440">
        <v>369037.90744508198</v>
      </c>
      <c r="F6" s="440">
        <v>189185.5466707813</v>
      </c>
    </row>
    <row r="7" spans="2:7" x14ac:dyDescent="0.5">
      <c r="B7" s="439" t="s">
        <v>742</v>
      </c>
      <c r="C7" s="440">
        <v>1094454.6896440089</v>
      </c>
      <c r="D7" s="440">
        <v>434269.49385826639</v>
      </c>
      <c r="E7" s="440">
        <v>364807.97408782953</v>
      </c>
      <c r="F7" s="440">
        <v>191506.00753694942</v>
      </c>
    </row>
    <row r="8" spans="2:7" x14ac:dyDescent="0.5">
      <c r="B8" s="439" t="s">
        <v>743</v>
      </c>
      <c r="C8" s="440">
        <v>1110002.9320596694</v>
      </c>
      <c r="D8" s="440">
        <v>441142.28292338643</v>
      </c>
      <c r="E8" s="440">
        <v>367078.03691441909</v>
      </c>
      <c r="F8" s="440">
        <v>200660.68366933925</v>
      </c>
    </row>
    <row r="9" spans="2:7" x14ac:dyDescent="0.5">
      <c r="B9" s="439" t="s">
        <v>744</v>
      </c>
      <c r="C9" s="440">
        <v>1125005.9294111256</v>
      </c>
      <c r="D9" s="440">
        <v>449158.91175824578</v>
      </c>
      <c r="E9" s="440">
        <v>378134.32981735643</v>
      </c>
      <c r="F9" s="440">
        <v>192754.34926737743</v>
      </c>
    </row>
    <row r="10" spans="2:7" x14ac:dyDescent="0.5">
      <c r="B10" s="439" t="s">
        <v>745</v>
      </c>
      <c r="C10" s="440">
        <v>1114165.3602003215</v>
      </c>
      <c r="D10" s="440">
        <v>451130.79747574806</v>
      </c>
      <c r="E10" s="440">
        <v>376224.88898006</v>
      </c>
      <c r="F10" s="440">
        <v>184844.83545271849</v>
      </c>
    </row>
    <row r="11" spans="2:7" x14ac:dyDescent="0.5">
      <c r="B11" s="439" t="s">
        <v>746</v>
      </c>
      <c r="C11" s="440">
        <v>1130813.2127696029</v>
      </c>
      <c r="D11" s="440">
        <v>454214.61755941558</v>
      </c>
      <c r="E11" s="440">
        <v>377872.51102299796</v>
      </c>
      <c r="F11" s="440">
        <v>192022.42104064053</v>
      </c>
    </row>
    <row r="12" spans="2:7" x14ac:dyDescent="0.5">
      <c r="B12" s="439" t="s">
        <v>747</v>
      </c>
      <c r="C12" s="440">
        <v>1152656.3572817517</v>
      </c>
      <c r="D12" s="440">
        <v>461550.08107515116</v>
      </c>
      <c r="E12" s="440">
        <v>392006.81587708101</v>
      </c>
      <c r="F12" s="440">
        <v>188809.90327452906</v>
      </c>
    </row>
    <row r="13" spans="2:7" x14ac:dyDescent="0.5">
      <c r="B13" s="439" t="s">
        <v>748</v>
      </c>
      <c r="C13" s="440">
        <v>1147393.3482975042</v>
      </c>
      <c r="D13" s="440">
        <v>457243.20855613827</v>
      </c>
      <c r="E13" s="440">
        <v>385673.76970636303</v>
      </c>
      <c r="F13" s="440">
        <v>199101.31674344064</v>
      </c>
    </row>
    <row r="14" spans="2:7" x14ac:dyDescent="0.5">
      <c r="B14" s="439" t="s">
        <v>749</v>
      </c>
      <c r="C14" s="440">
        <v>1164171.1531015525</v>
      </c>
      <c r="D14" s="440">
        <v>453828.71350546536</v>
      </c>
      <c r="E14" s="440">
        <v>400733.18613096082</v>
      </c>
      <c r="F14" s="440">
        <v>200361.8434302627</v>
      </c>
    </row>
    <row r="15" spans="2:7" x14ac:dyDescent="0.5">
      <c r="B15" s="439" t="s">
        <v>750</v>
      </c>
      <c r="C15" s="440">
        <v>1250061.9755870157</v>
      </c>
      <c r="D15" s="440">
        <v>471215.4314370408</v>
      </c>
      <c r="E15" s="440">
        <v>423478.4267906372</v>
      </c>
      <c r="F15" s="440">
        <v>225704.81410678729</v>
      </c>
    </row>
    <row r="16" spans="2:7" x14ac:dyDescent="0.5">
      <c r="B16" s="439" t="s">
        <v>751</v>
      </c>
      <c r="C16" s="440">
        <v>1246785.7597705466</v>
      </c>
      <c r="D16" s="440">
        <v>477822.99250278628</v>
      </c>
      <c r="E16" s="440">
        <v>432136.47148867225</v>
      </c>
      <c r="F16" s="440">
        <v>225229.95577257083</v>
      </c>
    </row>
    <row r="17" spans="2:10" x14ac:dyDescent="0.5">
      <c r="B17" s="439" t="s">
        <v>752</v>
      </c>
      <c r="C17" s="440">
        <v>1266925.4128731387</v>
      </c>
      <c r="D17" s="440">
        <v>493507.84308003337</v>
      </c>
      <c r="E17" s="440">
        <v>439237.54076103313</v>
      </c>
      <c r="F17" s="440">
        <v>219372.44522132407</v>
      </c>
    </row>
    <row r="18" spans="2:10" x14ac:dyDescent="0.5">
      <c r="B18" s="439" t="s">
        <v>753</v>
      </c>
      <c r="C18" s="440">
        <v>1302973.6972640539</v>
      </c>
      <c r="D18" s="440">
        <v>511352.68478112988</v>
      </c>
      <c r="E18" s="440">
        <v>437402.697374454</v>
      </c>
      <c r="F18" s="440">
        <v>221343.52421784707</v>
      </c>
    </row>
    <row r="19" spans="2:10" x14ac:dyDescent="0.5">
      <c r="B19" s="439" t="s">
        <v>754</v>
      </c>
      <c r="C19" s="440">
        <v>1319647.282687281</v>
      </c>
      <c r="D19" s="440">
        <v>522156.2953302727</v>
      </c>
      <c r="E19" s="440">
        <v>439497.61079190986</v>
      </c>
      <c r="F19" s="440">
        <v>227500.99561853689</v>
      </c>
    </row>
    <row r="20" spans="2:10" ht="15.7" x14ac:dyDescent="0.55000000000000004">
      <c r="B20" s="439" t="s">
        <v>755</v>
      </c>
      <c r="C20" s="440">
        <v>1338802.2480891533</v>
      </c>
      <c r="D20" s="440">
        <v>524748.76754616911</v>
      </c>
      <c r="E20" s="440">
        <v>437514.00450181199</v>
      </c>
      <c r="F20" s="440">
        <v>244295.17948755872</v>
      </c>
      <c r="J20" s="34"/>
    </row>
    <row r="21" spans="2:10" x14ac:dyDescent="0.5">
      <c r="B21" s="439" t="s">
        <v>756</v>
      </c>
      <c r="C21" s="440">
        <v>1353132.3975669967</v>
      </c>
      <c r="D21" s="440">
        <v>536159.42902143905</v>
      </c>
      <c r="E21" s="440">
        <v>438015.77041828394</v>
      </c>
      <c r="F21" s="440">
        <v>243072.18844863717</v>
      </c>
    </row>
    <row r="22" spans="2:10" x14ac:dyDescent="0.5">
      <c r="B22" s="439" t="s">
        <v>757</v>
      </c>
      <c r="C22" s="440">
        <v>1347370.6041160268</v>
      </c>
      <c r="D22" s="440">
        <v>532970.79321763525</v>
      </c>
      <c r="E22" s="440">
        <v>443031.8800386301</v>
      </c>
      <c r="F22" s="440">
        <v>235827.57446961783</v>
      </c>
    </row>
    <row r="23" spans="2:10" x14ac:dyDescent="0.5">
      <c r="B23" s="439" t="s">
        <v>758</v>
      </c>
      <c r="C23" s="440">
        <v>1373521.8978753565</v>
      </c>
      <c r="D23" s="440">
        <v>543346.91482228425</v>
      </c>
      <c r="E23" s="440">
        <v>443094.56269418646</v>
      </c>
      <c r="F23" s="440">
        <v>253530.328398932</v>
      </c>
    </row>
    <row r="24" spans="2:10" x14ac:dyDescent="0.5">
      <c r="B24" s="439" t="s">
        <v>759</v>
      </c>
      <c r="C24" s="440">
        <v>1395269.1877499055</v>
      </c>
      <c r="D24" s="440">
        <v>559949.95742067916</v>
      </c>
      <c r="E24" s="440">
        <v>440097.15474930656</v>
      </c>
      <c r="F24" s="440">
        <v>253777.82210513481</v>
      </c>
    </row>
    <row r="25" spans="2:10" x14ac:dyDescent="0.5">
      <c r="B25" s="439" t="s">
        <v>760</v>
      </c>
      <c r="C25" s="440">
        <v>1394537.0087797416</v>
      </c>
      <c r="D25" s="440">
        <v>562441.24194169743</v>
      </c>
      <c r="E25" s="440">
        <v>441128.9028573783</v>
      </c>
      <c r="F25" s="440">
        <v>255643.87762327265</v>
      </c>
    </row>
    <row r="26" spans="2:10" x14ac:dyDescent="0.5">
      <c r="B26" s="439" t="s">
        <v>761</v>
      </c>
      <c r="C26" s="440">
        <v>1407674.9740087108</v>
      </c>
      <c r="D26" s="440">
        <v>568363.34889478947</v>
      </c>
      <c r="E26" s="440">
        <v>447935.70640625095</v>
      </c>
      <c r="F26" s="440">
        <v>255378.82757004426</v>
      </c>
    </row>
    <row r="27" spans="2:10" x14ac:dyDescent="0.5">
      <c r="B27" s="439" t="s">
        <v>762</v>
      </c>
      <c r="C27" s="440">
        <v>1477832.6136723268</v>
      </c>
      <c r="D27" s="440">
        <v>587593.45938720962</v>
      </c>
      <c r="E27" s="440">
        <v>453408.60516828462</v>
      </c>
      <c r="F27" s="440">
        <v>285024.28891448502</v>
      </c>
    </row>
    <row r="28" spans="2:10" x14ac:dyDescent="0.5">
      <c r="B28" s="439" t="s">
        <v>763</v>
      </c>
      <c r="C28" s="440">
        <v>1475673.1312138694</v>
      </c>
      <c r="D28" s="440">
        <v>595094.41732872312</v>
      </c>
      <c r="E28" s="440">
        <v>453181.36317781277</v>
      </c>
      <c r="F28" s="440">
        <v>285510.51493366528</v>
      </c>
    </row>
    <row r="29" spans="2:10" x14ac:dyDescent="0.5">
      <c r="B29" s="439" t="s">
        <v>764</v>
      </c>
      <c r="C29" s="440">
        <v>1483417.7143097129</v>
      </c>
      <c r="D29" s="440">
        <v>604444.68606287136</v>
      </c>
      <c r="E29" s="440">
        <v>458825.76695857913</v>
      </c>
      <c r="F29" s="440">
        <v>278192.87469754007</v>
      </c>
    </row>
    <row r="30" spans="2:10" x14ac:dyDescent="0.5">
      <c r="B30" s="439" t="s">
        <v>765</v>
      </c>
      <c r="C30" s="440">
        <v>1520447.0030503364</v>
      </c>
      <c r="D30" s="440">
        <v>621388.81574437127</v>
      </c>
      <c r="E30" s="440">
        <v>459429.58145102183</v>
      </c>
      <c r="F30" s="440">
        <v>292395.29398660723</v>
      </c>
    </row>
    <row r="31" spans="2:10" x14ac:dyDescent="0.5">
      <c r="B31" s="439" t="s">
        <v>766</v>
      </c>
      <c r="C31" s="440">
        <v>1521656.9189790888</v>
      </c>
      <c r="D31" s="440">
        <v>621950.31758262287</v>
      </c>
      <c r="E31" s="440">
        <v>467817.33427906607</v>
      </c>
      <c r="F31" s="440">
        <v>293006.87044530048</v>
      </c>
    </row>
    <row r="32" spans="2:10" x14ac:dyDescent="0.5">
      <c r="B32" s="439" t="s">
        <v>767</v>
      </c>
      <c r="C32" s="440">
        <v>1541111.2826153028</v>
      </c>
      <c r="D32" s="440">
        <v>626165.023521233</v>
      </c>
      <c r="E32" s="440">
        <v>470886.29095754016</v>
      </c>
      <c r="F32" s="440">
        <v>299909.35519875208</v>
      </c>
    </row>
    <row r="33" spans="2:6" x14ac:dyDescent="0.5">
      <c r="B33" s="439" t="s">
        <v>768</v>
      </c>
      <c r="C33" s="440">
        <v>1569233.7283977233</v>
      </c>
      <c r="D33" s="440">
        <v>641385.46163607994</v>
      </c>
      <c r="E33" s="440">
        <v>484840.27985026408</v>
      </c>
      <c r="F33" s="440">
        <v>298618.4880784339</v>
      </c>
    </row>
    <row r="34" spans="2:6" x14ac:dyDescent="0.5">
      <c r="B34" s="439" t="s">
        <v>769</v>
      </c>
      <c r="C34" s="440">
        <v>1562028.492948398</v>
      </c>
      <c r="D34" s="440">
        <v>645222.3290232924</v>
      </c>
      <c r="E34" s="440">
        <v>486248.75365488848</v>
      </c>
      <c r="F34" s="440">
        <v>289334.85292650136</v>
      </c>
    </row>
    <row r="35" spans="2:6" x14ac:dyDescent="0.5">
      <c r="B35" s="439" t="s">
        <v>770</v>
      </c>
      <c r="C35" s="440">
        <v>1585996.7584736301</v>
      </c>
      <c r="D35" s="440">
        <v>646263.05146406812</v>
      </c>
      <c r="E35" s="440">
        <v>485746.68265594321</v>
      </c>
      <c r="F35" s="440">
        <v>303217.29031791334</v>
      </c>
    </row>
    <row r="36" spans="2:6" x14ac:dyDescent="0.5">
      <c r="B36" s="439" t="s">
        <v>771</v>
      </c>
      <c r="C36" s="440">
        <v>1616161.1404449022</v>
      </c>
      <c r="D36" s="440">
        <v>648228.63470444514</v>
      </c>
      <c r="E36" s="440">
        <v>498712.21290822449</v>
      </c>
      <c r="F36" s="440">
        <v>323792.18760992191</v>
      </c>
    </row>
    <row r="37" spans="2:6" x14ac:dyDescent="0.5">
      <c r="B37" s="439" t="s">
        <v>772</v>
      </c>
      <c r="C37" s="440">
        <v>1653158.3404687156</v>
      </c>
      <c r="D37" s="440">
        <v>663367.64626680058</v>
      </c>
      <c r="E37" s="440">
        <v>497021.32714299049</v>
      </c>
      <c r="F37" s="440">
        <v>334312.11206120608</v>
      </c>
    </row>
    <row r="38" spans="2:6" x14ac:dyDescent="0.5">
      <c r="B38" s="439" t="s">
        <v>773</v>
      </c>
      <c r="C38" s="440">
        <v>1699075.2259390028</v>
      </c>
      <c r="D38" s="440">
        <v>683837.43756584416</v>
      </c>
      <c r="E38" s="440">
        <v>505991.718893043</v>
      </c>
      <c r="F38" s="440">
        <v>346656.8545581873</v>
      </c>
    </row>
    <row r="39" spans="2:6" x14ac:dyDescent="0.5">
      <c r="B39" s="439" t="s">
        <v>774</v>
      </c>
      <c r="C39" s="440">
        <v>1771946.1505206001</v>
      </c>
      <c r="D39" s="440">
        <v>714466.15636826062</v>
      </c>
      <c r="E39" s="440">
        <v>513283.01839226455</v>
      </c>
      <c r="F39" s="440">
        <v>363041.6559775591</v>
      </c>
    </row>
    <row r="40" spans="2:6" x14ac:dyDescent="0.5">
      <c r="B40" s="439" t="s">
        <v>775</v>
      </c>
      <c r="C40" s="440">
        <v>1761807.808339847</v>
      </c>
      <c r="D40" s="440">
        <v>720282.37191324355</v>
      </c>
      <c r="E40" s="440">
        <v>513648.27697493695</v>
      </c>
      <c r="F40" s="440">
        <v>363617.74286931171</v>
      </c>
    </row>
    <row r="41" spans="2:6" x14ac:dyDescent="0.5">
      <c r="B41" s="439" t="s">
        <v>776</v>
      </c>
      <c r="C41" s="440">
        <v>1792039.4187845027</v>
      </c>
      <c r="D41" s="440">
        <v>742886.09766040638</v>
      </c>
      <c r="E41" s="440">
        <v>520582.30606449273</v>
      </c>
      <c r="F41" s="440">
        <v>363050.89321202907</v>
      </c>
    </row>
    <row r="42" spans="2:6" x14ac:dyDescent="0.5">
      <c r="B42" s="439" t="s">
        <v>777</v>
      </c>
      <c r="C42" s="440">
        <v>1815031.6388352134</v>
      </c>
      <c r="D42" s="440">
        <v>763513.33662471164</v>
      </c>
      <c r="E42" s="440">
        <v>518227.461841034</v>
      </c>
      <c r="F42" s="440">
        <v>360071.30103048513</v>
      </c>
    </row>
    <row r="43" spans="2:6" x14ac:dyDescent="0.5">
      <c r="B43" s="439" t="s">
        <v>778</v>
      </c>
      <c r="C43" s="440">
        <v>1821883.8361022633</v>
      </c>
      <c r="D43" s="440">
        <v>760102.17510032537</v>
      </c>
      <c r="E43" s="440">
        <v>513391.2792087759</v>
      </c>
      <c r="F43" s="440">
        <v>377029.87365006859</v>
      </c>
    </row>
    <row r="44" spans="2:6" x14ac:dyDescent="0.5">
      <c r="B44" s="439" t="s">
        <v>779</v>
      </c>
      <c r="C44" s="440">
        <v>1844443.2994422801</v>
      </c>
      <c r="D44" s="440">
        <v>768154.88741872495</v>
      </c>
      <c r="E44" s="440">
        <v>520113.25631212484</v>
      </c>
      <c r="F44" s="440">
        <v>374880.62601047498</v>
      </c>
    </row>
    <row r="45" spans="2:6" x14ac:dyDescent="0.5">
      <c r="B45" s="439" t="s">
        <v>780</v>
      </c>
      <c r="C45" s="440">
        <v>1872355.0959327105</v>
      </c>
      <c r="D45" s="440">
        <v>786146.80065695243</v>
      </c>
      <c r="E45" s="440">
        <v>524631.99017470307</v>
      </c>
      <c r="F45" s="440">
        <v>381879.15185178287</v>
      </c>
    </row>
    <row r="46" spans="2:6" x14ac:dyDescent="0.5">
      <c r="B46" s="439" t="s">
        <v>781</v>
      </c>
      <c r="C46" s="440">
        <v>1920017.4465008609</v>
      </c>
      <c r="D46" s="440">
        <v>808700.22329134878</v>
      </c>
      <c r="E46" s="440">
        <v>518585.20220767241</v>
      </c>
      <c r="F46" s="440">
        <v>407302.57951732329</v>
      </c>
    </row>
    <row r="47" spans="2:6" x14ac:dyDescent="0.5">
      <c r="B47" s="439" t="s">
        <v>782</v>
      </c>
      <c r="C47" s="440">
        <v>1910355.4422798913</v>
      </c>
      <c r="D47" s="440">
        <v>810280.8618668837</v>
      </c>
      <c r="E47" s="440">
        <v>522194.48245440132</v>
      </c>
      <c r="F47" s="440">
        <v>385747.14871197083</v>
      </c>
    </row>
    <row r="48" spans="2:6" x14ac:dyDescent="0.5">
      <c r="B48" s="439" t="s">
        <v>783</v>
      </c>
      <c r="C48" s="440">
        <v>1968886.1393940018</v>
      </c>
      <c r="D48" s="440">
        <v>812754.16990156216</v>
      </c>
      <c r="E48" s="440">
        <v>542931.58924443461</v>
      </c>
      <c r="F48" s="440">
        <v>408663.00401212508</v>
      </c>
    </row>
    <row r="49" spans="2:6" x14ac:dyDescent="0.5">
      <c r="B49" s="439" t="s">
        <v>784</v>
      </c>
      <c r="C49" s="440">
        <v>1965367.283027295</v>
      </c>
      <c r="D49" s="440">
        <v>827785.1966276567</v>
      </c>
      <c r="E49" s="440">
        <v>563207.59324094828</v>
      </c>
      <c r="F49" s="440">
        <v>387431.01962946419</v>
      </c>
    </row>
    <row r="50" spans="2:6" x14ac:dyDescent="0.5">
      <c r="B50" s="439" t="s">
        <v>785</v>
      </c>
      <c r="C50" s="440">
        <v>2002140.7669344926</v>
      </c>
      <c r="D50" s="440">
        <v>844557.06269832794</v>
      </c>
      <c r="E50" s="440">
        <v>582445.54051639314</v>
      </c>
      <c r="F50" s="440">
        <v>386216.11204074166</v>
      </c>
    </row>
    <row r="51" spans="2:6" x14ac:dyDescent="0.5">
      <c r="B51" s="439" t="s">
        <v>786</v>
      </c>
      <c r="C51" s="440">
        <v>2107502.6940525938</v>
      </c>
      <c r="D51" s="440">
        <v>875419.90691987739</v>
      </c>
      <c r="E51" s="440">
        <v>617634.94534816477</v>
      </c>
      <c r="F51" s="440">
        <v>401829.34329903469</v>
      </c>
    </row>
    <row r="52" spans="2:6" x14ac:dyDescent="0.5">
      <c r="B52" s="439" t="s">
        <v>787</v>
      </c>
      <c r="C52" s="440">
        <v>2110949.6566168959</v>
      </c>
      <c r="D52" s="440">
        <v>886046.39666734333</v>
      </c>
      <c r="E52" s="440">
        <v>618399.26115538378</v>
      </c>
      <c r="F52" s="440">
        <v>407231.10718739382</v>
      </c>
    </row>
    <row r="53" spans="2:6" x14ac:dyDescent="0.5">
      <c r="B53" s="439" t="s">
        <v>788</v>
      </c>
      <c r="C53" s="440">
        <v>2130699.2740617427</v>
      </c>
      <c r="D53" s="440">
        <v>896777.16927967523</v>
      </c>
      <c r="E53" s="440">
        <v>618938.20738238597</v>
      </c>
      <c r="F53" s="440">
        <v>410953.17089951469</v>
      </c>
    </row>
    <row r="54" spans="2:6" x14ac:dyDescent="0.5">
      <c r="B54" s="439" t="s">
        <v>789</v>
      </c>
      <c r="C54" s="440">
        <v>2185924.7904130109</v>
      </c>
      <c r="D54" s="440">
        <v>925131.84675052774</v>
      </c>
      <c r="E54" s="440">
        <v>631391.59795380989</v>
      </c>
      <c r="F54" s="440">
        <v>416582.64083294029</v>
      </c>
    </row>
    <row r="55" spans="2:6" x14ac:dyDescent="0.5">
      <c r="B55" s="439" t="s">
        <v>790</v>
      </c>
      <c r="C55" s="440">
        <v>2178871.4411943904</v>
      </c>
      <c r="D55" s="440">
        <v>922526.53583855205</v>
      </c>
      <c r="E55" s="440">
        <v>655483.34088537318</v>
      </c>
      <c r="F55" s="440">
        <v>399160.46473656403</v>
      </c>
    </row>
    <row r="56" spans="2:6" x14ac:dyDescent="0.5">
      <c r="B56" s="439" t="s">
        <v>791</v>
      </c>
      <c r="C56" s="440">
        <v>2208713.6804208765</v>
      </c>
      <c r="D56" s="440">
        <v>914735.53084036778</v>
      </c>
      <c r="E56" s="440">
        <v>679229.71677514364</v>
      </c>
      <c r="F56" s="440">
        <v>412248.03058974788</v>
      </c>
    </row>
    <row r="57" spans="2:6" x14ac:dyDescent="0.5">
      <c r="B57" s="439" t="s">
        <v>792</v>
      </c>
      <c r="C57" s="440">
        <v>2254540.304272756</v>
      </c>
      <c r="D57" s="440">
        <v>909447.7518179561</v>
      </c>
      <c r="E57" s="440">
        <v>709414.80340529932</v>
      </c>
      <c r="F57" s="440">
        <v>425226.31254140951</v>
      </c>
    </row>
    <row r="58" spans="2:6" x14ac:dyDescent="0.5">
      <c r="B58" s="439" t="s">
        <v>793</v>
      </c>
      <c r="C58" s="440">
        <v>2273679.6274380209</v>
      </c>
      <c r="D58" s="440">
        <v>850022.46491366148</v>
      </c>
      <c r="E58" s="440">
        <v>773664.16533284436</v>
      </c>
      <c r="F58" s="440">
        <v>442951.34780038655</v>
      </c>
    </row>
    <row r="59" spans="2:6" x14ac:dyDescent="0.5">
      <c r="B59" s="439" t="s">
        <v>794</v>
      </c>
      <c r="C59" s="440">
        <v>2283314.1783142039</v>
      </c>
      <c r="D59" s="440">
        <v>821618.67368757131</v>
      </c>
      <c r="E59" s="440">
        <v>838886.04782295751</v>
      </c>
      <c r="F59" s="440">
        <v>418936.59673747403</v>
      </c>
    </row>
    <row r="60" spans="2:6" x14ac:dyDescent="0.5">
      <c r="B60" s="439" t="s">
        <v>795</v>
      </c>
      <c r="C60" s="440">
        <v>2284703.4030663618</v>
      </c>
      <c r="D60" s="440">
        <v>804031.75630006485</v>
      </c>
      <c r="E60" s="440">
        <v>900859.73060843244</v>
      </c>
      <c r="F60" s="440">
        <v>379472.85636609735</v>
      </c>
    </row>
    <row r="61" spans="2:6" x14ac:dyDescent="0.5">
      <c r="B61" s="439" t="s">
        <v>796</v>
      </c>
      <c r="C61" s="440">
        <v>2275944.4569207039</v>
      </c>
      <c r="D61" s="440">
        <v>797929.80970524857</v>
      </c>
      <c r="E61" s="440">
        <v>941018.48696270795</v>
      </c>
      <c r="F61" s="440">
        <v>332868.1155001325</v>
      </c>
    </row>
    <row r="62" spans="2:6" x14ac:dyDescent="0.5">
      <c r="B62" s="439" t="s">
        <v>797</v>
      </c>
      <c r="C62" s="440">
        <v>2292956.6971034948</v>
      </c>
      <c r="D62" s="440">
        <v>794735.70563831506</v>
      </c>
      <c r="E62" s="440">
        <v>964730.50079834554</v>
      </c>
      <c r="F62" s="440">
        <v>323959.71844471717</v>
      </c>
    </row>
    <row r="63" spans="2:6" x14ac:dyDescent="0.5">
      <c r="B63" s="439" t="s">
        <v>798</v>
      </c>
      <c r="C63" s="440">
        <v>2384806.9528788514</v>
      </c>
      <c r="D63" s="440">
        <v>816572.16699972586</v>
      </c>
      <c r="E63" s="440">
        <v>998258.72398093436</v>
      </c>
      <c r="F63" s="440">
        <v>333350.38693623978</v>
      </c>
    </row>
    <row r="64" spans="2:6" x14ac:dyDescent="0.5">
      <c r="B64" s="439" t="s">
        <v>799</v>
      </c>
      <c r="C64" s="440">
        <v>2408404.5004850472</v>
      </c>
      <c r="D64" s="440">
        <v>821606.38699189259</v>
      </c>
      <c r="E64" s="440">
        <v>1006660.1592302</v>
      </c>
      <c r="F64" s="440">
        <v>359872.04921380006</v>
      </c>
    </row>
    <row r="65" spans="2:6" x14ac:dyDescent="0.5">
      <c r="B65" s="439" t="s">
        <v>800</v>
      </c>
      <c r="C65" s="440">
        <v>2424336.8408432985</v>
      </c>
      <c r="D65" s="440">
        <v>837998.71428834787</v>
      </c>
      <c r="E65" s="440">
        <v>1014021.1415225944</v>
      </c>
      <c r="F65" s="440">
        <v>338794.88337376917</v>
      </c>
    </row>
    <row r="66" spans="2:6" x14ac:dyDescent="0.5">
      <c r="B66" s="439" t="s">
        <v>801</v>
      </c>
      <c r="C66" s="440">
        <v>2465005.8255658308</v>
      </c>
      <c r="D66" s="440">
        <v>861484.88013506052</v>
      </c>
      <c r="E66" s="440">
        <v>1013762.6948666776</v>
      </c>
      <c r="F66" s="440">
        <v>351512.13481729687</v>
      </c>
    </row>
    <row r="67" spans="2:6" x14ac:dyDescent="0.5">
      <c r="B67" s="439" t="s">
        <v>802</v>
      </c>
      <c r="C67" s="440">
        <v>2484521.4710200182</v>
      </c>
      <c r="D67" s="440">
        <v>871530.49656719703</v>
      </c>
      <c r="E67" s="440">
        <v>1017171.0936873014</v>
      </c>
      <c r="F67" s="440">
        <v>366437.04820616689</v>
      </c>
    </row>
    <row r="68" spans="2:6" x14ac:dyDescent="0.5">
      <c r="B68" s="439" t="s">
        <v>803</v>
      </c>
      <c r="C68" s="440">
        <v>2506050.1370820869</v>
      </c>
      <c r="D68" s="440">
        <v>883106.13919367664</v>
      </c>
      <c r="E68" s="440">
        <v>1018986.3304366018</v>
      </c>
      <c r="F68" s="440">
        <v>367312.61728679377</v>
      </c>
    </row>
    <row r="69" spans="2:6" x14ac:dyDescent="0.5">
      <c r="B69" s="439" t="s">
        <v>804</v>
      </c>
      <c r="C69" s="440">
        <v>2533998.8215827723</v>
      </c>
      <c r="D69" s="440">
        <v>894669.70199040114</v>
      </c>
      <c r="E69" s="440">
        <v>1053632.1134638344</v>
      </c>
      <c r="F69" s="440">
        <v>343394.18364252732</v>
      </c>
    </row>
    <row r="70" spans="2:6" x14ac:dyDescent="0.5">
      <c r="B70" s="439" t="s">
        <v>805</v>
      </c>
      <c r="C70" s="440">
        <v>2522586.3462453531</v>
      </c>
      <c r="D70" s="440">
        <v>897696.65033712203</v>
      </c>
      <c r="E70" s="440">
        <v>1082441.3256839395</v>
      </c>
      <c r="F70" s="440">
        <v>306518.00644686172</v>
      </c>
    </row>
    <row r="71" spans="2:6" x14ac:dyDescent="0.5">
      <c r="B71" s="439" t="s">
        <v>806</v>
      </c>
      <c r="C71" s="440">
        <v>2554264.6956660859</v>
      </c>
      <c r="D71" s="440">
        <v>908666.27595938672</v>
      </c>
      <c r="E71" s="440">
        <v>1098006.2420349207</v>
      </c>
      <c r="F71" s="440">
        <v>302733.50608281046</v>
      </c>
    </row>
    <row r="72" spans="2:6" x14ac:dyDescent="0.5">
      <c r="B72" s="439" t="s">
        <v>807</v>
      </c>
      <c r="C72" s="440">
        <v>2603858.0986972325</v>
      </c>
      <c r="D72" s="440">
        <v>906265.22084917501</v>
      </c>
      <c r="E72" s="440">
        <v>1136479.7992421943</v>
      </c>
      <c r="F72" s="440">
        <v>305125.48766155</v>
      </c>
    </row>
    <row r="73" spans="2:6" x14ac:dyDescent="0.5">
      <c r="B73" s="439" t="s">
        <v>808</v>
      </c>
      <c r="C73" s="440">
        <v>2627984.2488380373</v>
      </c>
      <c r="D73" s="440">
        <v>895390.46884120756</v>
      </c>
      <c r="E73" s="440">
        <v>1159318.500776744</v>
      </c>
      <c r="F73" s="440">
        <v>315828.99470049527</v>
      </c>
    </row>
    <row r="74" spans="2:6" x14ac:dyDescent="0.5">
      <c r="B74" s="439" t="s">
        <v>809</v>
      </c>
      <c r="C74" s="440">
        <v>2683676.0904408335</v>
      </c>
      <c r="D74" s="440">
        <v>901380.47160129016</v>
      </c>
      <c r="E74" s="440">
        <v>1194120.8139792366</v>
      </c>
      <c r="F74" s="440">
        <v>328449.5195635549</v>
      </c>
    </row>
    <row r="75" spans="2:6" x14ac:dyDescent="0.5">
      <c r="B75" s="439" t="s">
        <v>810</v>
      </c>
      <c r="C75" s="440">
        <v>2836930.005621599</v>
      </c>
      <c r="D75" s="440">
        <v>947024.2194388489</v>
      </c>
      <c r="E75" s="440">
        <v>1229730.7001309791</v>
      </c>
      <c r="F75" s="440">
        <v>367596.87988379778</v>
      </c>
    </row>
    <row r="76" spans="2:6" x14ac:dyDescent="0.5">
      <c r="B76" s="439" t="s">
        <v>811</v>
      </c>
      <c r="C76" s="440">
        <v>2824992.3192476174</v>
      </c>
      <c r="D76" s="440">
        <v>941638.30040999793</v>
      </c>
      <c r="E76" s="440">
        <v>1268925.5330134197</v>
      </c>
      <c r="F76" s="440">
        <v>366974.40170941578</v>
      </c>
    </row>
    <row r="77" spans="2:6" x14ac:dyDescent="0.5">
      <c r="B77" s="439" t="s">
        <v>812</v>
      </c>
      <c r="C77" s="440">
        <v>2875204.0374329891</v>
      </c>
      <c r="D77" s="440">
        <v>950782.6594734625</v>
      </c>
      <c r="E77" s="440">
        <v>1273775.9981934072</v>
      </c>
      <c r="F77" s="440">
        <v>396758.51590457681</v>
      </c>
    </row>
    <row r="78" spans="2:6" x14ac:dyDescent="0.5">
      <c r="B78" s="439" t="s">
        <v>813</v>
      </c>
      <c r="C78" s="440">
        <v>2911848.6731478572</v>
      </c>
      <c r="D78" s="440">
        <v>982398.22134446853</v>
      </c>
      <c r="E78" s="440">
        <v>1312075.0639061849</v>
      </c>
      <c r="F78" s="440">
        <v>356718.60552275169</v>
      </c>
    </row>
    <row r="79" spans="2:6" x14ac:dyDescent="0.5">
      <c r="B79" s="441" t="s">
        <v>814</v>
      </c>
      <c r="C79" s="440">
        <v>2952528.2504761112</v>
      </c>
      <c r="D79" s="440">
        <v>985928.91577053163</v>
      </c>
      <c r="E79" s="440">
        <v>1333149.8053443709</v>
      </c>
      <c r="F79" s="440">
        <v>377964.0777479799</v>
      </c>
    </row>
    <row r="80" spans="2:6" x14ac:dyDescent="0.5">
      <c r="B80" s="441" t="s">
        <v>815</v>
      </c>
      <c r="C80" s="440">
        <v>3012667.8744440991</v>
      </c>
      <c r="D80" s="440">
        <v>973138.7595672484</v>
      </c>
      <c r="E80" s="440">
        <v>1400873.9710145122</v>
      </c>
      <c r="F80" s="440">
        <v>347837.54576592025</v>
      </c>
    </row>
    <row r="81" spans="2:6" x14ac:dyDescent="0.5">
      <c r="B81" s="441" t="s">
        <v>816</v>
      </c>
      <c r="C81" s="440">
        <v>3066017.6145111262</v>
      </c>
      <c r="D81" s="440">
        <v>982434.53522790933</v>
      </c>
      <c r="E81" s="440">
        <v>1441041.9965152752</v>
      </c>
      <c r="F81" s="440">
        <v>354213.09072597488</v>
      </c>
    </row>
    <row r="82" spans="2:6" x14ac:dyDescent="0.5">
      <c r="B82" s="441" t="s">
        <v>817</v>
      </c>
      <c r="C82" s="440">
        <v>3084906.3176045381</v>
      </c>
      <c r="D82" s="440">
        <v>998692.40828837117</v>
      </c>
      <c r="E82" s="440">
        <v>1447857.9610017261</v>
      </c>
      <c r="F82" s="440">
        <v>346304.13570857764</v>
      </c>
    </row>
    <row r="83" spans="2:6" x14ac:dyDescent="0.5">
      <c r="B83" s="441" t="s">
        <v>818</v>
      </c>
      <c r="C83" s="440">
        <v>3109650.6868950441</v>
      </c>
      <c r="D83" s="440">
        <v>1007122.2179370613</v>
      </c>
      <c r="E83" s="440">
        <v>1449602.1107668402</v>
      </c>
      <c r="F83" s="440">
        <v>361912.82062116038</v>
      </c>
    </row>
    <row r="84" spans="2:6" x14ac:dyDescent="0.5">
      <c r="B84" s="441" t="s">
        <v>819</v>
      </c>
      <c r="C84" s="440">
        <v>3154628.8209421686</v>
      </c>
      <c r="D84" s="440">
        <v>1020460.2891259065</v>
      </c>
      <c r="E84" s="440">
        <v>1468289.5952402186</v>
      </c>
      <c r="F84" s="440">
        <v>370268.17639803607</v>
      </c>
    </row>
    <row r="85" spans="2:6" x14ac:dyDescent="0.5">
      <c r="B85" s="441" t="s">
        <v>820</v>
      </c>
      <c r="C85" s="440">
        <v>3160562.4017583048</v>
      </c>
      <c r="D85" s="440">
        <v>1004576.4370417653</v>
      </c>
      <c r="E85" s="440">
        <v>1485615.1424473645</v>
      </c>
      <c r="F85" s="440">
        <v>368939.67458919541</v>
      </c>
    </row>
    <row r="86" spans="2:6" x14ac:dyDescent="0.5">
      <c r="B86" s="441" t="s">
        <v>821</v>
      </c>
      <c r="C86" s="440">
        <v>3199760.1996549424</v>
      </c>
      <c r="D86" s="440">
        <v>1006072.2773459273</v>
      </c>
      <c r="E86" s="440">
        <v>1495613.3565331423</v>
      </c>
      <c r="F86" s="440">
        <v>378445.30782119255</v>
      </c>
    </row>
    <row r="87" spans="2:6" x14ac:dyDescent="0.5">
      <c r="B87" s="441" t="s">
        <v>822</v>
      </c>
      <c r="C87" s="440">
        <v>3354427.8720088862</v>
      </c>
      <c r="D87" s="440">
        <v>1060515.8183372875</v>
      </c>
      <c r="E87" s="440">
        <v>1526497.3784745999</v>
      </c>
      <c r="F87" s="440">
        <v>417390.11598421546</v>
      </c>
    </row>
    <row r="88" spans="2:6" x14ac:dyDescent="0.5">
      <c r="B88" s="441" t="s">
        <v>823</v>
      </c>
      <c r="C88" s="440">
        <v>3332541.1382804839</v>
      </c>
      <c r="D88" s="440">
        <v>1059144.4355342304</v>
      </c>
      <c r="E88" s="440">
        <v>1565098.4110271616</v>
      </c>
      <c r="F88" s="440">
        <v>416630.13041477161</v>
      </c>
    </row>
    <row r="89" spans="2:6" x14ac:dyDescent="0.5">
      <c r="B89" s="441" t="s">
        <v>824</v>
      </c>
      <c r="C89" s="440">
        <v>3356426.1488903551</v>
      </c>
      <c r="D89" s="440">
        <v>1057065.0620065855</v>
      </c>
      <c r="E89" s="440">
        <v>1592500.6459734128</v>
      </c>
      <c r="F89" s="440">
        <v>415122.89810784918</v>
      </c>
    </row>
    <row r="90" spans="2:6" x14ac:dyDescent="0.5">
      <c r="B90" s="441" t="s">
        <v>825</v>
      </c>
      <c r="C90" s="440">
        <v>3442948.4183970988</v>
      </c>
      <c r="D90" s="440">
        <v>1097934.0269394873</v>
      </c>
      <c r="E90" s="440">
        <v>1615908.2227867872</v>
      </c>
      <c r="F90" s="440">
        <v>418893.53686854657</v>
      </c>
    </row>
    <row r="91" spans="2:6" x14ac:dyDescent="0.5">
      <c r="B91" s="441" t="s">
        <v>826</v>
      </c>
      <c r="C91" s="440">
        <v>3444835.8893274134</v>
      </c>
      <c r="D91" s="440">
        <v>1083194.2694646376</v>
      </c>
      <c r="E91" s="440">
        <v>1644171.3313357602</v>
      </c>
      <c r="F91" s="440">
        <v>424957.74761753576</v>
      </c>
    </row>
    <row r="92" spans="2:6" x14ac:dyDescent="0.5">
      <c r="B92" s="441" t="s">
        <v>827</v>
      </c>
      <c r="C92" s="440">
        <v>3474555.3150113993</v>
      </c>
      <c r="D92" s="440">
        <v>1078657.6385863228</v>
      </c>
      <c r="E92" s="440">
        <v>1671100.5666350534</v>
      </c>
      <c r="F92" s="440">
        <v>416289.50061626633</v>
      </c>
    </row>
    <row r="93" spans="2:6" x14ac:dyDescent="0.5">
      <c r="B93" s="441" t="s">
        <v>828</v>
      </c>
      <c r="C93" s="440">
        <v>3560542.6459028819</v>
      </c>
      <c r="D93" s="440">
        <v>1096716.2539117248</v>
      </c>
      <c r="E93" s="440">
        <v>1718227.7403811738</v>
      </c>
      <c r="F93" s="440">
        <v>412849.44303808082</v>
      </c>
    </row>
    <row r="94" spans="2:6" x14ac:dyDescent="0.5">
      <c r="B94" s="441" t="s">
        <v>829</v>
      </c>
      <c r="C94" s="440">
        <v>3565350.3939476204</v>
      </c>
      <c r="D94" s="440">
        <v>1088861.2301017945</v>
      </c>
      <c r="E94" s="440">
        <v>1748844.7200915965</v>
      </c>
      <c r="F94" s="440">
        <v>408405.50250554143</v>
      </c>
    </row>
    <row r="95" spans="2:6" x14ac:dyDescent="0.5">
      <c r="B95" s="441" t="s">
        <v>830</v>
      </c>
      <c r="C95" s="440">
        <v>3614356.8943587155</v>
      </c>
      <c r="D95" s="440">
        <v>1099018.6038517167</v>
      </c>
      <c r="E95" s="440">
        <v>1771220.1902014602</v>
      </c>
      <c r="F95" s="440">
        <v>412107.05251390371</v>
      </c>
    </row>
    <row r="96" spans="2:6" x14ac:dyDescent="0.5">
      <c r="B96" s="441" t="s">
        <v>831</v>
      </c>
      <c r="C96" s="440">
        <v>3668171.0176270804</v>
      </c>
      <c r="D96" s="440">
        <v>1139865.2052926458</v>
      </c>
      <c r="E96" s="440">
        <v>1779233.7404999111</v>
      </c>
      <c r="F96" s="440">
        <v>404339.87870772282</v>
      </c>
    </row>
    <row r="97" spans="2:6" x14ac:dyDescent="0.5">
      <c r="B97" s="441" t="s">
        <v>832</v>
      </c>
      <c r="C97" s="440">
        <v>3697389.5052291853</v>
      </c>
      <c r="D97" s="440">
        <v>1160067.5888882475</v>
      </c>
      <c r="E97" s="440">
        <v>1751030.039190551</v>
      </c>
      <c r="F97" s="440">
        <v>403226.82637083053</v>
      </c>
    </row>
    <row r="98" spans="2:6" x14ac:dyDescent="0.5">
      <c r="B98" s="441" t="s">
        <v>833</v>
      </c>
      <c r="C98" s="440">
        <v>3768071.8822069224</v>
      </c>
      <c r="D98" s="440">
        <v>1169814.0594156496</v>
      </c>
      <c r="E98" s="440">
        <v>1767227.0469476632</v>
      </c>
      <c r="F98" s="440">
        <v>433781.10362915666</v>
      </c>
    </row>
    <row r="99" spans="2:6" x14ac:dyDescent="0.5">
      <c r="B99" s="441" t="s">
        <v>834</v>
      </c>
      <c r="C99" s="440">
        <v>3933737.5362518528</v>
      </c>
      <c r="D99" s="440">
        <v>1224189.4739575393</v>
      </c>
      <c r="E99" s="440">
        <v>1884401.9092513972</v>
      </c>
      <c r="F99" s="440">
        <v>387287.40678058361</v>
      </c>
    </row>
    <row r="100" spans="2:6" x14ac:dyDescent="0.5">
      <c r="B100" s="441" t="s">
        <v>835</v>
      </c>
      <c r="C100" s="440">
        <v>3934779.7418802558</v>
      </c>
      <c r="D100" s="440">
        <v>1221115.3028050351</v>
      </c>
      <c r="E100" s="440">
        <v>1928771.9120481745</v>
      </c>
      <c r="F100" s="440">
        <v>411243.25253361574</v>
      </c>
    </row>
    <row r="101" spans="2:6" x14ac:dyDescent="0.5">
      <c r="B101" s="441" t="s">
        <v>836</v>
      </c>
      <c r="C101" s="440">
        <v>3960434.8739972804</v>
      </c>
      <c r="D101" s="440">
        <v>1259671.0195732962</v>
      </c>
      <c r="E101" s="440">
        <v>1971834.0565563778</v>
      </c>
      <c r="F101" s="440">
        <v>394010.18031139212</v>
      </c>
    </row>
    <row r="102" spans="2:6" x14ac:dyDescent="0.5">
      <c r="B102" s="441" t="s">
        <v>837</v>
      </c>
      <c r="C102" s="440">
        <v>4123803.8156756377</v>
      </c>
      <c r="D102" s="440">
        <v>1306544.0109142573</v>
      </c>
      <c r="E102" s="440">
        <v>1988043.7605471055</v>
      </c>
      <c r="F102" s="440">
        <v>379186.66287100408</v>
      </c>
    </row>
    <row r="103" spans="2:6" x14ac:dyDescent="0.5">
      <c r="B103" s="441" t="s">
        <v>838</v>
      </c>
      <c r="C103" s="440">
        <v>4117349.6927426187</v>
      </c>
      <c r="D103" s="440">
        <v>1329875.0029815866</v>
      </c>
      <c r="E103" s="440">
        <v>2009526.5751186484</v>
      </c>
      <c r="F103" s="440">
        <v>376158.41237136326</v>
      </c>
    </row>
    <row r="104" spans="2:6" x14ac:dyDescent="0.5">
      <c r="B104" s="441" t="s">
        <v>839</v>
      </c>
      <c r="C104" s="440">
        <v>4190717.2314406261</v>
      </c>
      <c r="D104" s="440">
        <v>1338722.9044910944</v>
      </c>
      <c r="E104" s="440">
        <v>2047495.0393008378</v>
      </c>
      <c r="F104" s="440">
        <v>391749.36110629083</v>
      </c>
    </row>
    <row r="105" spans="2:6" x14ac:dyDescent="0.5">
      <c r="B105" s="441" t="s">
        <v>840</v>
      </c>
      <c r="C105" s="440">
        <v>4284219.7184707485</v>
      </c>
      <c r="D105" s="440">
        <v>1407324.920551759</v>
      </c>
      <c r="E105" s="440">
        <v>2078733.7478194686</v>
      </c>
      <c r="F105" s="440">
        <v>387473.24446805182</v>
      </c>
    </row>
    <row r="106" spans="2:6" x14ac:dyDescent="0.5">
      <c r="B106" s="441" t="s">
        <v>841</v>
      </c>
      <c r="C106" s="440">
        <v>4298930.298047089</v>
      </c>
      <c r="D106" s="440">
        <v>1430198.6486671395</v>
      </c>
      <c r="E106" s="440">
        <v>2077096.867361781</v>
      </c>
      <c r="F106" s="440">
        <v>393233.71538505162</v>
      </c>
    </row>
    <row r="107" spans="2:6" x14ac:dyDescent="0.5">
      <c r="B107" s="441" t="s">
        <v>842</v>
      </c>
      <c r="C107" s="440">
        <v>4345382.2523388416</v>
      </c>
      <c r="D107" s="440">
        <v>1468120.5894448333</v>
      </c>
      <c r="E107" s="440">
        <v>2089816.2936270942</v>
      </c>
      <c r="F107" s="440">
        <v>381239.14085896796</v>
      </c>
    </row>
    <row r="108" spans="2:6" x14ac:dyDescent="0.5">
      <c r="B108" s="441" t="s">
        <v>843</v>
      </c>
      <c r="C108" s="440">
        <v>4464616.6543853926</v>
      </c>
      <c r="D108" s="440">
        <v>1530214.7033585117</v>
      </c>
      <c r="E108" s="440">
        <v>2142850.4773097201</v>
      </c>
      <c r="F108" s="440">
        <v>368327.77637205401</v>
      </c>
    </row>
    <row r="109" spans="2:6" x14ac:dyDescent="0.5">
      <c r="B109" s="441" t="s">
        <v>844</v>
      </c>
      <c r="C109" s="440">
        <v>4474231.5471409438</v>
      </c>
      <c r="D109" s="440">
        <v>1505347.5932631972</v>
      </c>
      <c r="E109" s="440">
        <v>2197658.5562525215</v>
      </c>
      <c r="F109" s="440">
        <v>361858.7895981365</v>
      </c>
    </row>
    <row r="110" spans="2:6" x14ac:dyDescent="0.5">
      <c r="B110" s="441" t="s">
        <v>845</v>
      </c>
      <c r="C110" s="440">
        <v>4510383.4768465338</v>
      </c>
      <c r="D110" s="440">
        <v>1520795.2841175618</v>
      </c>
      <c r="E110" s="440">
        <v>2180247.1721148505</v>
      </c>
      <c r="F110" s="440">
        <v>380225.25274139736</v>
      </c>
    </row>
    <row r="111" spans="2:6" x14ac:dyDescent="0.5">
      <c r="B111" s="441" t="s">
        <v>846</v>
      </c>
      <c r="C111" s="440">
        <v>4740065.5531121586</v>
      </c>
      <c r="D111" s="440">
        <v>1592151.6306949414</v>
      </c>
      <c r="E111" s="440">
        <v>2213503.1991537395</v>
      </c>
      <c r="F111" s="440">
        <v>396692.51565183297</v>
      </c>
    </row>
    <row r="112" spans="2:6" x14ac:dyDescent="0.5">
      <c r="B112" s="441" t="s">
        <v>847</v>
      </c>
      <c r="C112" s="440">
        <v>4666314.3403882338</v>
      </c>
      <c r="D112" s="440">
        <v>1575388.7374545115</v>
      </c>
      <c r="E112" s="440">
        <v>2302502.6161923478</v>
      </c>
      <c r="F112" s="440">
        <v>383268.976526146</v>
      </c>
    </row>
    <row r="113" spans="2:6" x14ac:dyDescent="0.5">
      <c r="B113" s="441" t="s">
        <v>848</v>
      </c>
      <c r="C113" s="440">
        <v>4718952.0387433236</v>
      </c>
      <c r="D113" s="440">
        <v>1604225.0190584539</v>
      </c>
      <c r="E113" s="440">
        <v>2349431.9907470671</v>
      </c>
      <c r="F113" s="440">
        <v>354463.16095831449</v>
      </c>
    </row>
    <row r="114" spans="2:6" x14ac:dyDescent="0.5">
      <c r="B114" s="441" t="s">
        <v>849</v>
      </c>
      <c r="C114" s="440">
        <v>4834218.2880495796</v>
      </c>
      <c r="D114" s="440">
        <v>1624863.2819672171</v>
      </c>
      <c r="E114" s="440">
        <v>2431002.912656514</v>
      </c>
      <c r="F114" s="440">
        <v>361309.2518425025</v>
      </c>
    </row>
    <row r="115" spans="2:6" x14ac:dyDescent="0.5">
      <c r="B115" s="441" t="s">
        <v>850</v>
      </c>
      <c r="C115" s="440">
        <v>4804206.5185921285</v>
      </c>
      <c r="D115" s="440">
        <v>1566383.7418423377</v>
      </c>
      <c r="E115" s="440">
        <v>2502918.9105750644</v>
      </c>
      <c r="F115" s="440">
        <v>347273.19592939795</v>
      </c>
    </row>
    <row r="116" spans="2:6" x14ac:dyDescent="0.5">
      <c r="B116" s="441" t="s">
        <v>851</v>
      </c>
      <c r="C116" s="440">
        <v>4813320.5264113611</v>
      </c>
      <c r="D116" s="440">
        <v>1493097.4010806659</v>
      </c>
      <c r="E116" s="440">
        <v>2591337.2622253168</v>
      </c>
      <c r="F116" s="440">
        <v>336088.64404549776</v>
      </c>
    </row>
    <row r="117" spans="2:6" x14ac:dyDescent="0.5">
      <c r="B117" s="441" t="s">
        <v>852</v>
      </c>
      <c r="C117" s="440">
        <v>4877518.6257668585</v>
      </c>
      <c r="D117" s="440">
        <v>1455625.2651568616</v>
      </c>
      <c r="E117" s="440">
        <v>2635434.3056059619</v>
      </c>
      <c r="F117" s="440">
        <v>327561.50972858816</v>
      </c>
    </row>
    <row r="118" spans="2:6" x14ac:dyDescent="0.5">
      <c r="B118" s="441" t="s">
        <v>853</v>
      </c>
      <c r="C118" s="440">
        <v>4903381.7608833602</v>
      </c>
      <c r="D118" s="440">
        <v>1412008.8119024767</v>
      </c>
      <c r="E118" s="440">
        <v>2692124.5878547379</v>
      </c>
      <c r="F118" s="440">
        <v>322312.12228219985</v>
      </c>
    </row>
    <row r="119" spans="2:6" x14ac:dyDescent="0.5">
      <c r="B119" s="441" t="s">
        <v>854</v>
      </c>
      <c r="C119" s="440">
        <v>4979962.9074528525</v>
      </c>
      <c r="D119" s="440">
        <v>1392681.2472505048</v>
      </c>
      <c r="E119" s="440">
        <v>2718140.3159600934</v>
      </c>
      <c r="F119" s="440">
        <v>321316.03215217456</v>
      </c>
    </row>
    <row r="120" spans="2:6" x14ac:dyDescent="0.5">
      <c r="B120" s="441" t="s">
        <v>855</v>
      </c>
      <c r="C120" s="440">
        <v>4950840.569693503</v>
      </c>
      <c r="D120" s="440">
        <v>1376423.4867213743</v>
      </c>
      <c r="E120" s="440">
        <v>2763555.7795932936</v>
      </c>
      <c r="F120" s="440">
        <v>321179.39132327266</v>
      </c>
    </row>
    <row r="121" spans="2:6" x14ac:dyDescent="0.5">
      <c r="B121" s="441" t="s">
        <v>856</v>
      </c>
      <c r="C121" s="440">
        <v>4986906.3380665891</v>
      </c>
      <c r="D121" s="440">
        <v>1337169.2945040346</v>
      </c>
      <c r="E121" s="440">
        <v>2812911.4824534897</v>
      </c>
      <c r="F121" s="440">
        <v>326785.53540192574</v>
      </c>
    </row>
    <row r="122" spans="2:6" x14ac:dyDescent="0.5">
      <c r="B122" s="441" t="s">
        <v>857</v>
      </c>
      <c r="C122" s="442">
        <v>5159174.9909531372</v>
      </c>
      <c r="D122" s="442">
        <v>1402181.5737415059</v>
      </c>
      <c r="E122" s="442">
        <v>2835816.750499967</v>
      </c>
      <c r="F122" s="442">
        <v>391067.69793962582</v>
      </c>
    </row>
    <row r="123" spans="2:6" x14ac:dyDescent="0.5">
      <c r="B123" s="441" t="s">
        <v>858</v>
      </c>
      <c r="C123" s="442">
        <v>5035964.127111882</v>
      </c>
      <c r="D123" s="442">
        <v>1339848.5730428395</v>
      </c>
      <c r="E123" s="442">
        <v>2927678.8179047937</v>
      </c>
      <c r="F123" s="442">
        <v>332667.7523907802</v>
      </c>
    </row>
    <row r="124" spans="2:6" x14ac:dyDescent="0.5">
      <c r="B124" s="441" t="s">
        <v>859</v>
      </c>
      <c r="C124" s="442">
        <v>5092148.5413346598</v>
      </c>
      <c r="D124" s="442">
        <v>1334157.4182345483</v>
      </c>
      <c r="E124" s="442">
        <v>2962868.6375383595</v>
      </c>
      <c r="F124" s="442">
        <v>328634.1232205439</v>
      </c>
    </row>
    <row r="125" spans="2:6" x14ac:dyDescent="0.5">
      <c r="B125" s="441" t="s">
        <v>860</v>
      </c>
      <c r="C125" s="440">
        <v>5171671.102885413</v>
      </c>
      <c r="D125" s="440">
        <v>1361374.9383745568</v>
      </c>
      <c r="E125" s="440">
        <v>3010840.5989809842</v>
      </c>
      <c r="F125" s="440">
        <v>335520.35724259529</v>
      </c>
    </row>
    <row r="126" spans="2:6" x14ac:dyDescent="0.5">
      <c r="B126" s="441" t="s">
        <v>861</v>
      </c>
      <c r="C126" s="442">
        <v>5182548.1930325786</v>
      </c>
      <c r="D126" s="442">
        <v>1337428.1690754853</v>
      </c>
      <c r="E126" s="442">
        <v>3070916.3459067643</v>
      </c>
      <c r="F126" s="442">
        <v>324480.26222755871</v>
      </c>
    </row>
    <row r="127" spans="2:6" x14ac:dyDescent="0.5">
      <c r="B127" s="441" t="s">
        <v>862</v>
      </c>
      <c r="C127" s="442">
        <v>5249175.9001603136</v>
      </c>
      <c r="D127" s="442">
        <v>1333326.6883600899</v>
      </c>
      <c r="E127" s="442">
        <v>3129551.1591298785</v>
      </c>
      <c r="F127" s="442">
        <v>318831.94742160593</v>
      </c>
    </row>
    <row r="128" spans="2:6" x14ac:dyDescent="0.5">
      <c r="B128" s="441" t="s">
        <v>863</v>
      </c>
      <c r="C128" s="442">
        <v>5360644.6468016077</v>
      </c>
      <c r="D128" s="442">
        <v>1355270.0108413384</v>
      </c>
      <c r="E128" s="442">
        <v>3198880.8271626378</v>
      </c>
      <c r="F128" s="442">
        <v>317924.43764216948</v>
      </c>
    </row>
    <row r="129" spans="2:6" x14ac:dyDescent="0.5">
      <c r="B129" s="441" t="s">
        <v>864</v>
      </c>
      <c r="C129" s="442">
        <v>5386099.0836278228</v>
      </c>
      <c r="D129" s="442">
        <v>1377761.948431073</v>
      </c>
      <c r="E129" s="442">
        <v>3209681.165352263</v>
      </c>
      <c r="F129" s="442">
        <v>320363.21511308936</v>
      </c>
    </row>
    <row r="130" spans="2:6" x14ac:dyDescent="0.5">
      <c r="B130" s="441" t="s">
        <v>865</v>
      </c>
      <c r="C130" s="442">
        <v>5414654.8860723833</v>
      </c>
      <c r="D130" s="442">
        <v>1377294.9905630029</v>
      </c>
      <c r="E130" s="442">
        <v>3212258.7201364473</v>
      </c>
      <c r="F130" s="442">
        <v>336174.22084326029</v>
      </c>
    </row>
    <row r="131" spans="2:6" x14ac:dyDescent="0.5">
      <c r="B131" s="441" t="s">
        <v>866</v>
      </c>
      <c r="C131" s="442">
        <v>5485411.7926447652</v>
      </c>
      <c r="D131" s="442">
        <v>1398041.0506271189</v>
      </c>
      <c r="E131" s="442">
        <v>3270841.0382573628</v>
      </c>
      <c r="F131" s="442">
        <v>324505.26042557665</v>
      </c>
    </row>
    <row r="132" spans="2:6" x14ac:dyDescent="0.5">
      <c r="B132" s="441" t="s">
        <v>867</v>
      </c>
      <c r="C132" s="442">
        <v>5494874.1341501465</v>
      </c>
      <c r="D132" s="442">
        <v>1409883.2199715397</v>
      </c>
      <c r="E132" s="442">
        <v>3271434.9909118875</v>
      </c>
      <c r="F132" s="442">
        <v>337940.12584238133</v>
      </c>
    </row>
    <row r="133" spans="2:6" x14ac:dyDescent="0.5">
      <c r="B133" s="441" t="s">
        <v>868</v>
      </c>
      <c r="C133" s="442">
        <v>5568600.7361943098</v>
      </c>
      <c r="D133" s="442">
        <v>1415608.5695443787</v>
      </c>
      <c r="E133" s="442">
        <v>3301994.5782655594</v>
      </c>
      <c r="F133" s="442">
        <v>356120.96717847284</v>
      </c>
    </row>
    <row r="134" spans="2:6" x14ac:dyDescent="0.5">
      <c r="B134" s="441" t="s">
        <v>869</v>
      </c>
      <c r="C134" s="442">
        <v>5771238.1509137517</v>
      </c>
      <c r="D134" s="442">
        <v>1519064.4317869102</v>
      </c>
      <c r="E134" s="442">
        <v>3359257.3954143687</v>
      </c>
      <c r="F134" s="442">
        <v>390784.71049537905</v>
      </c>
    </row>
    <row r="135" spans="2:6" x14ac:dyDescent="0.5">
      <c r="B135" s="441" t="s">
        <v>870</v>
      </c>
      <c r="C135" s="442">
        <v>5611595.9402863067</v>
      </c>
      <c r="D135" s="442">
        <v>1490148.3349145248</v>
      </c>
      <c r="E135" s="442">
        <v>3416954.726188303</v>
      </c>
      <c r="F135" s="442">
        <v>370506.5728347816</v>
      </c>
    </row>
    <row r="136" spans="2:6" x14ac:dyDescent="0.5">
      <c r="B136" s="441" t="s">
        <v>871</v>
      </c>
      <c r="C136" s="442">
        <v>5743756.964529668</v>
      </c>
      <c r="D136" s="442">
        <v>1474289.6994625072</v>
      </c>
      <c r="E136" s="442">
        <v>3486218.3826856413</v>
      </c>
      <c r="F136" s="442">
        <v>370750.57805664488</v>
      </c>
    </row>
    <row r="137" spans="2:6" x14ac:dyDescent="0.5">
      <c r="B137" s="441" t="s">
        <v>872</v>
      </c>
      <c r="C137" s="442">
        <v>5914346.6300454447</v>
      </c>
      <c r="D137" s="442">
        <v>1565723.2062054735</v>
      </c>
      <c r="E137" s="442">
        <v>3533283.6149516688</v>
      </c>
      <c r="F137" s="442">
        <v>363954.2563417544</v>
      </c>
    </row>
    <row r="138" spans="2:6" x14ac:dyDescent="0.5">
      <c r="B138" s="441" t="s">
        <v>873</v>
      </c>
      <c r="C138" s="442">
        <v>5912793.8203137033</v>
      </c>
      <c r="D138" s="442">
        <v>1602281.0555216628</v>
      </c>
      <c r="E138" s="442">
        <v>3532778.0897587067</v>
      </c>
      <c r="F138" s="442">
        <v>358111.50788689114</v>
      </c>
    </row>
    <row r="139" spans="2:6" x14ac:dyDescent="0.5">
      <c r="B139" s="441" t="s">
        <v>874</v>
      </c>
      <c r="C139" s="442">
        <v>6018961.1902204538</v>
      </c>
      <c r="D139" s="442">
        <v>1572847.074844803</v>
      </c>
      <c r="E139" s="442">
        <v>3625890.17073882</v>
      </c>
      <c r="F139" s="442">
        <v>386018.28814309981</v>
      </c>
    </row>
    <row r="140" spans="2:6" x14ac:dyDescent="0.5">
      <c r="B140" s="441" t="s">
        <v>875</v>
      </c>
      <c r="C140" s="442">
        <v>6131062.2743097581</v>
      </c>
      <c r="D140" s="442">
        <v>1628514.0343638847</v>
      </c>
      <c r="E140" s="442">
        <v>3648302.9792304346</v>
      </c>
      <c r="F140" s="442">
        <v>386224.83460574405</v>
      </c>
    </row>
    <row r="141" spans="2:6" x14ac:dyDescent="0.5">
      <c r="B141" s="441" t="s">
        <v>876</v>
      </c>
      <c r="C141" s="442">
        <v>6153159.1968008308</v>
      </c>
      <c r="D141" s="442">
        <v>1670565.8272580816</v>
      </c>
      <c r="E141" s="442">
        <v>3651299.2483892483</v>
      </c>
      <c r="F141" s="442">
        <v>396173.19157331029</v>
      </c>
    </row>
    <row r="142" spans="2:6" x14ac:dyDescent="0.5">
      <c r="B142" s="441" t="s">
        <v>877</v>
      </c>
      <c r="C142" s="442">
        <v>6187645.9815907339</v>
      </c>
      <c r="D142" s="442">
        <v>1720586.9510012604</v>
      </c>
      <c r="E142" s="442">
        <v>3613758.594149895</v>
      </c>
      <c r="F142" s="442">
        <v>403772.93437696144</v>
      </c>
    </row>
    <row r="143" spans="2:6" x14ac:dyDescent="0.5">
      <c r="B143" s="441" t="s">
        <v>878</v>
      </c>
      <c r="C143" s="442">
        <v>6163512.248668951</v>
      </c>
      <c r="D143" s="442">
        <v>1782883.2587470221</v>
      </c>
      <c r="E143" s="442">
        <v>3605505.9079504549</v>
      </c>
      <c r="F143" s="442">
        <v>404185.25431990606</v>
      </c>
    </row>
    <row r="144" spans="2:6" x14ac:dyDescent="0.5">
      <c r="B144" s="441" t="s">
        <v>879</v>
      </c>
      <c r="C144" s="442">
        <v>6190015.1915119207</v>
      </c>
      <c r="D144" s="442">
        <v>1788523.2347196459</v>
      </c>
      <c r="E144" s="442">
        <v>3630904.0919917305</v>
      </c>
      <c r="F144" s="442">
        <v>412557.95353555551</v>
      </c>
    </row>
    <row r="145" spans="2:6" x14ac:dyDescent="0.5">
      <c r="B145" s="441" t="s">
        <v>880</v>
      </c>
      <c r="C145" s="442">
        <v>6260746.2558073215</v>
      </c>
      <c r="D145" s="442">
        <v>1813439.3384011716</v>
      </c>
      <c r="E145" s="442">
        <v>3645348.3373340396</v>
      </c>
      <c r="F145" s="442">
        <v>430566.21571657114</v>
      </c>
    </row>
    <row r="146" spans="2:6" x14ac:dyDescent="0.5">
      <c r="B146" s="441" t="s">
        <v>881</v>
      </c>
      <c r="C146" s="442">
        <v>6495582.8453145381</v>
      </c>
      <c r="D146" s="442">
        <v>1954388.9819398192</v>
      </c>
      <c r="E146" s="442">
        <v>3642837.3013691935</v>
      </c>
      <c r="F146" s="442">
        <v>472514.25060837332</v>
      </c>
    </row>
    <row r="147" spans="2:6" x14ac:dyDescent="0.5">
      <c r="B147" s="441" t="s">
        <v>882</v>
      </c>
      <c r="C147" s="442">
        <v>6446826.2349818898</v>
      </c>
      <c r="D147" s="442">
        <v>1943649.175055023</v>
      </c>
      <c r="E147" s="442">
        <v>3684354.0136418655</v>
      </c>
      <c r="F147" s="442">
        <v>443208.91339477076</v>
      </c>
    </row>
    <row r="148" spans="2:6" x14ac:dyDescent="0.5">
      <c r="B148" s="441" t="s">
        <v>883</v>
      </c>
      <c r="C148" s="442">
        <v>6528362.3801578702</v>
      </c>
      <c r="D148" s="442">
        <v>2008857.6197305839</v>
      </c>
      <c r="E148" s="442">
        <v>3678814.5071350089</v>
      </c>
      <c r="F148" s="442">
        <v>453848.85982641275</v>
      </c>
    </row>
    <row r="149" spans="2:6" x14ac:dyDescent="0.5">
      <c r="B149" s="441" t="s">
        <v>884</v>
      </c>
      <c r="C149" s="442">
        <v>6662261.7174667027</v>
      </c>
      <c r="D149" s="442">
        <v>2162371.4232942392</v>
      </c>
      <c r="E149" s="442">
        <v>3630059.6558420621</v>
      </c>
      <c r="F149" s="442">
        <v>455319.236828945</v>
      </c>
    </row>
    <row r="150" spans="2:6" x14ac:dyDescent="0.5">
      <c r="B150" s="441" t="s">
        <v>885</v>
      </c>
      <c r="C150" s="442">
        <v>6644230.6355769271</v>
      </c>
      <c r="D150" s="442">
        <v>2165646.2266033133</v>
      </c>
      <c r="E150" s="442">
        <v>3596559.7542176186</v>
      </c>
      <c r="F150" s="442">
        <v>479873.51509325422</v>
      </c>
    </row>
    <row r="151" spans="2:6" x14ac:dyDescent="0.5">
      <c r="B151" s="441" t="s">
        <v>886</v>
      </c>
      <c r="C151" s="442">
        <v>6680949.0061896136</v>
      </c>
      <c r="D151" s="442">
        <v>2225520.5452647619</v>
      </c>
      <c r="E151" s="442">
        <v>3516428.5426921882</v>
      </c>
      <c r="F151" s="442">
        <v>532245.5721798368</v>
      </c>
    </row>
    <row r="152" spans="2:6" x14ac:dyDescent="0.5">
      <c r="B152" s="441" t="s">
        <v>887</v>
      </c>
      <c r="C152" s="442">
        <v>6737581.8592881523</v>
      </c>
      <c r="D152" s="442">
        <v>2282244.5764177609</v>
      </c>
      <c r="E152" s="442">
        <v>3516370.8661477454</v>
      </c>
      <c r="F152" s="442">
        <v>509153.39675535244</v>
      </c>
    </row>
    <row r="153" spans="2:6" x14ac:dyDescent="0.5">
      <c r="B153" s="441" t="s">
        <v>888</v>
      </c>
      <c r="C153" s="442">
        <v>6731789.8084737463</v>
      </c>
      <c r="D153" s="442">
        <v>2329101.8741462338</v>
      </c>
      <c r="E153" s="442">
        <v>3506873.7450880627</v>
      </c>
      <c r="F153" s="442">
        <v>488435.39309284219</v>
      </c>
    </row>
    <row r="154" spans="2:6" x14ac:dyDescent="0.5">
      <c r="B154" s="441" t="s">
        <v>889</v>
      </c>
      <c r="C154" s="442">
        <v>6769271.7497883774</v>
      </c>
      <c r="D154" s="442">
        <v>2380030.7056017537</v>
      </c>
      <c r="E154" s="442">
        <v>3477177.0067577651</v>
      </c>
      <c r="F154" s="442">
        <v>490664.32680503814</v>
      </c>
    </row>
    <row r="155" spans="2:6" x14ac:dyDescent="0.5">
      <c r="B155" s="441" t="s">
        <v>890</v>
      </c>
      <c r="C155" s="442">
        <v>6860537.4680342525</v>
      </c>
      <c r="D155" s="442">
        <v>2442209.8110098699</v>
      </c>
      <c r="E155" s="442">
        <v>3477182.5916917417</v>
      </c>
      <c r="F155" s="442">
        <v>493127.98444344604</v>
      </c>
    </row>
    <row r="156" spans="2:6" x14ac:dyDescent="0.5">
      <c r="B156" s="441" t="s">
        <v>891</v>
      </c>
      <c r="C156" s="442">
        <v>6884541.4712380888</v>
      </c>
      <c r="D156" s="442">
        <v>2460699.8291666838</v>
      </c>
      <c r="E156" s="442">
        <v>3482658.4026323697</v>
      </c>
      <c r="F156" s="442">
        <v>506343.53760378476</v>
      </c>
    </row>
    <row r="157" spans="2:6" x14ac:dyDescent="0.5">
      <c r="B157" s="441" t="s">
        <v>892</v>
      </c>
      <c r="C157" s="442">
        <v>7004537.2715536337</v>
      </c>
      <c r="D157" s="442">
        <v>2526098.1860441011</v>
      </c>
      <c r="E157" s="442">
        <v>3500811.0966256913</v>
      </c>
      <c r="F157" s="442">
        <v>523371.59500406147</v>
      </c>
    </row>
    <row r="158" spans="2:6" x14ac:dyDescent="0.5">
      <c r="B158" s="441" t="s">
        <v>893</v>
      </c>
      <c r="C158" s="442">
        <v>7303531.1854622252</v>
      </c>
      <c r="D158" s="442">
        <v>2673443.312397982</v>
      </c>
      <c r="E158" s="442">
        <v>3506978.7614036552</v>
      </c>
      <c r="F158" s="442">
        <v>547192.04870209796</v>
      </c>
    </row>
    <row r="159" spans="2:6" ht="14.7" thickBot="1" x14ac:dyDescent="0.55000000000000004">
      <c r="B159" s="443" t="s">
        <v>894</v>
      </c>
      <c r="C159" s="444">
        <v>7241230.4770173877</v>
      </c>
      <c r="D159" s="444">
        <v>2705848.768130709</v>
      </c>
      <c r="E159" s="444">
        <v>3485794.1279752217</v>
      </c>
      <c r="F159" s="444">
        <v>587837.06754564052</v>
      </c>
    </row>
    <row r="160" spans="2:6" ht="14.7" thickTop="1" x14ac:dyDescent="0.5"/>
  </sheetData>
  <mergeCells count="7">
    <mergeCell ref="B2:F2"/>
    <mergeCell ref="G2:G3"/>
    <mergeCell ref="B3:B4"/>
    <mergeCell ref="C3:C4"/>
    <mergeCell ref="D3:D4"/>
    <mergeCell ref="E3:E4"/>
    <mergeCell ref="F3:F4"/>
  </mergeCells>
  <printOptions horizontalCentered="1"/>
  <pageMargins left="0.45" right="0.2" top="0.5" bottom="0.25" header="0.3" footer="0.3"/>
  <pageSetup paperSize="9" scale="33" orientation="portrait" r:id="rId1"/>
  <rowBreaks count="1" manualBreakCount="1">
    <brk id="5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67BE-F35B-42E2-9E78-B8FF0BD42EF9}">
  <sheetPr codeName="Sheet95">
    <pageSetUpPr fitToPage="1"/>
  </sheetPr>
  <dimension ref="A1:E160"/>
  <sheetViews>
    <sheetView view="pageBreakPreview" zoomScaleSheetLayoutView="100" workbookViewId="0">
      <pane ySplit="4" topLeftCell="A146" activePane="bottomLeft" state="frozen"/>
      <selection activeCell="M36" sqref="M36"/>
      <selection pane="bottomLeft" activeCell="M36" sqref="M36"/>
    </sheetView>
  </sheetViews>
  <sheetFormatPr defaultColWidth="9" defaultRowHeight="14.35" x14ac:dyDescent="0.5"/>
  <cols>
    <col min="1" max="1" width="5.87890625" customWidth="1"/>
    <col min="2" max="2" width="17.1171875" customWidth="1"/>
    <col min="3" max="3" width="38.1171875" style="445" customWidth="1"/>
    <col min="4" max="4" width="8.87890625" customWidth="1"/>
  </cols>
  <sheetData>
    <row r="1" spans="1:4" x14ac:dyDescent="0.5">
      <c r="A1" t="s">
        <v>121</v>
      </c>
      <c r="D1" s="445"/>
    </row>
    <row r="2" spans="1:4" ht="26.25" customHeight="1" thickBot="1" x14ac:dyDescent="0.55000000000000004">
      <c r="B2" s="446" t="s">
        <v>895</v>
      </c>
      <c r="C2" s="446"/>
    </row>
    <row r="3" spans="1:4" ht="43.2" customHeight="1" thickTop="1" x14ac:dyDescent="0.5">
      <c r="B3" s="447" t="s">
        <v>687</v>
      </c>
      <c r="C3" s="376" t="s">
        <v>896</v>
      </c>
      <c r="D3" s="448"/>
    </row>
    <row r="4" spans="1:4" ht="15.6" customHeight="1" x14ac:dyDescent="0.5">
      <c r="B4" s="449"/>
      <c r="C4" s="380"/>
      <c r="D4" s="448"/>
    </row>
    <row r="5" spans="1:4" x14ac:dyDescent="0.5">
      <c r="B5" s="439" t="s">
        <v>740</v>
      </c>
      <c r="C5" s="450">
        <v>65366.416663649987</v>
      </c>
    </row>
    <row r="6" spans="1:4" x14ac:dyDescent="0.5">
      <c r="B6" s="439" t="s">
        <v>741</v>
      </c>
      <c r="C6" s="450">
        <v>66389.371763649993</v>
      </c>
    </row>
    <row r="7" spans="1:4" x14ac:dyDescent="0.5">
      <c r="B7" s="439" t="s">
        <v>742</v>
      </c>
      <c r="C7" s="450">
        <v>67021.730918649992</v>
      </c>
    </row>
    <row r="8" spans="1:4" x14ac:dyDescent="0.5">
      <c r="B8" s="439" t="s">
        <v>743</v>
      </c>
      <c r="C8" s="450">
        <v>67343.465518649988</v>
      </c>
    </row>
    <row r="9" spans="1:4" x14ac:dyDescent="0.5">
      <c r="B9" s="439" t="s">
        <v>744</v>
      </c>
      <c r="C9" s="450">
        <v>73854.640118649986</v>
      </c>
    </row>
    <row r="10" spans="1:4" x14ac:dyDescent="0.5">
      <c r="B10" s="439" t="s">
        <v>745</v>
      </c>
      <c r="C10" s="450">
        <v>73920.021740149998</v>
      </c>
    </row>
    <row r="11" spans="1:4" x14ac:dyDescent="0.5">
      <c r="B11" s="439" t="s">
        <v>746</v>
      </c>
      <c r="C11" s="450">
        <v>73920.021740149998</v>
      </c>
    </row>
    <row r="12" spans="1:4" x14ac:dyDescent="0.5">
      <c r="B12" s="439" t="s">
        <v>747</v>
      </c>
      <c r="C12" s="450">
        <v>77524.811740150006</v>
      </c>
    </row>
    <row r="13" spans="1:4" x14ac:dyDescent="0.5">
      <c r="B13" s="439" t="s">
        <v>748</v>
      </c>
      <c r="C13" s="450">
        <v>77524.811740150006</v>
      </c>
    </row>
    <row r="14" spans="1:4" x14ac:dyDescent="0.5">
      <c r="B14" s="439" t="s">
        <v>749</v>
      </c>
      <c r="C14" s="450">
        <v>77531.811740020028</v>
      </c>
    </row>
    <row r="15" spans="1:4" x14ac:dyDescent="0.5">
      <c r="B15" s="439" t="s">
        <v>750</v>
      </c>
      <c r="C15" s="450">
        <v>79652.074550019999</v>
      </c>
    </row>
    <row r="16" spans="1:4" x14ac:dyDescent="0.5">
      <c r="B16" s="439" t="s">
        <v>751</v>
      </c>
      <c r="C16" s="450">
        <v>79652.074550019999</v>
      </c>
    </row>
    <row r="17" spans="2:5" x14ac:dyDescent="0.5">
      <c r="B17" s="439" t="s">
        <v>752</v>
      </c>
      <c r="C17" s="450">
        <v>79652.074550019999</v>
      </c>
    </row>
    <row r="18" spans="2:5" x14ac:dyDescent="0.5">
      <c r="B18" s="439" t="s">
        <v>753</v>
      </c>
      <c r="C18" s="450">
        <v>80978.540491149994</v>
      </c>
    </row>
    <row r="19" spans="2:5" x14ac:dyDescent="0.5">
      <c r="B19" s="439" t="s">
        <v>754</v>
      </c>
      <c r="C19" s="450">
        <v>80742.724891150006</v>
      </c>
    </row>
    <row r="20" spans="2:5" x14ac:dyDescent="0.5">
      <c r="B20" s="439" t="s">
        <v>755</v>
      </c>
      <c r="C20" s="450">
        <v>80980.922491149991</v>
      </c>
    </row>
    <row r="21" spans="2:5" ht="15.7" x14ac:dyDescent="0.55000000000000004">
      <c r="B21" s="439" t="s">
        <v>756</v>
      </c>
      <c r="C21" s="450">
        <v>82800.838488660025</v>
      </c>
      <c r="E21" s="34"/>
    </row>
    <row r="22" spans="2:5" x14ac:dyDescent="0.5">
      <c r="B22" s="439" t="s">
        <v>757</v>
      </c>
      <c r="C22" s="450">
        <v>82995.147788660019</v>
      </c>
    </row>
    <row r="23" spans="2:5" x14ac:dyDescent="0.5">
      <c r="B23" s="439" t="s">
        <v>758</v>
      </c>
      <c r="C23" s="450">
        <v>83909.147788660019</v>
      </c>
    </row>
    <row r="24" spans="2:5" x14ac:dyDescent="0.5">
      <c r="B24" s="439" t="s">
        <v>759</v>
      </c>
      <c r="C24" s="450">
        <v>83397.405985040008</v>
      </c>
    </row>
    <row r="25" spans="2:5" x14ac:dyDescent="0.5">
      <c r="B25" s="439" t="s">
        <v>760</v>
      </c>
      <c r="C25" s="450">
        <v>84317.980677040017</v>
      </c>
    </row>
    <row r="26" spans="2:5" x14ac:dyDescent="0.5">
      <c r="B26" s="439" t="s">
        <v>761</v>
      </c>
      <c r="C26" s="450">
        <v>84542.512677040024</v>
      </c>
    </row>
    <row r="27" spans="2:5" x14ac:dyDescent="0.5">
      <c r="B27" s="439" t="s">
        <v>762</v>
      </c>
      <c r="C27" s="450">
        <v>87454.021857040017</v>
      </c>
    </row>
    <row r="28" spans="2:5" x14ac:dyDescent="0.5">
      <c r="B28" s="439" t="s">
        <v>763</v>
      </c>
      <c r="C28" s="450">
        <v>87654.014760660008</v>
      </c>
    </row>
    <row r="29" spans="2:5" x14ac:dyDescent="0.5">
      <c r="B29" s="439" t="s">
        <v>764</v>
      </c>
      <c r="C29" s="450">
        <v>88897.859384659998</v>
      </c>
    </row>
    <row r="30" spans="2:5" x14ac:dyDescent="0.5">
      <c r="B30" s="439" t="s">
        <v>765</v>
      </c>
      <c r="C30" s="450">
        <v>91932.777143569998</v>
      </c>
    </row>
    <row r="31" spans="2:5" x14ac:dyDescent="0.5">
      <c r="B31" s="439" t="s">
        <v>766</v>
      </c>
      <c r="C31" s="450">
        <v>92152.567335789994</v>
      </c>
    </row>
    <row r="32" spans="2:5" x14ac:dyDescent="0.5">
      <c r="B32" s="439" t="s">
        <v>767</v>
      </c>
      <c r="C32" s="450">
        <v>93162.333255470003</v>
      </c>
    </row>
    <row r="33" spans="2:3" x14ac:dyDescent="0.5">
      <c r="B33" s="439" t="s">
        <v>768</v>
      </c>
      <c r="C33" s="450">
        <v>95569.552381239992</v>
      </c>
    </row>
    <row r="34" spans="2:3" x14ac:dyDescent="0.5">
      <c r="B34" s="439" t="s">
        <v>769</v>
      </c>
      <c r="C34" s="450">
        <v>95621.696881239986</v>
      </c>
    </row>
    <row r="35" spans="2:3" x14ac:dyDescent="0.5">
      <c r="B35" s="439" t="s">
        <v>770</v>
      </c>
      <c r="C35" s="450">
        <v>95968.429681239984</v>
      </c>
    </row>
    <row r="36" spans="2:3" x14ac:dyDescent="0.5">
      <c r="B36" s="439" t="s">
        <v>771</v>
      </c>
      <c r="C36" s="450">
        <v>96756.954409239988</v>
      </c>
    </row>
    <row r="37" spans="2:3" x14ac:dyDescent="0.5">
      <c r="B37" s="439" t="s">
        <v>772</v>
      </c>
      <c r="C37" s="450">
        <v>96931.776123239993</v>
      </c>
    </row>
    <row r="38" spans="2:3" x14ac:dyDescent="0.5">
      <c r="B38" s="439" t="s">
        <v>773</v>
      </c>
      <c r="C38" s="450">
        <v>96931.776123239993</v>
      </c>
    </row>
    <row r="39" spans="2:3" x14ac:dyDescent="0.5">
      <c r="B39" s="439" t="s">
        <v>774</v>
      </c>
      <c r="C39" s="450">
        <v>97921.41412324</v>
      </c>
    </row>
    <row r="40" spans="2:3" x14ac:dyDescent="0.5">
      <c r="B40" s="439" t="s">
        <v>775</v>
      </c>
      <c r="C40" s="450">
        <v>97938.041500240011</v>
      </c>
    </row>
    <row r="41" spans="2:3" x14ac:dyDescent="0.5">
      <c r="B41" s="439" t="s">
        <v>776</v>
      </c>
      <c r="C41" s="450">
        <v>98470.756700240003</v>
      </c>
    </row>
    <row r="42" spans="2:3" x14ac:dyDescent="0.5">
      <c r="B42" s="439" t="s">
        <v>777</v>
      </c>
      <c r="C42" s="450">
        <v>99150.274362560012</v>
      </c>
    </row>
    <row r="43" spans="2:3" x14ac:dyDescent="0.5">
      <c r="B43" s="439" t="s">
        <v>778</v>
      </c>
      <c r="C43" s="450">
        <v>102989.37883756</v>
      </c>
    </row>
    <row r="44" spans="2:3" x14ac:dyDescent="0.5">
      <c r="B44" s="439" t="s">
        <v>779</v>
      </c>
      <c r="C44" s="450">
        <v>104142.04683755997</v>
      </c>
    </row>
    <row r="45" spans="2:3" x14ac:dyDescent="0.5">
      <c r="B45" s="439" t="s">
        <v>780</v>
      </c>
      <c r="C45" s="450">
        <v>109377.83914770998</v>
      </c>
    </row>
    <row r="46" spans="2:3" x14ac:dyDescent="0.5">
      <c r="B46" s="439" t="s">
        <v>781</v>
      </c>
      <c r="C46" s="450">
        <v>111770.54852895997</v>
      </c>
    </row>
    <row r="47" spans="2:3" x14ac:dyDescent="0.5">
      <c r="B47" s="439" t="s">
        <v>782</v>
      </c>
      <c r="C47" s="450">
        <v>112480.85436495997</v>
      </c>
    </row>
    <row r="48" spans="2:3" x14ac:dyDescent="0.5">
      <c r="B48" s="439" t="s">
        <v>783</v>
      </c>
      <c r="C48" s="450">
        <v>114031.45333655998</v>
      </c>
    </row>
    <row r="49" spans="2:3" x14ac:dyDescent="0.5">
      <c r="B49" s="439" t="s">
        <v>784</v>
      </c>
      <c r="C49" s="450">
        <v>116058.92101155999</v>
      </c>
    </row>
    <row r="50" spans="2:3" x14ac:dyDescent="0.5">
      <c r="B50" s="439" t="s">
        <v>785</v>
      </c>
      <c r="C50" s="450">
        <v>117700.46358215998</v>
      </c>
    </row>
    <row r="51" spans="2:3" x14ac:dyDescent="0.5">
      <c r="B51" s="439" t="s">
        <v>786</v>
      </c>
      <c r="C51" s="450">
        <v>121090.62239815999</v>
      </c>
    </row>
    <row r="52" spans="2:3" x14ac:dyDescent="0.5">
      <c r="B52" s="439" t="s">
        <v>787</v>
      </c>
      <c r="C52" s="450">
        <v>123169.65830115999</v>
      </c>
    </row>
    <row r="53" spans="2:3" x14ac:dyDescent="0.5">
      <c r="B53" s="439" t="s">
        <v>788</v>
      </c>
      <c r="C53" s="450">
        <v>123677.05136427999</v>
      </c>
    </row>
    <row r="54" spans="2:3" x14ac:dyDescent="0.5">
      <c r="B54" s="439" t="s">
        <v>789</v>
      </c>
      <c r="C54" s="450">
        <v>131225.662325218</v>
      </c>
    </row>
    <row r="55" spans="2:3" x14ac:dyDescent="0.5">
      <c r="B55" s="439" t="s">
        <v>790</v>
      </c>
      <c r="C55" s="450">
        <v>134507.434991218</v>
      </c>
    </row>
    <row r="56" spans="2:3" x14ac:dyDescent="0.5">
      <c r="B56" s="439" t="s">
        <v>791</v>
      </c>
      <c r="C56" s="450">
        <v>137445.06862459998</v>
      </c>
    </row>
    <row r="57" spans="2:3" x14ac:dyDescent="0.5">
      <c r="B57" s="439" t="s">
        <v>792</v>
      </c>
      <c r="C57" s="450">
        <v>144848.61959819999</v>
      </c>
    </row>
    <row r="58" spans="2:3" x14ac:dyDescent="0.5">
      <c r="B58" s="439" t="s">
        <v>793</v>
      </c>
      <c r="C58" s="450">
        <v>148182.61792220001</v>
      </c>
    </row>
    <row r="59" spans="2:3" x14ac:dyDescent="0.5">
      <c r="B59" s="439" t="s">
        <v>794</v>
      </c>
      <c r="C59" s="450">
        <v>149867.61801252002</v>
      </c>
    </row>
    <row r="60" spans="2:3" x14ac:dyDescent="0.5">
      <c r="B60" s="439" t="s">
        <v>795</v>
      </c>
      <c r="C60" s="450">
        <v>160722.30581258002</v>
      </c>
    </row>
    <row r="61" spans="2:3" x14ac:dyDescent="0.5">
      <c r="B61" s="439" t="s">
        <v>796</v>
      </c>
      <c r="C61" s="450">
        <v>163470.56569926001</v>
      </c>
    </row>
    <row r="62" spans="2:3" x14ac:dyDescent="0.5">
      <c r="B62" s="439" t="s">
        <v>797</v>
      </c>
      <c r="C62" s="450">
        <v>165441.96659175999</v>
      </c>
    </row>
    <row r="63" spans="2:3" x14ac:dyDescent="0.5">
      <c r="B63" s="439" t="s">
        <v>798</v>
      </c>
      <c r="C63" s="450">
        <v>185010.73283041999</v>
      </c>
    </row>
    <row r="64" spans="2:3" x14ac:dyDescent="0.5">
      <c r="B64" s="439" t="s">
        <v>799</v>
      </c>
      <c r="C64" s="450">
        <v>187763.31314541999</v>
      </c>
    </row>
    <row r="65" spans="2:3" x14ac:dyDescent="0.5">
      <c r="B65" s="439" t="s">
        <v>800</v>
      </c>
      <c r="C65" s="450">
        <v>190233.64374909998</v>
      </c>
    </row>
    <row r="66" spans="2:3" x14ac:dyDescent="0.5">
      <c r="B66" s="439" t="s">
        <v>801</v>
      </c>
      <c r="C66" s="450">
        <v>195314.70398055203</v>
      </c>
    </row>
    <row r="67" spans="2:3" x14ac:dyDescent="0.5">
      <c r="B67" s="439" t="s">
        <v>802</v>
      </c>
      <c r="C67" s="450">
        <v>198269.11044055002</v>
      </c>
    </row>
    <row r="68" spans="2:3" x14ac:dyDescent="0.5">
      <c r="B68" s="439" t="s">
        <v>803</v>
      </c>
      <c r="C68" s="450">
        <v>204817.16183279001</v>
      </c>
    </row>
    <row r="69" spans="2:3" x14ac:dyDescent="0.5">
      <c r="B69" s="439" t="s">
        <v>804</v>
      </c>
      <c r="C69" s="450">
        <v>216200.25203001004</v>
      </c>
    </row>
    <row r="70" spans="2:3" x14ac:dyDescent="0.5">
      <c r="B70" s="439" t="s">
        <v>805</v>
      </c>
      <c r="C70" s="450">
        <v>216200.25203001004</v>
      </c>
    </row>
    <row r="71" spans="2:3" x14ac:dyDescent="0.5">
      <c r="B71" s="439" t="s">
        <v>806</v>
      </c>
      <c r="C71" s="450">
        <v>216588.30151447005</v>
      </c>
    </row>
    <row r="72" spans="2:3" x14ac:dyDescent="0.5">
      <c r="B72" s="439" t="s">
        <v>807</v>
      </c>
      <c r="C72" s="450">
        <v>224558.08465994007</v>
      </c>
    </row>
    <row r="73" spans="2:3" x14ac:dyDescent="0.5">
      <c r="B73" s="439" t="s">
        <v>808</v>
      </c>
      <c r="C73" s="450">
        <v>227490.22306494007</v>
      </c>
    </row>
    <row r="74" spans="2:3" x14ac:dyDescent="0.5">
      <c r="B74" s="439" t="s">
        <v>809</v>
      </c>
      <c r="C74" s="450">
        <v>227891.07530894005</v>
      </c>
    </row>
    <row r="75" spans="2:3" x14ac:dyDescent="0.5">
      <c r="B75" s="439" t="s">
        <v>810</v>
      </c>
      <c r="C75" s="450">
        <v>231457.61601306</v>
      </c>
    </row>
    <row r="76" spans="2:3" x14ac:dyDescent="0.5">
      <c r="B76" s="439" t="s">
        <v>811</v>
      </c>
      <c r="C76" s="450">
        <v>232395.20131306004</v>
      </c>
    </row>
    <row r="77" spans="2:3" x14ac:dyDescent="0.5">
      <c r="B77" s="439" t="s">
        <v>812</v>
      </c>
      <c r="C77" s="450">
        <v>233272.49471306</v>
      </c>
    </row>
    <row r="78" spans="2:3" x14ac:dyDescent="0.5">
      <c r="B78" s="439" t="s">
        <v>813</v>
      </c>
      <c r="C78" s="450">
        <v>235240.50151617007</v>
      </c>
    </row>
    <row r="79" spans="2:3" x14ac:dyDescent="0.5">
      <c r="B79" s="441" t="s">
        <v>814</v>
      </c>
      <c r="C79" s="450">
        <v>236788.90251617003</v>
      </c>
    </row>
    <row r="80" spans="2:3" x14ac:dyDescent="0.5">
      <c r="B80" s="441" t="s">
        <v>815</v>
      </c>
      <c r="C80" s="450">
        <v>236788.90251617003</v>
      </c>
    </row>
    <row r="81" spans="2:3" x14ac:dyDescent="0.5">
      <c r="B81" s="441" t="s">
        <v>816</v>
      </c>
      <c r="C81" s="450">
        <v>242572.62131921007</v>
      </c>
    </row>
    <row r="82" spans="2:3" x14ac:dyDescent="0.5">
      <c r="B82" s="441" t="s">
        <v>817</v>
      </c>
      <c r="C82" s="450">
        <v>245239.97734147005</v>
      </c>
    </row>
    <row r="83" spans="2:3" x14ac:dyDescent="0.5">
      <c r="B83" s="441" t="s">
        <v>818</v>
      </c>
      <c r="C83" s="450">
        <v>245427.00474147004</v>
      </c>
    </row>
    <row r="84" spans="2:3" x14ac:dyDescent="0.5">
      <c r="B84" s="441" t="s">
        <v>819</v>
      </c>
      <c r="C84" s="450">
        <v>248348.89190447005</v>
      </c>
    </row>
    <row r="85" spans="2:3" x14ac:dyDescent="0.5">
      <c r="B85" s="441" t="s">
        <v>820</v>
      </c>
      <c r="C85" s="450">
        <v>248513.90115105605</v>
      </c>
    </row>
    <row r="86" spans="2:3" x14ac:dyDescent="0.5">
      <c r="B86" s="441" t="s">
        <v>821</v>
      </c>
      <c r="C86" s="450">
        <v>248513.90115147005</v>
      </c>
    </row>
    <row r="87" spans="2:3" x14ac:dyDescent="0.5">
      <c r="B87" s="441" t="s">
        <v>822</v>
      </c>
      <c r="C87" s="450">
        <v>252260.30439159164</v>
      </c>
    </row>
    <row r="88" spans="2:3" x14ac:dyDescent="0.5">
      <c r="B88" s="441" t="s">
        <v>823</v>
      </c>
      <c r="C88" s="450">
        <v>252260.30439159164</v>
      </c>
    </row>
    <row r="89" spans="2:3" x14ac:dyDescent="0.5">
      <c r="B89" s="441" t="s">
        <v>824</v>
      </c>
      <c r="C89" s="450">
        <v>252754.52939159164</v>
      </c>
    </row>
    <row r="90" spans="2:3" x14ac:dyDescent="0.5">
      <c r="B90" s="441" t="s">
        <v>825</v>
      </c>
      <c r="C90" s="450">
        <v>258987.38428948162</v>
      </c>
    </row>
    <row r="91" spans="2:3" x14ac:dyDescent="0.5">
      <c r="B91" s="441" t="s">
        <v>826</v>
      </c>
      <c r="C91" s="450">
        <v>259887.54690683162</v>
      </c>
    </row>
    <row r="92" spans="2:3" x14ac:dyDescent="0.5">
      <c r="B92" s="441" t="s">
        <v>827</v>
      </c>
      <c r="C92" s="450">
        <v>260426.12488039161</v>
      </c>
    </row>
    <row r="93" spans="2:3" x14ac:dyDescent="0.5">
      <c r="B93" s="441" t="s">
        <v>828</v>
      </c>
      <c r="C93" s="450">
        <v>266477.02500585996</v>
      </c>
    </row>
    <row r="94" spans="2:3" x14ac:dyDescent="0.5">
      <c r="B94" s="441" t="s">
        <v>829</v>
      </c>
      <c r="C94" s="450">
        <v>270000.35664845997</v>
      </c>
    </row>
    <row r="95" spans="2:3" x14ac:dyDescent="0.5">
      <c r="B95" s="441" t="s">
        <v>830</v>
      </c>
      <c r="C95" s="450">
        <v>274326.63619645999</v>
      </c>
    </row>
    <row r="96" spans="2:3" x14ac:dyDescent="0.5">
      <c r="B96" s="441" t="s">
        <v>831</v>
      </c>
      <c r="C96" s="450">
        <v>277155.39702561003</v>
      </c>
    </row>
    <row r="97" spans="2:3" x14ac:dyDescent="0.5">
      <c r="B97" s="441" t="s">
        <v>832</v>
      </c>
      <c r="C97" s="450">
        <v>277155.39702561003</v>
      </c>
    </row>
    <row r="98" spans="2:3" x14ac:dyDescent="0.5">
      <c r="B98" s="441" t="s">
        <v>833</v>
      </c>
      <c r="C98" s="450">
        <v>277155.39702541003</v>
      </c>
    </row>
    <row r="99" spans="2:3" x14ac:dyDescent="0.5">
      <c r="B99" s="441" t="s">
        <v>834</v>
      </c>
      <c r="C99" s="450">
        <v>284810.60914812499</v>
      </c>
    </row>
    <row r="100" spans="2:3" x14ac:dyDescent="0.5">
      <c r="B100" s="441" t="s">
        <v>835</v>
      </c>
      <c r="C100" s="450">
        <v>284810.60967946996</v>
      </c>
    </row>
    <row r="101" spans="2:3" x14ac:dyDescent="0.5">
      <c r="B101" s="441" t="s">
        <v>836</v>
      </c>
      <c r="C101" s="450">
        <v>285307.37517946993</v>
      </c>
    </row>
    <row r="102" spans="2:3" x14ac:dyDescent="0.5">
      <c r="B102" s="441" t="s">
        <v>837</v>
      </c>
      <c r="C102" s="450">
        <v>285307.37517946993</v>
      </c>
    </row>
    <row r="103" spans="2:3" x14ac:dyDescent="0.5">
      <c r="B103" s="441" t="s">
        <v>838</v>
      </c>
      <c r="C103" s="450">
        <v>286371.58724084997</v>
      </c>
    </row>
    <row r="104" spans="2:3" x14ac:dyDescent="0.5">
      <c r="B104" s="441" t="s">
        <v>839</v>
      </c>
      <c r="C104" s="450">
        <v>287098.77262401994</v>
      </c>
    </row>
    <row r="105" spans="2:3" x14ac:dyDescent="0.5">
      <c r="B105" s="441" t="s">
        <v>840</v>
      </c>
      <c r="C105" s="450">
        <v>309616.40840322612</v>
      </c>
    </row>
    <row r="106" spans="2:3" x14ac:dyDescent="0.5">
      <c r="B106" s="441" t="s">
        <v>841</v>
      </c>
      <c r="C106" s="450">
        <v>314261.27661399991</v>
      </c>
    </row>
    <row r="107" spans="2:3" x14ac:dyDescent="0.5">
      <c r="B107" s="441" t="s">
        <v>842</v>
      </c>
      <c r="C107" s="450">
        <v>316959.84728760994</v>
      </c>
    </row>
    <row r="108" spans="2:3" x14ac:dyDescent="0.5">
      <c r="B108" s="441" t="s">
        <v>843</v>
      </c>
      <c r="C108" s="450">
        <v>319349.90334216878</v>
      </c>
    </row>
    <row r="109" spans="2:3" x14ac:dyDescent="0.5">
      <c r="B109" s="441" t="s">
        <v>844</v>
      </c>
      <c r="C109" s="450">
        <v>319512.37595304876</v>
      </c>
    </row>
    <row r="110" spans="2:3" x14ac:dyDescent="0.5">
      <c r="B110" s="441" t="s">
        <v>845</v>
      </c>
      <c r="C110" s="450">
        <v>319349.89876117476</v>
      </c>
    </row>
    <row r="111" spans="2:3" x14ac:dyDescent="0.5">
      <c r="B111" s="441" t="s">
        <v>846</v>
      </c>
      <c r="C111" s="450">
        <v>320629.07761774992</v>
      </c>
    </row>
    <row r="112" spans="2:3" x14ac:dyDescent="0.5">
      <c r="B112" s="441" t="s">
        <v>847</v>
      </c>
      <c r="C112" s="450">
        <v>320629.07761774992</v>
      </c>
    </row>
    <row r="113" spans="2:3" x14ac:dyDescent="0.5">
      <c r="B113" s="441" t="s">
        <v>848</v>
      </c>
      <c r="C113" s="450">
        <v>320629.07761741994</v>
      </c>
    </row>
    <row r="114" spans="2:3" x14ac:dyDescent="0.5">
      <c r="B114" s="441" t="s">
        <v>849</v>
      </c>
      <c r="C114" s="450">
        <v>320629.07761774992</v>
      </c>
    </row>
    <row r="115" spans="2:3" x14ac:dyDescent="0.5">
      <c r="B115" s="441" t="s">
        <v>850</v>
      </c>
      <c r="C115" s="450">
        <v>324731.69526705996</v>
      </c>
    </row>
    <row r="116" spans="2:3" x14ac:dyDescent="0.5">
      <c r="B116" s="441" t="s">
        <v>851</v>
      </c>
      <c r="C116" s="450">
        <v>331910.09456325992</v>
      </c>
    </row>
    <row r="117" spans="2:3" x14ac:dyDescent="0.5">
      <c r="B117" s="441" t="s">
        <v>852</v>
      </c>
      <c r="C117" s="450">
        <v>359079.66737649246</v>
      </c>
    </row>
    <row r="118" spans="2:3" x14ac:dyDescent="0.5">
      <c r="B118" s="441" t="s">
        <v>853</v>
      </c>
      <c r="C118" s="450">
        <v>359079.66737649246</v>
      </c>
    </row>
    <row r="119" spans="2:3" x14ac:dyDescent="0.5">
      <c r="B119" s="441" t="s">
        <v>854</v>
      </c>
      <c r="C119" s="450">
        <v>359844.12564492994</v>
      </c>
    </row>
    <row r="120" spans="2:3" x14ac:dyDescent="0.5">
      <c r="B120" s="441" t="s">
        <v>855</v>
      </c>
      <c r="C120" s="450">
        <v>359844.12564492994</v>
      </c>
    </row>
    <row r="121" spans="2:3" x14ac:dyDescent="0.5">
      <c r="B121" s="441" t="s">
        <v>856</v>
      </c>
      <c r="C121" s="450">
        <v>359844.12564492994</v>
      </c>
    </row>
    <row r="122" spans="2:3" x14ac:dyDescent="0.5">
      <c r="B122" s="441" t="s">
        <v>857</v>
      </c>
      <c r="C122" s="450">
        <v>359844.12564492994</v>
      </c>
    </row>
    <row r="123" spans="2:3" x14ac:dyDescent="0.5">
      <c r="B123" s="441" t="s">
        <v>858</v>
      </c>
      <c r="C123" s="450">
        <v>356095.44779492996</v>
      </c>
    </row>
    <row r="124" spans="2:3" x14ac:dyDescent="0.5">
      <c r="B124" s="441" t="s">
        <v>859</v>
      </c>
      <c r="C124" s="450">
        <v>356095.44758592994</v>
      </c>
    </row>
    <row r="125" spans="2:3" x14ac:dyDescent="0.5">
      <c r="B125" s="441" t="s">
        <v>860</v>
      </c>
      <c r="C125" s="450">
        <v>356095.44779492996</v>
      </c>
    </row>
    <row r="126" spans="2:3" x14ac:dyDescent="0.5">
      <c r="B126" s="441" t="s">
        <v>861</v>
      </c>
      <c r="C126" s="450">
        <v>356095.44779452996</v>
      </c>
    </row>
    <row r="127" spans="2:3" x14ac:dyDescent="0.5">
      <c r="B127" s="441" t="s">
        <v>862</v>
      </c>
      <c r="C127" s="450">
        <v>357821.55518201995</v>
      </c>
    </row>
    <row r="128" spans="2:3" x14ac:dyDescent="0.5">
      <c r="B128" s="439" t="s">
        <v>863</v>
      </c>
      <c r="C128" s="450">
        <v>369724.24905009707</v>
      </c>
    </row>
    <row r="129" spans="2:3" x14ac:dyDescent="0.5">
      <c r="B129" s="439" t="s">
        <v>864</v>
      </c>
      <c r="C129" s="450">
        <v>370472.81978412712</v>
      </c>
    </row>
    <row r="130" spans="2:3" x14ac:dyDescent="0.5">
      <c r="B130" s="441" t="s">
        <v>865</v>
      </c>
      <c r="C130" s="450">
        <v>368593.5726024271</v>
      </c>
    </row>
    <row r="131" spans="2:3" x14ac:dyDescent="0.5">
      <c r="B131" s="441" t="s">
        <v>866</v>
      </c>
      <c r="C131" s="450">
        <v>368857.33091767709</v>
      </c>
    </row>
    <row r="132" spans="2:3" x14ac:dyDescent="0.5">
      <c r="B132" s="441" t="s">
        <v>867</v>
      </c>
      <c r="C132" s="451">
        <v>369857.33091767709</v>
      </c>
    </row>
    <row r="133" spans="2:3" x14ac:dyDescent="0.5">
      <c r="B133" s="441" t="s">
        <v>868</v>
      </c>
      <c r="C133" s="451">
        <v>369857.33091767709</v>
      </c>
    </row>
    <row r="134" spans="2:3" x14ac:dyDescent="0.5">
      <c r="B134" s="441" t="s">
        <v>869</v>
      </c>
      <c r="C134" s="451">
        <v>369857.33091807994</v>
      </c>
    </row>
    <row r="135" spans="2:3" x14ac:dyDescent="0.5">
      <c r="B135" s="441" t="s">
        <v>870</v>
      </c>
      <c r="C135" s="451">
        <v>369857.33091767994</v>
      </c>
    </row>
    <row r="136" spans="2:3" x14ac:dyDescent="0.5">
      <c r="B136" s="441" t="s">
        <v>871</v>
      </c>
      <c r="C136" s="451">
        <v>369857.33091767994</v>
      </c>
    </row>
    <row r="137" spans="2:3" x14ac:dyDescent="0.5">
      <c r="B137" s="441" t="s">
        <v>872</v>
      </c>
      <c r="C137" s="451">
        <v>374575.09416567994</v>
      </c>
    </row>
    <row r="138" spans="2:3" x14ac:dyDescent="0.5">
      <c r="B138" s="441" t="s">
        <v>873</v>
      </c>
      <c r="C138" s="451">
        <v>376766.31396499998</v>
      </c>
    </row>
    <row r="139" spans="2:3" x14ac:dyDescent="0.5">
      <c r="B139" s="441" t="s">
        <v>874</v>
      </c>
      <c r="C139" s="451">
        <v>377124.02456154994</v>
      </c>
    </row>
    <row r="140" spans="2:3" x14ac:dyDescent="0.5">
      <c r="B140" s="441" t="s">
        <v>875</v>
      </c>
      <c r="C140" s="451">
        <v>378640.94121131802</v>
      </c>
    </row>
    <row r="141" spans="2:3" x14ac:dyDescent="0.5">
      <c r="B141" s="441" t="s">
        <v>876</v>
      </c>
      <c r="C141" s="451">
        <v>379020.46478731802</v>
      </c>
    </row>
    <row r="142" spans="2:3" x14ac:dyDescent="0.5">
      <c r="B142" s="441" t="s">
        <v>877</v>
      </c>
      <c r="C142" s="451">
        <v>379020.46478754998</v>
      </c>
    </row>
    <row r="143" spans="2:3" x14ac:dyDescent="0.5">
      <c r="B143" s="441" t="s">
        <v>878</v>
      </c>
      <c r="C143" s="451">
        <v>379020.46478754998</v>
      </c>
    </row>
    <row r="144" spans="2:3" x14ac:dyDescent="0.5">
      <c r="B144" s="441" t="s">
        <v>879</v>
      </c>
      <c r="C144" s="451">
        <v>379020.46478754998</v>
      </c>
    </row>
    <row r="145" spans="2:3" x14ac:dyDescent="0.5">
      <c r="B145" s="441" t="s">
        <v>880</v>
      </c>
      <c r="C145" s="451">
        <v>379020.46478754998</v>
      </c>
    </row>
    <row r="146" spans="2:3" x14ac:dyDescent="0.5">
      <c r="B146" s="441" t="s">
        <v>881</v>
      </c>
      <c r="C146" s="451">
        <v>379020.46185955999</v>
      </c>
    </row>
    <row r="147" spans="2:3" x14ac:dyDescent="0.5">
      <c r="B147" s="441" t="s">
        <v>882</v>
      </c>
      <c r="C147" s="451">
        <v>379020.46478754998</v>
      </c>
    </row>
    <row r="148" spans="2:3" x14ac:dyDescent="0.5">
      <c r="B148" s="441" t="s">
        <v>883</v>
      </c>
      <c r="C148" s="451">
        <v>379020.46478754998</v>
      </c>
    </row>
    <row r="149" spans="2:3" x14ac:dyDescent="0.5">
      <c r="B149" s="441" t="s">
        <v>884</v>
      </c>
      <c r="C149" s="451">
        <v>380197.25517555</v>
      </c>
    </row>
    <row r="150" spans="2:3" x14ac:dyDescent="0.5">
      <c r="B150" s="441" t="s">
        <v>885</v>
      </c>
      <c r="C150" s="451">
        <v>380765.29413578002</v>
      </c>
    </row>
    <row r="151" spans="2:3" x14ac:dyDescent="0.5">
      <c r="B151" s="441" t="s">
        <v>886</v>
      </c>
      <c r="C151" s="451">
        <v>381378.20863877999</v>
      </c>
    </row>
    <row r="152" spans="2:3" x14ac:dyDescent="0.5">
      <c r="B152" s="441" t="s">
        <v>887</v>
      </c>
      <c r="C152" s="451">
        <v>384928.19894997816</v>
      </c>
    </row>
    <row r="153" spans="2:3" x14ac:dyDescent="0.5">
      <c r="B153" s="441" t="s">
        <v>888</v>
      </c>
      <c r="C153" s="451">
        <v>384928.19894997816</v>
      </c>
    </row>
    <row r="154" spans="2:3" x14ac:dyDescent="0.5">
      <c r="B154" s="441" t="s">
        <v>889</v>
      </c>
      <c r="C154" s="451">
        <v>385327.20473597816</v>
      </c>
    </row>
    <row r="155" spans="2:3" x14ac:dyDescent="0.5">
      <c r="B155" s="441" t="s">
        <v>890</v>
      </c>
      <c r="C155" s="451">
        <v>385327.20473597996</v>
      </c>
    </row>
    <row r="156" spans="2:3" x14ac:dyDescent="0.5">
      <c r="B156" s="441" t="s">
        <v>891</v>
      </c>
      <c r="C156" s="451">
        <v>385327.20473597996</v>
      </c>
    </row>
    <row r="157" spans="2:3" x14ac:dyDescent="0.5">
      <c r="B157" s="441" t="s">
        <v>892</v>
      </c>
      <c r="C157" s="451">
        <v>385327.20473597996</v>
      </c>
    </row>
    <row r="158" spans="2:3" x14ac:dyDescent="0.5">
      <c r="B158" s="441" t="s">
        <v>893</v>
      </c>
      <c r="C158" s="451">
        <v>385327.20473597996</v>
      </c>
    </row>
    <row r="159" spans="2:3" ht="14.7" thickBot="1" x14ac:dyDescent="0.55000000000000004">
      <c r="B159" s="443" t="s">
        <v>894</v>
      </c>
      <c r="C159" s="444">
        <v>386252.25163631997</v>
      </c>
    </row>
    <row r="160" spans="2:3" ht="14.7" thickTop="1" x14ac:dyDescent="0.5"/>
  </sheetData>
  <mergeCells count="4">
    <mergeCell ref="B2:C2"/>
    <mergeCell ref="B3:B4"/>
    <mergeCell ref="C3:C4"/>
    <mergeCell ref="D3:D4"/>
  </mergeCells>
  <printOptions horizontalCentered="1"/>
  <pageMargins left="0.45" right="0.2" top="0.5" bottom="0.25" header="0.3" footer="0.3"/>
  <pageSetup paperSize="9" scale="33" orientation="portrait" r:id="rId1"/>
  <rowBreaks count="1" manualBreakCount="1">
    <brk id="5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7560-036B-4E89-9B6A-8C6BFA01216A}">
  <sheetPr codeName="Sheet96"/>
  <dimension ref="B2:E91"/>
  <sheetViews>
    <sheetView view="pageBreakPreview" zoomScaleNormal="100" zoomScaleSheetLayoutView="100" workbookViewId="0">
      <pane xSplit="1" ySplit="4" topLeftCell="B75"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1" max="1" width="4.703125" customWidth="1"/>
    <col min="2" max="2" width="16.29296875" customWidth="1"/>
    <col min="3" max="3" width="27.87890625" customWidth="1"/>
    <col min="5" max="5" width="12.29296875" bestFit="1" customWidth="1"/>
  </cols>
  <sheetData>
    <row r="2" spans="2:5" ht="25.5" customHeight="1" x14ac:dyDescent="0.5">
      <c r="B2" s="452" t="s">
        <v>897</v>
      </c>
      <c r="C2" s="452"/>
    </row>
    <row r="3" spans="2:5" x14ac:dyDescent="0.5">
      <c r="B3" s="453" t="s">
        <v>687</v>
      </c>
      <c r="C3" s="381" t="s">
        <v>898</v>
      </c>
    </row>
    <row r="4" spans="2:5" x14ac:dyDescent="0.5">
      <c r="B4" s="379"/>
      <c r="C4" s="380"/>
    </row>
    <row r="5" spans="2:5" x14ac:dyDescent="0.5">
      <c r="B5" s="439" t="s">
        <v>798</v>
      </c>
      <c r="C5" s="454">
        <v>0.10890959690492319</v>
      </c>
      <c r="D5" s="455"/>
      <c r="E5" s="456"/>
    </row>
    <row r="6" spans="2:5" x14ac:dyDescent="0.5">
      <c r="B6" s="439" t="s">
        <v>801</v>
      </c>
      <c r="C6" s="454">
        <v>9.8731954966839772E-2</v>
      </c>
      <c r="D6" s="455"/>
      <c r="E6" s="456"/>
    </row>
    <row r="7" spans="2:5" x14ac:dyDescent="0.5">
      <c r="B7" s="439" t="s">
        <v>804</v>
      </c>
      <c r="C7" s="454">
        <v>0.10076338550982096</v>
      </c>
      <c r="D7" s="455"/>
      <c r="E7" s="456"/>
    </row>
    <row r="8" spans="2:5" x14ac:dyDescent="0.5">
      <c r="B8" s="439" t="s">
        <v>807</v>
      </c>
      <c r="C8" s="454">
        <v>0.10565490951169909</v>
      </c>
      <c r="D8" s="455"/>
      <c r="E8" s="456"/>
    </row>
    <row r="9" spans="2:5" x14ac:dyDescent="0.5">
      <c r="B9" s="439" t="s">
        <v>810</v>
      </c>
      <c r="C9" s="454">
        <v>0.11077476693216233</v>
      </c>
      <c r="D9" s="455"/>
      <c r="E9" s="456"/>
    </row>
    <row r="10" spans="2:5" x14ac:dyDescent="0.5">
      <c r="B10" s="439" t="s">
        <v>813</v>
      </c>
      <c r="C10" s="454">
        <v>0.10076116650777502</v>
      </c>
      <c r="D10" s="455"/>
      <c r="E10" s="456"/>
    </row>
    <row r="11" spans="2:5" x14ac:dyDescent="0.5">
      <c r="B11" s="439" t="s">
        <v>816</v>
      </c>
      <c r="C11" s="454">
        <v>9.7771082308948723E-2</v>
      </c>
      <c r="D11" s="455"/>
      <c r="E11" s="456"/>
    </row>
    <row r="12" spans="2:5" x14ac:dyDescent="0.5">
      <c r="B12" s="439" t="s">
        <v>817</v>
      </c>
      <c r="C12" s="454">
        <v>9.5848163996791316E-2</v>
      </c>
      <c r="D12" s="455"/>
      <c r="E12" s="456"/>
    </row>
    <row r="13" spans="2:5" x14ac:dyDescent="0.5">
      <c r="B13" s="439" t="s">
        <v>818</v>
      </c>
      <c r="C13" s="454">
        <v>9.6620994173797201E-2</v>
      </c>
      <c r="D13" s="455"/>
      <c r="E13" s="456"/>
    </row>
    <row r="14" spans="2:5" x14ac:dyDescent="0.5">
      <c r="B14" s="439" t="s">
        <v>819</v>
      </c>
      <c r="C14" s="454">
        <v>9.3394052960242877E-2</v>
      </c>
      <c r="D14" s="455"/>
      <c r="E14" s="456"/>
    </row>
    <row r="15" spans="2:5" x14ac:dyDescent="0.5">
      <c r="B15" s="439" t="s">
        <v>820</v>
      </c>
      <c r="C15" s="454">
        <v>9.2933631810691295E-2</v>
      </c>
      <c r="D15" s="455"/>
      <c r="E15" s="456"/>
    </row>
    <row r="16" spans="2:5" x14ac:dyDescent="0.5">
      <c r="B16" s="439" t="s">
        <v>821</v>
      </c>
      <c r="C16" s="454">
        <v>9.2058799965761773E-2</v>
      </c>
      <c r="D16" s="455"/>
      <c r="E16" s="456"/>
    </row>
    <row r="17" spans="2:5" x14ac:dyDescent="0.5">
      <c r="B17" s="439" t="s">
        <v>822</v>
      </c>
      <c r="C17" s="454">
        <v>9.2973510766246117E-2</v>
      </c>
      <c r="D17" s="455"/>
      <c r="E17" s="456"/>
    </row>
    <row r="18" spans="2:5" x14ac:dyDescent="0.5">
      <c r="B18" s="439" t="s">
        <v>823</v>
      </c>
      <c r="C18" s="454">
        <v>9.2183162469245322E-2</v>
      </c>
      <c r="D18" s="455"/>
      <c r="E18" s="456"/>
    </row>
    <row r="19" spans="2:5" x14ac:dyDescent="0.5">
      <c r="B19" s="439" t="s">
        <v>824</v>
      </c>
      <c r="C19" s="454">
        <v>9.3293560974792217E-2</v>
      </c>
      <c r="D19" s="455"/>
      <c r="E19" s="456"/>
    </row>
    <row r="20" spans="2:5" x14ac:dyDescent="0.5">
      <c r="B20" s="439" t="s">
        <v>825</v>
      </c>
      <c r="C20" s="454">
        <v>9.3637365157677885E-2</v>
      </c>
      <c r="D20" s="455"/>
      <c r="E20" s="456"/>
    </row>
    <row r="21" spans="2:5" x14ac:dyDescent="0.5">
      <c r="B21" s="439" t="s">
        <v>826</v>
      </c>
      <c r="C21" s="454">
        <v>9.2207438693126392E-2</v>
      </c>
      <c r="D21" s="455"/>
      <c r="E21" s="456"/>
    </row>
    <row r="22" spans="2:5" x14ac:dyDescent="0.5">
      <c r="B22" s="439" t="s">
        <v>827</v>
      </c>
      <c r="C22" s="454">
        <v>8.8994672581196463E-2</v>
      </c>
      <c r="D22" s="455"/>
      <c r="E22" s="456"/>
    </row>
    <row r="23" spans="2:5" x14ac:dyDescent="0.5">
      <c r="B23" s="439" t="s">
        <v>828</v>
      </c>
      <c r="C23" s="454">
        <v>9.307888818377516E-2</v>
      </c>
      <c r="D23" s="455"/>
      <c r="E23" s="456"/>
    </row>
    <row r="24" spans="2:5" x14ac:dyDescent="0.5">
      <c r="B24" s="439" t="s">
        <v>829</v>
      </c>
      <c r="C24" s="454">
        <v>9.2833434223371564E-2</v>
      </c>
      <c r="D24" s="455"/>
      <c r="E24" s="456"/>
    </row>
    <row r="25" spans="2:5" x14ac:dyDescent="0.5">
      <c r="B25" s="439" t="s">
        <v>830</v>
      </c>
      <c r="C25" s="454">
        <v>9.3069780238546146E-2</v>
      </c>
      <c r="D25" s="455"/>
      <c r="E25" s="456"/>
    </row>
    <row r="26" spans="2:5" x14ac:dyDescent="0.5">
      <c r="B26" s="439" t="s">
        <v>831</v>
      </c>
      <c r="C26" s="454">
        <v>9.177088903310042E-2</v>
      </c>
      <c r="D26" s="455"/>
      <c r="E26" s="456"/>
    </row>
    <row r="27" spans="2:5" x14ac:dyDescent="0.5">
      <c r="B27" s="439" t="s">
        <v>832</v>
      </c>
      <c r="C27" s="454">
        <v>8.7692107351984808E-2</v>
      </c>
      <c r="D27" s="455"/>
      <c r="E27" s="456"/>
    </row>
    <row r="28" spans="2:5" x14ac:dyDescent="0.5">
      <c r="B28" s="439" t="s">
        <v>833</v>
      </c>
      <c r="C28" s="454">
        <v>8.4634239928071162E-2</v>
      </c>
      <c r="D28" s="455"/>
      <c r="E28" s="456"/>
    </row>
    <row r="29" spans="2:5" x14ac:dyDescent="0.5">
      <c r="B29" s="439" t="s">
        <v>834</v>
      </c>
      <c r="C29" s="454">
        <v>8.3053675436759705E-2</v>
      </c>
      <c r="D29" s="455"/>
      <c r="E29" s="456"/>
    </row>
    <row r="30" spans="2:5" x14ac:dyDescent="0.5">
      <c r="B30" s="439" t="s">
        <v>835</v>
      </c>
      <c r="C30" s="454">
        <v>7.8976378318024384E-2</v>
      </c>
      <c r="D30" s="455"/>
      <c r="E30" s="456"/>
    </row>
    <row r="31" spans="2:5" x14ac:dyDescent="0.5">
      <c r="B31" s="439" t="s">
        <v>836</v>
      </c>
      <c r="C31" s="454">
        <v>7.6577477293295532E-2</v>
      </c>
      <c r="D31" s="455"/>
      <c r="E31" s="456"/>
    </row>
    <row r="32" spans="2:5" x14ac:dyDescent="0.5">
      <c r="B32" s="439" t="s">
        <v>837</v>
      </c>
      <c r="C32" s="454">
        <v>7.5412522925581371E-2</v>
      </c>
      <c r="D32" s="455"/>
      <c r="E32" s="456"/>
    </row>
    <row r="33" spans="2:5" x14ac:dyDescent="0.5">
      <c r="B33" s="439" t="s">
        <v>838</v>
      </c>
      <c r="C33" s="454">
        <v>7.3774779810881569E-2</v>
      </c>
      <c r="D33" s="455"/>
      <c r="E33" s="456"/>
    </row>
    <row r="34" spans="2:5" x14ac:dyDescent="0.5">
      <c r="B34" s="439" t="s">
        <v>839</v>
      </c>
      <c r="C34" s="454">
        <v>7.1745286896448213E-2</v>
      </c>
      <c r="D34" s="455"/>
      <c r="E34" s="456"/>
    </row>
    <row r="35" spans="2:5" x14ac:dyDescent="0.5">
      <c r="B35" s="439" t="s">
        <v>840</v>
      </c>
      <c r="C35" s="454">
        <v>7.0204285578472331E-2</v>
      </c>
      <c r="D35" s="455"/>
      <c r="E35" s="456"/>
    </row>
    <row r="36" spans="2:5" x14ac:dyDescent="0.5">
      <c r="B36" s="439" t="s">
        <v>841</v>
      </c>
      <c r="C36" s="454">
        <v>6.8312992245402993E-2</v>
      </c>
      <c r="D36" s="455"/>
      <c r="E36" s="456"/>
    </row>
    <row r="37" spans="2:5" x14ac:dyDescent="0.5">
      <c r="B37" s="439" t="s">
        <v>842</v>
      </c>
      <c r="C37" s="454">
        <v>6.714677882955894E-2</v>
      </c>
      <c r="D37" s="455"/>
      <c r="E37" s="456"/>
    </row>
    <row r="38" spans="2:5" x14ac:dyDescent="0.5">
      <c r="B38" s="439" t="s">
        <v>843</v>
      </c>
      <c r="C38" s="454">
        <v>6.8032474535456883E-2</v>
      </c>
      <c r="D38" s="455"/>
      <c r="E38" s="456"/>
    </row>
    <row r="39" spans="2:5" x14ac:dyDescent="0.5">
      <c r="B39" s="439" t="s">
        <v>844</v>
      </c>
      <c r="C39" s="454">
        <v>6.7334646440574478E-2</v>
      </c>
      <c r="D39" s="455"/>
      <c r="E39" s="456"/>
    </row>
    <row r="40" spans="2:5" x14ac:dyDescent="0.5">
      <c r="B40" s="439" t="s">
        <v>845</v>
      </c>
      <c r="C40" s="454">
        <v>6.5856967461220869E-2</v>
      </c>
      <c r="D40" s="455"/>
      <c r="E40" s="456"/>
    </row>
    <row r="41" spans="2:5" x14ac:dyDescent="0.5">
      <c r="B41" s="439" t="s">
        <v>846</v>
      </c>
      <c r="C41" s="454">
        <v>6.7816328942772661E-2</v>
      </c>
      <c r="D41" s="455"/>
      <c r="E41" s="456"/>
    </row>
    <row r="42" spans="2:5" x14ac:dyDescent="0.5">
      <c r="B42" s="439" t="s">
        <v>847</v>
      </c>
      <c r="C42" s="454">
        <v>6.5321715401570613E-2</v>
      </c>
      <c r="D42" s="455"/>
      <c r="E42" s="456"/>
    </row>
    <row r="43" spans="2:5" x14ac:dyDescent="0.5">
      <c r="B43" s="439" t="s">
        <v>848</v>
      </c>
      <c r="C43" s="454">
        <v>6.8275579113919571E-2</v>
      </c>
      <c r="D43" s="455"/>
      <c r="E43" s="456"/>
    </row>
    <row r="44" spans="2:5" x14ac:dyDescent="0.5">
      <c r="B44" s="439" t="s">
        <v>849</v>
      </c>
      <c r="C44" s="454">
        <v>7.4904161353916435E-2</v>
      </c>
      <c r="D44" s="455"/>
      <c r="E44" s="456"/>
    </row>
    <row r="45" spans="2:5" x14ac:dyDescent="0.5">
      <c r="B45" s="439" t="s">
        <v>850</v>
      </c>
      <c r="C45" s="454">
        <v>7.7974660588204833E-2</v>
      </c>
      <c r="D45" s="455"/>
      <c r="E45" s="456"/>
    </row>
    <row r="46" spans="2:5" x14ac:dyDescent="0.5">
      <c r="B46" s="439" t="s">
        <v>851</v>
      </c>
      <c r="C46" s="454">
        <v>8.2360593280748434E-2</v>
      </c>
      <c r="D46" s="455"/>
      <c r="E46" s="456"/>
    </row>
    <row r="47" spans="2:5" x14ac:dyDescent="0.5">
      <c r="B47" s="439" t="s">
        <v>899</v>
      </c>
      <c r="C47" s="454">
        <v>8.3831225006754273E-2</v>
      </c>
      <c r="D47" s="455"/>
      <c r="E47" s="456"/>
    </row>
    <row r="48" spans="2:5" x14ac:dyDescent="0.5">
      <c r="B48" s="439" t="s">
        <v>852</v>
      </c>
      <c r="C48" s="454">
        <v>8.4894250602206608E-2</v>
      </c>
      <c r="D48" s="455"/>
      <c r="E48" s="456"/>
    </row>
    <row r="49" spans="2:5" x14ac:dyDescent="0.5">
      <c r="B49" s="439" t="s">
        <v>853</v>
      </c>
      <c r="C49" s="454">
        <v>8.9251159079307307E-2</v>
      </c>
      <c r="D49" s="455"/>
      <c r="E49" s="456"/>
    </row>
    <row r="50" spans="2:5" x14ac:dyDescent="0.5">
      <c r="B50" s="439" t="s">
        <v>854</v>
      </c>
      <c r="C50" s="454">
        <v>9.1195098930269836E-2</v>
      </c>
      <c r="D50" s="455"/>
      <c r="E50" s="456"/>
    </row>
    <row r="51" spans="2:5" x14ac:dyDescent="0.5">
      <c r="B51" s="439" t="s">
        <v>855</v>
      </c>
      <c r="C51" s="454">
        <v>9.2368890869136203E-2</v>
      </c>
      <c r="D51" s="455"/>
      <c r="E51" s="456"/>
    </row>
    <row r="52" spans="2:5" x14ac:dyDescent="0.5">
      <c r="B52" s="439" t="s">
        <v>856</v>
      </c>
      <c r="C52" s="454">
        <v>9.3238501363782228E-2</v>
      </c>
      <c r="D52" s="455"/>
      <c r="E52" s="456"/>
    </row>
    <row r="53" spans="2:5" x14ac:dyDescent="0.5">
      <c r="B53" s="439" t="s">
        <v>857</v>
      </c>
      <c r="C53" s="454">
        <v>9.4197668353228917E-2</v>
      </c>
      <c r="D53" s="455"/>
      <c r="E53" s="456"/>
    </row>
    <row r="54" spans="2:5" x14ac:dyDescent="0.5">
      <c r="B54" s="439" t="s">
        <v>858</v>
      </c>
      <c r="C54" s="454">
        <v>9.641421737346928E-2</v>
      </c>
      <c r="D54" s="455"/>
      <c r="E54" s="456"/>
    </row>
    <row r="55" spans="2:5" x14ac:dyDescent="0.5">
      <c r="B55" s="439" t="s">
        <v>859</v>
      </c>
      <c r="C55" s="454">
        <v>9.9384420633690324E-2</v>
      </c>
      <c r="D55" s="455"/>
      <c r="E55" s="456"/>
    </row>
    <row r="56" spans="2:5" x14ac:dyDescent="0.5">
      <c r="B56" s="439" t="s">
        <v>860</v>
      </c>
      <c r="C56" s="454">
        <v>0.10312748054601045</v>
      </c>
      <c r="D56" s="455"/>
      <c r="E56" s="456"/>
    </row>
    <row r="57" spans="2:5" x14ac:dyDescent="0.5">
      <c r="B57" s="439" t="s">
        <v>861</v>
      </c>
      <c r="C57" s="454">
        <v>0.10532801077994852</v>
      </c>
      <c r="D57" s="455"/>
      <c r="E57" s="456"/>
    </row>
    <row r="58" spans="2:5" x14ac:dyDescent="0.5">
      <c r="B58" s="439" t="s">
        <v>862</v>
      </c>
      <c r="C58" s="454">
        <v>0.10626607178007169</v>
      </c>
      <c r="D58" s="455"/>
      <c r="E58" s="456"/>
    </row>
    <row r="59" spans="2:5" x14ac:dyDescent="0.5">
      <c r="B59" s="439" t="s">
        <v>863</v>
      </c>
      <c r="C59" s="454">
        <v>0.10847143174624597</v>
      </c>
      <c r="D59" s="455"/>
      <c r="E59" s="456"/>
    </row>
    <row r="60" spans="2:5" x14ac:dyDescent="0.5">
      <c r="B60" s="439" t="s">
        <v>864</v>
      </c>
      <c r="C60" s="454">
        <v>0.10638225531144421</v>
      </c>
      <c r="D60" s="455"/>
      <c r="E60" s="456"/>
    </row>
    <row r="61" spans="2:5" x14ac:dyDescent="0.5">
      <c r="B61" s="439" t="s">
        <v>865</v>
      </c>
      <c r="C61" s="454">
        <v>0.1053697254094516</v>
      </c>
      <c r="D61" s="455"/>
      <c r="E61" s="456"/>
    </row>
    <row r="62" spans="2:5" x14ac:dyDescent="0.5">
      <c r="B62" s="439" t="s">
        <v>866</v>
      </c>
      <c r="C62" s="454">
        <v>0.10430398678591013</v>
      </c>
      <c r="D62" s="455"/>
      <c r="E62" s="456"/>
    </row>
    <row r="63" spans="2:5" x14ac:dyDescent="0.5">
      <c r="B63" s="439" t="s">
        <v>867</v>
      </c>
      <c r="C63" s="454">
        <v>0.10191611208748982</v>
      </c>
      <c r="D63" s="455"/>
      <c r="E63" s="456"/>
    </row>
    <row r="64" spans="2:5" x14ac:dyDescent="0.5">
      <c r="B64" s="439" t="s">
        <v>868</v>
      </c>
      <c r="C64" s="454">
        <v>0.10105508242665036</v>
      </c>
      <c r="D64" s="455"/>
      <c r="E64" s="456"/>
    </row>
    <row r="65" spans="2:5" x14ac:dyDescent="0.5">
      <c r="B65" s="441" t="s">
        <v>869</v>
      </c>
      <c r="C65" s="457">
        <v>9.9851056925375922E-2</v>
      </c>
      <c r="D65" s="455"/>
      <c r="E65" s="456"/>
    </row>
    <row r="66" spans="2:5" x14ac:dyDescent="0.5">
      <c r="B66" s="441" t="s">
        <v>870</v>
      </c>
      <c r="C66" s="457">
        <v>0.10143696760957671</v>
      </c>
      <c r="D66" s="455"/>
      <c r="E66" s="456"/>
    </row>
    <row r="67" spans="2:5" x14ac:dyDescent="0.5">
      <c r="B67" s="441" t="s">
        <v>871</v>
      </c>
      <c r="C67" s="457">
        <v>0.10196831020179291</v>
      </c>
      <c r="D67" s="455"/>
      <c r="E67" s="456"/>
    </row>
    <row r="68" spans="2:5" x14ac:dyDescent="0.5">
      <c r="B68" s="441" t="s">
        <v>872</v>
      </c>
      <c r="C68" s="457">
        <v>9.9880586596230808E-2</v>
      </c>
      <c r="D68" s="455"/>
      <c r="E68" s="456"/>
    </row>
    <row r="69" spans="2:5" x14ac:dyDescent="0.5">
      <c r="B69" s="441" t="s">
        <v>873</v>
      </c>
      <c r="C69" s="457">
        <v>9.793751331570158E-2</v>
      </c>
      <c r="D69" s="455"/>
      <c r="E69" s="456"/>
    </row>
    <row r="70" spans="2:5" x14ac:dyDescent="0.5">
      <c r="B70" s="441" t="s">
        <v>874</v>
      </c>
      <c r="C70" s="457">
        <v>9.6850573511653992E-2</v>
      </c>
      <c r="D70" s="455"/>
      <c r="E70" s="456"/>
    </row>
    <row r="71" spans="2:5" x14ac:dyDescent="0.5">
      <c r="B71" s="441" t="s">
        <v>875</v>
      </c>
      <c r="C71" s="457">
        <v>9.3864652046385263E-2</v>
      </c>
      <c r="D71" s="455"/>
      <c r="E71" s="456"/>
    </row>
    <row r="72" spans="2:5" x14ac:dyDescent="0.5">
      <c r="B72" s="441" t="s">
        <v>876</v>
      </c>
      <c r="C72" s="457">
        <v>9.0487372606135971E-2</v>
      </c>
      <c r="D72" s="455"/>
      <c r="E72" s="456"/>
    </row>
    <row r="73" spans="2:5" x14ac:dyDescent="0.5">
      <c r="B73" s="441" t="s">
        <v>877</v>
      </c>
      <c r="C73" s="457">
        <v>8.7680327112080292E-2</v>
      </c>
      <c r="D73" s="455"/>
      <c r="E73" s="456"/>
    </row>
    <row r="74" spans="2:5" x14ac:dyDescent="0.5">
      <c r="B74" s="441" t="s">
        <v>878</v>
      </c>
      <c r="C74" s="457">
        <v>8.556249034206917E-2</v>
      </c>
      <c r="D74" s="455"/>
      <c r="E74" s="456"/>
    </row>
    <row r="75" spans="2:5" x14ac:dyDescent="0.5">
      <c r="B75" s="441" t="s">
        <v>879</v>
      </c>
      <c r="C75" s="457">
        <v>8.3841010805545624E-2</v>
      </c>
      <c r="D75" s="455"/>
      <c r="E75" s="456"/>
    </row>
    <row r="76" spans="2:5" x14ac:dyDescent="0.5">
      <c r="B76" s="441" t="s">
        <v>880</v>
      </c>
      <c r="C76" s="457">
        <v>8.2076200760215587E-2</v>
      </c>
      <c r="D76" s="455"/>
      <c r="E76" s="456"/>
    </row>
    <row r="77" spans="2:5" x14ac:dyDescent="0.5">
      <c r="B77" s="441" t="s">
        <v>881</v>
      </c>
      <c r="C77" s="457">
        <v>8.0029105279199694E-2</v>
      </c>
      <c r="D77" s="455"/>
      <c r="E77" s="456"/>
    </row>
    <row r="78" spans="2:5" x14ac:dyDescent="0.5">
      <c r="B78" s="441" t="s">
        <v>882</v>
      </c>
      <c r="C78" s="457">
        <v>7.6240573968251735E-2</v>
      </c>
      <c r="D78" s="455"/>
      <c r="E78" s="456"/>
    </row>
    <row r="79" spans="2:5" x14ac:dyDescent="0.5">
      <c r="B79" s="441" t="s">
        <v>883</v>
      </c>
      <c r="C79" s="457">
        <v>7.498359409522401E-2</v>
      </c>
      <c r="D79" s="455"/>
      <c r="E79" s="456"/>
    </row>
    <row r="80" spans="2:5" x14ac:dyDescent="0.5">
      <c r="B80" s="441" t="s">
        <v>884</v>
      </c>
      <c r="C80" s="457">
        <v>7.2851092831751341E-2</v>
      </c>
      <c r="D80" s="455"/>
      <c r="E80" s="456"/>
    </row>
    <row r="81" spans="2:5" x14ac:dyDescent="0.5">
      <c r="B81" s="441" t="s">
        <v>885</v>
      </c>
      <c r="C81" s="457">
        <v>7.0262155568891788E-2</v>
      </c>
      <c r="D81" s="455"/>
      <c r="E81" s="456"/>
    </row>
    <row r="82" spans="2:5" x14ac:dyDescent="0.5">
      <c r="B82" s="441" t="s">
        <v>886</v>
      </c>
      <c r="C82" s="457">
        <v>6.8111198682245189E-2</v>
      </c>
      <c r="D82" s="455"/>
      <c r="E82" s="456"/>
    </row>
    <row r="83" spans="2:5" x14ac:dyDescent="0.5">
      <c r="B83" s="441" t="s">
        <v>887</v>
      </c>
      <c r="C83" s="457">
        <v>6.6381843090426718E-2</v>
      </c>
      <c r="D83" s="455"/>
      <c r="E83" s="456"/>
    </row>
    <row r="84" spans="2:5" x14ac:dyDescent="0.5">
      <c r="B84" s="441" t="s">
        <v>888</v>
      </c>
      <c r="C84" s="457">
        <v>6.4562018693636689E-2</v>
      </c>
      <c r="D84" s="455"/>
      <c r="E84" s="456"/>
    </row>
    <row r="85" spans="2:5" x14ac:dyDescent="0.5">
      <c r="B85" s="441" t="s">
        <v>889</v>
      </c>
      <c r="C85" s="457">
        <v>6.3195399922200801E-2</v>
      </c>
      <c r="D85" s="455"/>
      <c r="E85" s="456"/>
    </row>
    <row r="86" spans="2:5" x14ac:dyDescent="0.5">
      <c r="B86" s="441" t="s">
        <v>890</v>
      </c>
      <c r="C86" s="457">
        <v>6.2631962870151089E-2</v>
      </c>
      <c r="D86" s="455"/>
      <c r="E86" s="456"/>
    </row>
    <row r="87" spans="2:5" x14ac:dyDescent="0.5">
      <c r="B87" s="441" t="s">
        <v>891</v>
      </c>
      <c r="C87" s="457">
        <v>6.1409102866484863E-2</v>
      </c>
      <c r="D87" s="458"/>
      <c r="E87" s="456"/>
    </row>
    <row r="88" spans="2:5" x14ac:dyDescent="0.5">
      <c r="B88" s="441" t="s">
        <v>892</v>
      </c>
      <c r="C88" s="457">
        <v>6.0535109822458723E-2</v>
      </c>
      <c r="D88" s="458"/>
      <c r="E88" s="456"/>
    </row>
    <row r="89" spans="2:5" x14ac:dyDescent="0.5">
      <c r="B89" s="441" t="s">
        <v>893</v>
      </c>
      <c r="C89" s="457">
        <v>5.9770357781447181E-2</v>
      </c>
      <c r="D89" s="458"/>
      <c r="E89" s="456"/>
    </row>
    <row r="90" spans="2:5" ht="14.7" thickBot="1" x14ac:dyDescent="0.55000000000000004">
      <c r="B90" s="443" t="s">
        <v>894</v>
      </c>
      <c r="C90" s="459">
        <v>5.743123141578628E-2</v>
      </c>
      <c r="E90" s="456"/>
    </row>
    <row r="91" spans="2:5" ht="14.7" thickTop="1" x14ac:dyDescent="0.5"/>
  </sheetData>
  <mergeCells count="3">
    <mergeCell ref="B2:C2"/>
    <mergeCell ref="B3:B4"/>
    <mergeCell ref="C3:C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7D920-0428-4BB5-ABE6-D36996B23D40}">
  <sheetPr codeName="Sheet97"/>
  <dimension ref="B2:D70"/>
  <sheetViews>
    <sheetView view="pageBreakPreview" zoomScaleNormal="100" zoomScaleSheetLayoutView="100" workbookViewId="0">
      <pane xSplit="1" ySplit="4" topLeftCell="B50"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2" max="2" width="20.41015625" customWidth="1"/>
    <col min="3" max="3" width="29.5859375" customWidth="1"/>
  </cols>
  <sheetData>
    <row r="2" spans="2:3" ht="42.75" customHeight="1" x14ac:dyDescent="0.5">
      <c r="B2" s="452" t="s">
        <v>900</v>
      </c>
      <c r="C2" s="452"/>
    </row>
    <row r="3" spans="2:3" x14ac:dyDescent="0.5">
      <c r="B3" s="453" t="s">
        <v>687</v>
      </c>
      <c r="C3" s="381" t="s">
        <v>901</v>
      </c>
    </row>
    <row r="4" spans="2:3" x14ac:dyDescent="0.5">
      <c r="B4" s="379"/>
      <c r="C4" s="380"/>
    </row>
    <row r="5" spans="2:3" x14ac:dyDescent="0.5">
      <c r="B5" s="439" t="s">
        <v>831</v>
      </c>
      <c r="C5" s="454">
        <v>4.5999999999999999E-2</v>
      </c>
    </row>
    <row r="6" spans="2:3" x14ac:dyDescent="0.5">
      <c r="B6" s="439" t="s">
        <v>832</v>
      </c>
      <c r="C6" s="454">
        <v>4.4600963962325907E-2</v>
      </c>
    </row>
    <row r="7" spans="2:3" x14ac:dyDescent="0.5">
      <c r="B7" s="439" t="s">
        <v>833</v>
      </c>
      <c r="C7" s="454">
        <v>4.2556001391515816E-2</v>
      </c>
    </row>
    <row r="8" spans="2:3" x14ac:dyDescent="0.5">
      <c r="B8" s="439" t="s">
        <v>834</v>
      </c>
      <c r="C8" s="454">
        <v>4.0974449847792992E-2</v>
      </c>
    </row>
    <row r="9" spans="2:3" x14ac:dyDescent="0.5">
      <c r="B9" s="439" t="s">
        <v>835</v>
      </c>
      <c r="C9" s="454">
        <v>4.6994852881253608E-2</v>
      </c>
    </row>
    <row r="10" spans="2:3" x14ac:dyDescent="0.5">
      <c r="B10" s="439" t="s">
        <v>836</v>
      </c>
      <c r="C10" s="454">
        <v>4.5730960923937025E-2</v>
      </c>
    </row>
    <row r="11" spans="2:3" x14ac:dyDescent="0.5">
      <c r="B11" s="439" t="s">
        <v>837</v>
      </c>
      <c r="C11" s="454">
        <v>4.3674976563321026E-2</v>
      </c>
    </row>
    <row r="12" spans="2:3" x14ac:dyDescent="0.5">
      <c r="B12" s="439" t="s">
        <v>838</v>
      </c>
      <c r="C12" s="454">
        <v>4.2093629513007248E-2</v>
      </c>
    </row>
    <row r="13" spans="2:3" x14ac:dyDescent="0.5">
      <c r="B13" s="439" t="s">
        <v>839</v>
      </c>
      <c r="C13" s="454">
        <v>4.226364691183733E-2</v>
      </c>
    </row>
    <row r="14" spans="2:3" x14ac:dyDescent="0.5">
      <c r="B14" s="439" t="s">
        <v>840</v>
      </c>
      <c r="C14" s="454">
        <v>4.0932386427066161E-2</v>
      </c>
    </row>
    <row r="15" spans="2:3" x14ac:dyDescent="0.5">
      <c r="B15" s="439" t="s">
        <v>841</v>
      </c>
      <c r="C15" s="454">
        <v>4.0282841976574106E-2</v>
      </c>
    </row>
    <row r="16" spans="2:3" x14ac:dyDescent="0.5">
      <c r="B16" s="439" t="s">
        <v>842</v>
      </c>
      <c r="C16" s="454">
        <v>3.9629585085807183E-2</v>
      </c>
    </row>
    <row r="17" spans="2:3" x14ac:dyDescent="0.5">
      <c r="B17" s="439" t="s">
        <v>843</v>
      </c>
      <c r="C17" s="454">
        <v>3.8280950831575067E-2</v>
      </c>
    </row>
    <row r="18" spans="2:3" x14ac:dyDescent="0.5">
      <c r="B18" s="439" t="s">
        <v>844</v>
      </c>
      <c r="C18" s="454">
        <v>3.7200645992004039E-2</v>
      </c>
    </row>
    <row r="19" spans="2:3" x14ac:dyDescent="0.5">
      <c r="B19" s="439" t="s">
        <v>845</v>
      </c>
      <c r="C19" s="454">
        <v>3.7407424438458285E-2</v>
      </c>
    </row>
    <row r="20" spans="2:3" x14ac:dyDescent="0.5">
      <c r="B20" s="439" t="s">
        <v>846</v>
      </c>
      <c r="C20" s="454">
        <v>3.6710216091840268E-2</v>
      </c>
    </row>
    <row r="21" spans="2:3" x14ac:dyDescent="0.5">
      <c r="B21" s="439" t="s">
        <v>847</v>
      </c>
      <c r="C21" s="454">
        <v>3.7370753864980948E-2</v>
      </c>
    </row>
    <row r="22" spans="2:3" x14ac:dyDescent="0.5">
      <c r="B22" s="439" t="s">
        <v>848</v>
      </c>
      <c r="C22" s="454">
        <v>3.6454064203369538E-2</v>
      </c>
    </row>
    <row r="23" spans="2:3" x14ac:dyDescent="0.5">
      <c r="B23" s="439" t="s">
        <v>849</v>
      </c>
      <c r="C23" s="454">
        <v>3.2453679034741161E-2</v>
      </c>
    </row>
    <row r="24" spans="2:3" x14ac:dyDescent="0.5">
      <c r="B24" s="439" t="s">
        <v>850</v>
      </c>
      <c r="C24" s="454">
        <v>3.2188312791028843E-2</v>
      </c>
    </row>
    <row r="25" spans="2:3" x14ac:dyDescent="0.5">
      <c r="B25" s="439" t="s">
        <v>851</v>
      </c>
      <c r="C25" s="454">
        <v>3.0524854120091094E-2</v>
      </c>
    </row>
    <row r="26" spans="2:3" x14ac:dyDescent="0.5">
      <c r="B26" s="439" t="s">
        <v>899</v>
      </c>
      <c r="C26" s="454">
        <v>3.0729625947949188E-2</v>
      </c>
    </row>
    <row r="27" spans="2:3" x14ac:dyDescent="0.5">
      <c r="B27" s="439" t="s">
        <v>852</v>
      </c>
      <c r="C27" s="454">
        <v>3.8264613114295742E-2</v>
      </c>
    </row>
    <row r="28" spans="2:3" x14ac:dyDescent="0.5">
      <c r="B28" s="439" t="s">
        <v>853</v>
      </c>
      <c r="C28" s="454">
        <v>3.6737256771325957E-2</v>
      </c>
    </row>
    <row r="29" spans="2:3" x14ac:dyDescent="0.5">
      <c r="B29" s="439" t="s">
        <v>854</v>
      </c>
      <c r="C29" s="454">
        <v>3.6785533360629868E-2</v>
      </c>
    </row>
    <row r="30" spans="2:3" x14ac:dyDescent="0.5">
      <c r="B30" s="439" t="s">
        <v>855</v>
      </c>
      <c r="C30" s="454">
        <v>4.1649471443687344E-2</v>
      </c>
    </row>
    <row r="31" spans="2:3" x14ac:dyDescent="0.5">
      <c r="B31" s="439" t="s">
        <v>856</v>
      </c>
      <c r="C31" s="454">
        <v>4.1944107360201849E-2</v>
      </c>
    </row>
    <row r="32" spans="2:3" x14ac:dyDescent="0.5">
      <c r="B32" s="439" t="s">
        <v>857</v>
      </c>
      <c r="C32" s="454">
        <v>4.2137036431800778E-2</v>
      </c>
    </row>
    <row r="33" spans="2:3" x14ac:dyDescent="0.5">
      <c r="B33" s="439" t="s">
        <v>858</v>
      </c>
      <c r="C33" s="454">
        <v>4.2978839623838111E-2</v>
      </c>
    </row>
    <row r="34" spans="2:3" x14ac:dyDescent="0.5">
      <c r="B34" s="439" t="s">
        <v>859</v>
      </c>
      <c r="C34" s="454">
        <v>4.2549136150686173E-2</v>
      </c>
    </row>
    <row r="35" spans="2:3" x14ac:dyDescent="0.5">
      <c r="B35" s="439" t="s">
        <v>860</v>
      </c>
      <c r="C35" s="454">
        <v>4.0304759272338231E-2</v>
      </c>
    </row>
    <row r="36" spans="2:3" x14ac:dyDescent="0.5">
      <c r="B36" s="439" t="s">
        <v>861</v>
      </c>
      <c r="C36" s="454">
        <v>4.3301196066564199E-2</v>
      </c>
    </row>
    <row r="37" spans="2:3" x14ac:dyDescent="0.5">
      <c r="B37" s="439" t="s">
        <v>862</v>
      </c>
      <c r="C37" s="454">
        <v>4.275517865767399E-2</v>
      </c>
    </row>
    <row r="38" spans="2:3" x14ac:dyDescent="0.5">
      <c r="B38" s="439" t="s">
        <v>863</v>
      </c>
      <c r="C38" s="454">
        <v>4.2780930583109986E-2</v>
      </c>
    </row>
    <row r="39" spans="2:3" x14ac:dyDescent="0.5">
      <c r="B39" s="439" t="s">
        <v>864</v>
      </c>
      <c r="C39" s="454">
        <v>4.6275486922720613E-2</v>
      </c>
    </row>
    <row r="40" spans="2:3" x14ac:dyDescent="0.5">
      <c r="B40" s="439" t="s">
        <v>865</v>
      </c>
      <c r="C40" s="454">
        <v>4.6404615272459065E-2</v>
      </c>
    </row>
    <row r="41" spans="2:3" x14ac:dyDescent="0.5">
      <c r="B41" s="439" t="s">
        <v>866</v>
      </c>
      <c r="C41" s="454">
        <v>4.5771056043810654E-2</v>
      </c>
    </row>
    <row r="42" spans="2:3" x14ac:dyDescent="0.5">
      <c r="B42" s="439" t="s">
        <v>867</v>
      </c>
      <c r="C42" s="454">
        <v>4.5663288408876082E-2</v>
      </c>
    </row>
    <row r="43" spans="2:3" x14ac:dyDescent="0.5">
      <c r="B43" s="460" t="s">
        <v>868</v>
      </c>
      <c r="C43" s="454">
        <v>4.5411602903742299E-2</v>
      </c>
    </row>
    <row r="44" spans="2:3" x14ac:dyDescent="0.5">
      <c r="B44" s="461" t="s">
        <v>869</v>
      </c>
      <c r="C44" s="457">
        <v>4.4365391409550425E-2</v>
      </c>
    </row>
    <row r="45" spans="2:3" x14ac:dyDescent="0.5">
      <c r="B45" s="461" t="s">
        <v>870</v>
      </c>
      <c r="C45" s="457">
        <v>4.2387229094133283E-2</v>
      </c>
    </row>
    <row r="46" spans="2:3" x14ac:dyDescent="0.5">
      <c r="B46" s="461" t="s">
        <v>871</v>
      </c>
      <c r="C46" s="457">
        <v>4.1714693904213229E-2</v>
      </c>
    </row>
    <row r="47" spans="2:3" x14ac:dyDescent="0.5">
      <c r="B47" s="461" t="s">
        <v>872</v>
      </c>
      <c r="C47" s="457">
        <v>4.2091086247923334E-2</v>
      </c>
    </row>
    <row r="48" spans="2:3" x14ac:dyDescent="0.5">
      <c r="B48" s="461" t="s">
        <v>873</v>
      </c>
      <c r="C48" s="457">
        <v>4.1912627068364711E-2</v>
      </c>
    </row>
    <row r="49" spans="2:3" x14ac:dyDescent="0.5">
      <c r="B49" s="461" t="s">
        <v>874</v>
      </c>
      <c r="C49" s="457">
        <v>4.2307537599238873E-2</v>
      </c>
    </row>
    <row r="50" spans="2:3" x14ac:dyDescent="0.5">
      <c r="B50" s="461" t="s">
        <v>875</v>
      </c>
      <c r="C50" s="457">
        <v>4.0609079546733318E-2</v>
      </c>
    </row>
    <row r="51" spans="2:3" x14ac:dyDescent="0.5">
      <c r="B51" s="461" t="s">
        <v>876</v>
      </c>
      <c r="C51" s="457">
        <v>4.0696767848177107E-2</v>
      </c>
    </row>
    <row r="52" spans="2:3" x14ac:dyDescent="0.5">
      <c r="B52" s="461" t="s">
        <v>877</v>
      </c>
      <c r="C52" s="457">
        <v>4.0331304226945572E-2</v>
      </c>
    </row>
    <row r="53" spans="2:3" x14ac:dyDescent="0.5">
      <c r="B53" s="461" t="s">
        <v>878</v>
      </c>
      <c r="C53" s="457">
        <v>4.0200568650054419E-2</v>
      </c>
    </row>
    <row r="54" spans="2:3" x14ac:dyDescent="0.5">
      <c r="B54" s="461" t="s">
        <v>879</v>
      </c>
      <c r="C54" s="457">
        <v>3.9948313185986448E-2</v>
      </c>
    </row>
    <row r="55" spans="2:3" x14ac:dyDescent="0.5">
      <c r="B55" s="461" t="s">
        <v>880</v>
      </c>
      <c r="C55" s="457">
        <v>3.9823272769582058E-2</v>
      </c>
    </row>
    <row r="56" spans="2:3" x14ac:dyDescent="0.5">
      <c r="B56" s="461" t="s">
        <v>881</v>
      </c>
      <c r="C56" s="457">
        <v>4.0123130821044434E-2</v>
      </c>
    </row>
    <row r="57" spans="2:3" x14ac:dyDescent="0.5">
      <c r="B57" s="461" t="s">
        <v>882</v>
      </c>
      <c r="C57" s="457">
        <v>3.9973104303623039E-2</v>
      </c>
    </row>
    <row r="58" spans="2:3" x14ac:dyDescent="0.5">
      <c r="B58" s="461" t="s">
        <v>883</v>
      </c>
      <c r="C58" s="457">
        <v>3.9901181178001482E-2</v>
      </c>
    </row>
    <row r="59" spans="2:3" x14ac:dyDescent="0.5">
      <c r="B59" s="461" t="s">
        <v>884</v>
      </c>
      <c r="C59" s="457">
        <v>3.9851837287022414E-2</v>
      </c>
    </row>
    <row r="60" spans="2:3" x14ac:dyDescent="0.5">
      <c r="B60" s="461" t="s">
        <v>885</v>
      </c>
      <c r="C60" s="457">
        <v>3.9380663435037697E-2</v>
      </c>
    </row>
    <row r="61" spans="2:3" x14ac:dyDescent="0.5">
      <c r="B61" s="461" t="s">
        <v>886</v>
      </c>
      <c r="C61" s="457">
        <v>3.9584461307517367E-2</v>
      </c>
    </row>
    <row r="62" spans="2:3" x14ac:dyDescent="0.5">
      <c r="B62" s="461" t="s">
        <v>887</v>
      </c>
      <c r="C62" s="457">
        <v>3.9400157943147933E-2</v>
      </c>
    </row>
    <row r="63" spans="2:3" x14ac:dyDescent="0.5">
      <c r="B63" s="461" t="s">
        <v>888</v>
      </c>
      <c r="C63" s="457">
        <v>3.9228128921374603E-2</v>
      </c>
    </row>
    <row r="64" spans="2:3" x14ac:dyDescent="0.5">
      <c r="B64" s="461" t="s">
        <v>889</v>
      </c>
      <c r="C64" s="457">
        <v>3.8616490479057811E-2</v>
      </c>
    </row>
    <row r="65" spans="2:4" x14ac:dyDescent="0.5">
      <c r="B65" s="461" t="s">
        <v>890</v>
      </c>
      <c r="C65" s="457">
        <v>3.7692230420126122E-2</v>
      </c>
    </row>
    <row r="66" spans="2:4" x14ac:dyDescent="0.5">
      <c r="B66" s="461" t="s">
        <v>891</v>
      </c>
      <c r="C66" s="457">
        <v>3.7347400842402088E-2</v>
      </c>
      <c r="D66" s="458"/>
    </row>
    <row r="67" spans="2:4" x14ac:dyDescent="0.5">
      <c r="B67" s="461" t="s">
        <v>892</v>
      </c>
      <c r="C67" s="457">
        <v>3.6989981865611088E-2</v>
      </c>
      <c r="D67" s="458"/>
    </row>
    <row r="68" spans="2:4" x14ac:dyDescent="0.5">
      <c r="B68" s="461" t="s">
        <v>893</v>
      </c>
      <c r="C68" s="457">
        <v>3.660237632089583E-2</v>
      </c>
      <c r="D68" s="458"/>
    </row>
    <row r="69" spans="2:4" ht="14.7" thickBot="1" x14ac:dyDescent="0.55000000000000004">
      <c r="B69" s="443" t="s">
        <v>894</v>
      </c>
      <c r="C69" s="459">
        <v>3.7405036582028379E-2</v>
      </c>
    </row>
    <row r="70" spans="2:4" ht="10.7" customHeight="1" thickTop="1" x14ac:dyDescent="0.5"/>
  </sheetData>
  <mergeCells count="3">
    <mergeCell ref="B2:C2"/>
    <mergeCell ref="B3:B4"/>
    <mergeCell ref="C3:C4"/>
  </mergeCells>
  <pageMargins left="0.7" right="0.7" top="0.75" bottom="0.75" header="0.3" footer="0.3"/>
  <pageSetup paperSize="9" scale="9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8FFD-BF74-4609-BE16-746A33EC107B}">
  <sheetPr codeName="Sheet98"/>
  <dimension ref="B2:H46"/>
  <sheetViews>
    <sheetView view="pageBreakPreview" zoomScaleNormal="100" zoomScaleSheetLayoutView="100" workbookViewId="0">
      <pane xSplit="1" ySplit="3" topLeftCell="B22" activePane="bottomRight" state="frozen"/>
      <selection activeCell="M36" sqref="M36"/>
      <selection pane="topRight" activeCell="M36" sqref="M36"/>
      <selection pane="bottomLeft" activeCell="M36" sqref="M36"/>
      <selection pane="bottomRight" activeCell="M36" sqref="M36"/>
    </sheetView>
  </sheetViews>
  <sheetFormatPr defaultColWidth="16.5859375" defaultRowHeight="14.35" x14ac:dyDescent="0.5"/>
  <cols>
    <col min="1" max="1" width="9.87890625" customWidth="1"/>
  </cols>
  <sheetData>
    <row r="2" spans="2:6" ht="24.75" customHeight="1" x14ac:dyDescent="0.5">
      <c r="B2" s="462" t="s">
        <v>902</v>
      </c>
      <c r="C2" s="463"/>
      <c r="D2" s="463"/>
      <c r="E2" s="463"/>
      <c r="F2" s="464"/>
    </row>
    <row r="3" spans="2:6" ht="21" customHeight="1" x14ac:dyDescent="0.5">
      <c r="B3" s="465" t="s">
        <v>687</v>
      </c>
      <c r="C3" s="466" t="s">
        <v>903</v>
      </c>
      <c r="D3" s="466" t="s">
        <v>551</v>
      </c>
      <c r="E3" s="466" t="s">
        <v>552</v>
      </c>
      <c r="F3" s="466" t="s">
        <v>670</v>
      </c>
    </row>
    <row r="4" spans="2:6" x14ac:dyDescent="0.5">
      <c r="B4" s="439" t="s">
        <v>904</v>
      </c>
      <c r="C4" s="467">
        <v>2.9287790207422285E-2</v>
      </c>
      <c r="D4" s="467">
        <v>4.1575621278075327E-2</v>
      </c>
      <c r="E4" s="467">
        <v>0.13748898618913644</v>
      </c>
      <c r="F4" s="467">
        <v>3.7628025319126117E-2</v>
      </c>
    </row>
    <row r="5" spans="2:6" x14ac:dyDescent="0.5">
      <c r="B5" s="439" t="s">
        <v>905</v>
      </c>
      <c r="C5" s="467">
        <v>2.4889552081382167E-2</v>
      </c>
      <c r="D5" s="467">
        <v>2.9746853954040853E-2</v>
      </c>
      <c r="E5" s="467">
        <v>0.14382288489284631</v>
      </c>
      <c r="F5" s="467">
        <v>3.1411991597525314E-2</v>
      </c>
    </row>
    <row r="6" spans="2:6" x14ac:dyDescent="0.5">
      <c r="B6" s="439" t="s">
        <v>906</v>
      </c>
      <c r="C6" s="467">
        <v>2.409207374607376E-2</v>
      </c>
      <c r="D6" s="467">
        <v>2.9888041688937664E-2</v>
      </c>
      <c r="E6" s="467">
        <v>0.14393260520716161</v>
      </c>
      <c r="F6" s="467">
        <v>3.0527652221520426E-2</v>
      </c>
    </row>
    <row r="7" spans="2:6" x14ac:dyDescent="0.5">
      <c r="B7" s="439" t="s">
        <v>907</v>
      </c>
      <c r="C7" s="467">
        <v>2.4515168303207262E-2</v>
      </c>
      <c r="D7" s="467">
        <v>2.3960145289768704E-2</v>
      </c>
      <c r="E7" s="467">
        <v>0.1213969297604475</v>
      </c>
      <c r="F7" s="467">
        <v>2.8439620582029677E-2</v>
      </c>
    </row>
    <row r="8" spans="2:6" x14ac:dyDescent="0.5">
      <c r="B8" s="439" t="s">
        <v>908</v>
      </c>
      <c r="C8" s="467">
        <v>2.2174301140382463E-2</v>
      </c>
      <c r="D8" s="467">
        <v>2.5111283495264772E-2</v>
      </c>
      <c r="E8" s="467">
        <v>0.13972175825830604</v>
      </c>
      <c r="F8" s="467">
        <v>2.7818486909194889E-2</v>
      </c>
    </row>
    <row r="9" spans="2:6" x14ac:dyDescent="0.5">
      <c r="B9" s="439" t="s">
        <v>909</v>
      </c>
      <c r="C9" s="467">
        <v>1.8150434973481913E-2</v>
      </c>
      <c r="D9" s="467">
        <v>1.4781469423929716E-2</v>
      </c>
      <c r="E9" s="467">
        <v>0.1442181202235984</v>
      </c>
      <c r="F9" s="467">
        <v>2.1949495996698213E-2</v>
      </c>
    </row>
    <row r="10" spans="2:6" x14ac:dyDescent="0.5">
      <c r="B10" s="439" t="s">
        <v>910</v>
      </c>
      <c r="C10" s="467">
        <v>1.8082760306751194E-2</v>
      </c>
      <c r="D10" s="467">
        <v>2.1837138299198294E-2</v>
      </c>
      <c r="E10" s="467">
        <v>0.15272677368975543</v>
      </c>
      <c r="F10" s="467">
        <v>2.2511032862247492E-2</v>
      </c>
    </row>
    <row r="11" spans="2:6" x14ac:dyDescent="0.5">
      <c r="B11" s="439" t="s">
        <v>911</v>
      </c>
      <c r="C11" s="467">
        <v>1.7076044015209003E-2</v>
      </c>
      <c r="D11" s="467">
        <v>1.7827518897439332E-2</v>
      </c>
      <c r="E11" s="467">
        <v>0.13455916478028254</v>
      </c>
      <c r="F11" s="467">
        <v>2.0481894768287767E-2</v>
      </c>
    </row>
    <row r="12" spans="2:6" x14ac:dyDescent="0.5">
      <c r="B12" s="439" t="s">
        <v>912</v>
      </c>
      <c r="C12" s="467">
        <v>1.674057489381954E-2</v>
      </c>
      <c r="D12" s="467">
        <v>1.6759944364962399E-2</v>
      </c>
      <c r="E12" s="467">
        <v>0.1314998848979228</v>
      </c>
      <c r="F12" s="467">
        <v>1.9981108005658065E-2</v>
      </c>
    </row>
    <row r="13" spans="2:6" x14ac:dyDescent="0.5">
      <c r="B13" s="439" t="s">
        <v>913</v>
      </c>
      <c r="C13" s="467">
        <v>1.5420927343815227E-2</v>
      </c>
      <c r="D13" s="467">
        <v>1.3567167203395404E-2</v>
      </c>
      <c r="E13" s="467">
        <v>0.13366198918442765</v>
      </c>
      <c r="F13" s="467">
        <v>1.8139693787462524E-2</v>
      </c>
    </row>
    <row r="14" spans="2:6" x14ac:dyDescent="0.5">
      <c r="B14" s="439" t="s">
        <v>914</v>
      </c>
      <c r="C14" s="467">
        <v>1.7901178261496602E-2</v>
      </c>
      <c r="D14" s="467">
        <v>1.7564216999200015E-2</v>
      </c>
      <c r="E14" s="467">
        <v>0.13226565870385962</v>
      </c>
      <c r="F14" s="467">
        <v>2.0612022011306207E-2</v>
      </c>
    </row>
    <row r="15" spans="2:6" x14ac:dyDescent="0.5">
      <c r="B15" s="439" t="s">
        <v>915</v>
      </c>
      <c r="C15" s="467">
        <v>1.7350151760239855E-2</v>
      </c>
      <c r="D15" s="467">
        <v>1.5597696626183268E-2</v>
      </c>
      <c r="E15" s="467">
        <v>0.13100446465227727</v>
      </c>
      <c r="F15" s="467">
        <v>1.9778617430298837E-2</v>
      </c>
    </row>
    <row r="16" spans="2:6" x14ac:dyDescent="0.5">
      <c r="B16" s="439" t="s">
        <v>916</v>
      </c>
      <c r="C16" s="467">
        <v>1.6595372318025766E-2</v>
      </c>
      <c r="D16" s="467">
        <v>1.6282682570551529E-2</v>
      </c>
      <c r="E16" s="467">
        <v>0.12373403676887207</v>
      </c>
      <c r="F16" s="467">
        <v>1.9081495770339497E-2</v>
      </c>
    </row>
    <row r="17" spans="2:6" x14ac:dyDescent="0.5">
      <c r="B17" s="439" t="s">
        <v>917</v>
      </c>
      <c r="C17" s="467">
        <v>1.408519268312795E-2</v>
      </c>
      <c r="D17" s="467">
        <v>1.0909835860601642E-2</v>
      </c>
      <c r="E17" s="467">
        <v>0.10825209930972869</v>
      </c>
      <c r="F17" s="467">
        <v>1.6016642625619873E-2</v>
      </c>
    </row>
    <row r="18" spans="2:6" x14ac:dyDescent="0.5">
      <c r="B18" s="439" t="s">
        <v>918</v>
      </c>
      <c r="C18" s="467">
        <v>1.4794799959295302E-2</v>
      </c>
      <c r="D18" s="467">
        <v>1.3646613760565205E-2</v>
      </c>
      <c r="E18" s="467">
        <v>0.10969015324461026</v>
      </c>
      <c r="F18" s="467">
        <v>1.6879199066265001E-2</v>
      </c>
    </row>
    <row r="19" spans="2:6" x14ac:dyDescent="0.5">
      <c r="B19" s="439" t="s">
        <v>919</v>
      </c>
      <c r="C19" s="467">
        <v>1.6029852733123792E-2</v>
      </c>
      <c r="D19" s="467">
        <v>1.1240319637582197E-2</v>
      </c>
      <c r="E19" s="467">
        <v>0.1026549396393614</v>
      </c>
      <c r="F19" s="467">
        <v>1.7492306358745678E-2</v>
      </c>
    </row>
    <row r="20" spans="2:6" x14ac:dyDescent="0.5">
      <c r="B20" s="439" t="s">
        <v>920</v>
      </c>
      <c r="C20" s="467">
        <v>1.7054700289841625E-2</v>
      </c>
      <c r="D20" s="467">
        <v>1.1254127653505914E-2</v>
      </c>
      <c r="E20" s="467">
        <v>9.9877839835815704E-2</v>
      </c>
      <c r="F20" s="467">
        <v>1.8313810092708507E-2</v>
      </c>
    </row>
    <row r="21" spans="2:6" x14ac:dyDescent="0.5">
      <c r="B21" s="439" t="s">
        <v>921</v>
      </c>
      <c r="C21" s="467">
        <v>1.3991652172903234E-2</v>
      </c>
      <c r="D21" s="467">
        <v>9.1911901481004279E-3</v>
      </c>
      <c r="E21" s="467">
        <v>8.80087154038173E-2</v>
      </c>
      <c r="F21" s="467">
        <v>1.5172676337346711E-2</v>
      </c>
    </row>
    <row r="22" spans="2:6" x14ac:dyDescent="0.5">
      <c r="B22" s="439" t="s">
        <v>922</v>
      </c>
      <c r="C22" s="467">
        <v>1.6122822552794572E-2</v>
      </c>
      <c r="D22" s="467">
        <v>1.2558406284587662E-2</v>
      </c>
      <c r="E22" s="467">
        <v>8.8667954263934548E-2</v>
      </c>
      <c r="F22" s="467">
        <v>1.7425766028039729E-2</v>
      </c>
    </row>
    <row r="23" spans="2:6" x14ac:dyDescent="0.5">
      <c r="B23" s="439" t="s">
        <v>923</v>
      </c>
      <c r="C23" s="467">
        <v>1.7079299037254331E-2</v>
      </c>
      <c r="D23" s="467">
        <v>1.2058582105351648E-2</v>
      </c>
      <c r="E23" s="467">
        <v>6.6735776621493062E-2</v>
      </c>
      <c r="F23" s="467">
        <v>1.7670500322381041E-2</v>
      </c>
    </row>
    <row r="24" spans="2:6" x14ac:dyDescent="0.5">
      <c r="B24" s="439" t="s">
        <v>924</v>
      </c>
      <c r="C24" s="467">
        <v>1.7226862032492633E-2</v>
      </c>
      <c r="D24" s="467">
        <v>1.4753987209876845E-2</v>
      </c>
      <c r="E24" s="467">
        <v>6.7577626171125754E-2</v>
      </c>
      <c r="F24" s="467">
        <v>1.8130153812949489E-2</v>
      </c>
    </row>
    <row r="25" spans="2:6" x14ac:dyDescent="0.5">
      <c r="B25" s="439" t="s">
        <v>925</v>
      </c>
      <c r="C25" s="467">
        <v>1.8105527203709261E-2</v>
      </c>
      <c r="D25" s="467">
        <v>1.5226554677869398E-2</v>
      </c>
      <c r="E25" s="467">
        <v>6.1780847683432179E-2</v>
      </c>
      <c r="F25" s="467">
        <v>1.8859165921805747E-2</v>
      </c>
    </row>
    <row r="26" spans="2:6" x14ac:dyDescent="0.5">
      <c r="B26" s="439" t="s">
        <v>926</v>
      </c>
      <c r="C26" s="467">
        <v>1.6307411659248795E-2</v>
      </c>
      <c r="D26" s="467">
        <v>1.6713432326711075E-2</v>
      </c>
      <c r="E26" s="467">
        <v>6.2112084474212681E-2</v>
      </c>
      <c r="F26" s="467">
        <v>1.7349797499552871E-2</v>
      </c>
    </row>
    <row r="27" spans="2:6" x14ac:dyDescent="0.5">
      <c r="B27" s="439" t="s">
        <v>927</v>
      </c>
      <c r="C27" s="467">
        <v>1.7134803610742166E-2</v>
      </c>
      <c r="D27" s="467">
        <v>1.9295833418032274E-2</v>
      </c>
      <c r="E27" s="467">
        <v>6.6426944960237572E-2</v>
      </c>
      <c r="F27" s="467">
        <v>1.8403696782801092E-2</v>
      </c>
    </row>
    <row r="28" spans="2:6" x14ac:dyDescent="0.5">
      <c r="B28" s="439" t="s">
        <v>928</v>
      </c>
      <c r="C28" s="467">
        <v>1.2009893119330328E-2</v>
      </c>
      <c r="D28" s="467">
        <v>1.3609089923848745E-2</v>
      </c>
      <c r="E28" s="467">
        <v>6.2303128797301592E-2</v>
      </c>
      <c r="F28" s="467">
        <v>1.3140500600979155E-2</v>
      </c>
    </row>
    <row r="29" spans="2:6" x14ac:dyDescent="0.5">
      <c r="B29" s="439" t="s">
        <v>929</v>
      </c>
      <c r="C29" s="454">
        <v>1.4063518148516918E-2</v>
      </c>
      <c r="D29" s="467">
        <v>1.3047843030681825E-2</v>
      </c>
      <c r="E29" s="467">
        <v>6.1857473493301979E-2</v>
      </c>
      <c r="F29" s="467">
        <v>1.4781276770495153E-2</v>
      </c>
    </row>
    <row r="30" spans="2:6" x14ac:dyDescent="0.5">
      <c r="B30" s="439" t="s">
        <v>930</v>
      </c>
      <c r="C30" s="454">
        <v>1.2311642339464125E-2</v>
      </c>
      <c r="D30" s="467">
        <v>1.4639428789004021E-2</v>
      </c>
      <c r="E30" s="467">
        <v>7.8445672944005396E-2</v>
      </c>
      <c r="F30" s="467">
        <v>1.3671076476607404E-2</v>
      </c>
    </row>
    <row r="31" spans="2:6" x14ac:dyDescent="0.5">
      <c r="B31" s="439" t="s">
        <v>931</v>
      </c>
      <c r="C31" s="454">
        <v>1.1791975725014305E-2</v>
      </c>
      <c r="D31" s="467">
        <v>1.4208335384402164E-2</v>
      </c>
      <c r="E31" s="467">
        <v>7.0507524371974301E-2</v>
      </c>
      <c r="F31" s="467">
        <v>1.3110524182573059E-2</v>
      </c>
    </row>
    <row r="32" spans="2:6" x14ac:dyDescent="0.5">
      <c r="B32" s="439" t="s">
        <v>932</v>
      </c>
      <c r="C32" s="454">
        <v>1.3186980247334178E-2</v>
      </c>
      <c r="D32" s="467">
        <v>1.4884996030117573E-2</v>
      </c>
      <c r="E32" s="467">
        <v>7.0034475612292452E-2</v>
      </c>
      <c r="F32" s="467">
        <v>1.4432161364547159E-2</v>
      </c>
    </row>
    <row r="33" spans="2:8" x14ac:dyDescent="0.5">
      <c r="B33" s="439" t="s">
        <v>933</v>
      </c>
      <c r="C33" s="454">
        <v>1.2009893119330328E-2</v>
      </c>
      <c r="D33" s="467">
        <v>1.3609089923848745E-2</v>
      </c>
      <c r="E33" s="467">
        <v>6.2303128797301592E-2</v>
      </c>
      <c r="F33" s="467">
        <v>1.3140500600979155E-2</v>
      </c>
    </row>
    <row r="34" spans="2:8" x14ac:dyDescent="0.5">
      <c r="B34" s="439" t="s">
        <v>934</v>
      </c>
      <c r="C34" s="454">
        <v>1.834083195142306E-2</v>
      </c>
      <c r="D34" s="467">
        <v>2.3184688878580811E-2</v>
      </c>
      <c r="E34" s="467">
        <v>6.9879153691782145E-2</v>
      </c>
      <c r="F34" s="467">
        <v>1.9793153989150068E-2</v>
      </c>
    </row>
    <row r="35" spans="2:8" x14ac:dyDescent="0.5">
      <c r="B35" s="439" t="s">
        <v>935</v>
      </c>
      <c r="C35" s="454">
        <v>2.493815159928868E-2</v>
      </c>
      <c r="D35" s="467">
        <v>2.8159131620367397E-2</v>
      </c>
      <c r="E35" s="467">
        <v>7.8178799378047309E-2</v>
      </c>
      <c r="F35" s="467">
        <v>2.6268258032264763E-2</v>
      </c>
    </row>
    <row r="36" spans="2:8" x14ac:dyDescent="0.5">
      <c r="B36" s="439" t="s">
        <v>936</v>
      </c>
      <c r="C36" s="454">
        <v>3.2327291933945866E-2</v>
      </c>
      <c r="D36" s="467">
        <v>3.4047117326826949E-2</v>
      </c>
      <c r="E36" s="467">
        <v>8.1937114790674476E-2</v>
      </c>
      <c r="F36" s="467">
        <v>3.3433643794091465E-2</v>
      </c>
    </row>
    <row r="37" spans="2:8" x14ac:dyDescent="0.5">
      <c r="B37" s="441" t="s">
        <v>937</v>
      </c>
      <c r="C37" s="457">
        <v>2.9810817637805437E-2</v>
      </c>
      <c r="D37" s="468">
        <v>2.4862230276291593E-2</v>
      </c>
      <c r="E37" s="468">
        <v>7.5952078368912879E-2</v>
      </c>
      <c r="F37" s="468">
        <v>3.021301874763321E-2</v>
      </c>
      <c r="H37" s="469"/>
    </row>
    <row r="38" spans="2:8" x14ac:dyDescent="0.5">
      <c r="B38" s="441" t="s">
        <v>938</v>
      </c>
      <c r="C38" s="457">
        <v>3.6084780641517274E-2</v>
      </c>
      <c r="D38" s="468">
        <v>3.1874613859508634E-2</v>
      </c>
      <c r="E38" s="468">
        <v>8.3658088904891986E-2</v>
      </c>
      <c r="F38" s="468">
        <v>3.6569272039544805E-2</v>
      </c>
    </row>
    <row r="39" spans="2:8" x14ac:dyDescent="0.5">
      <c r="B39" s="441" t="s">
        <v>939</v>
      </c>
      <c r="C39" s="457">
        <v>3.6322237185045736E-2</v>
      </c>
      <c r="D39" s="468">
        <v>3.6107317991235635E-2</v>
      </c>
      <c r="E39" s="468">
        <v>9.1776259430478374E-2</v>
      </c>
      <c r="F39" s="468">
        <v>3.7329356038283336E-2</v>
      </c>
    </row>
    <row r="40" spans="2:8" x14ac:dyDescent="0.5">
      <c r="B40" s="441" t="s">
        <v>940</v>
      </c>
      <c r="C40" s="457">
        <v>3.8864469187811432E-2</v>
      </c>
      <c r="D40" s="468">
        <v>3.6334042723975037E-2</v>
      </c>
      <c r="E40" s="468">
        <v>0.1039550009638758</v>
      </c>
      <c r="F40" s="468">
        <v>3.9849266677290267E-2</v>
      </c>
    </row>
    <row r="41" spans="2:8" x14ac:dyDescent="0.5">
      <c r="B41" s="441" t="s">
        <v>941</v>
      </c>
      <c r="C41" s="457">
        <v>3.7601485544746953E-2</v>
      </c>
      <c r="D41" s="468">
        <v>3.618448830795188E-2</v>
      </c>
      <c r="E41" s="468">
        <v>9.8716302130932659E-2</v>
      </c>
      <c r="F41" s="468">
        <v>3.8641372749153108E-2</v>
      </c>
    </row>
    <row r="42" spans="2:8" x14ac:dyDescent="0.5">
      <c r="B42" s="441" t="s">
        <v>942</v>
      </c>
      <c r="C42" s="457">
        <v>4.2808111671801236E-2</v>
      </c>
      <c r="D42" s="468">
        <v>4.3677144004895106E-2</v>
      </c>
      <c r="E42" s="468">
        <v>0.10837052675465024</v>
      </c>
      <c r="F42" s="468">
        <v>4.4159919691739172E-2</v>
      </c>
    </row>
    <row r="43" spans="2:8" x14ac:dyDescent="0.5">
      <c r="B43" s="441" t="s">
        <v>943</v>
      </c>
      <c r="C43" s="457">
        <v>4.7264374169366831E-2</v>
      </c>
      <c r="D43" s="468">
        <v>5.1099607816182412E-2</v>
      </c>
      <c r="E43" s="468">
        <v>0.1285120277446806</v>
      </c>
      <c r="F43" s="468">
        <v>4.916738314688561E-2</v>
      </c>
    </row>
    <row r="44" spans="2:8" x14ac:dyDescent="0.5">
      <c r="B44" s="441" t="s">
        <v>944</v>
      </c>
      <c r="C44" s="457">
        <v>5.045034576722747E-2</v>
      </c>
      <c r="D44" s="468">
        <v>5.5648390209819487E-2</v>
      </c>
      <c r="E44" s="468">
        <v>0.13035572713502325</v>
      </c>
      <c r="F44" s="468">
        <v>5.2418189328498239E-2</v>
      </c>
    </row>
    <row r="45" spans="2:8" ht="14.7" thickBot="1" x14ac:dyDescent="0.55000000000000004">
      <c r="B45" s="443" t="s">
        <v>945</v>
      </c>
      <c r="C45" s="459">
        <v>4.4394006675342809E-2</v>
      </c>
      <c r="D45" s="459">
        <v>5.0258092593185512E-2</v>
      </c>
      <c r="E45" s="459">
        <v>0.11045873644852409</v>
      </c>
      <c r="F45" s="459">
        <v>4.6175596599635126E-2</v>
      </c>
    </row>
    <row r="46" spans="2:8" ht="7.7" customHeight="1" thickTop="1" x14ac:dyDescent="0.5"/>
  </sheetData>
  <mergeCells count="1">
    <mergeCell ref="B2:F2"/>
  </mergeCells>
  <pageMargins left="0.7" right="0.7"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C17</vt:lpstr>
      <vt:lpstr>C18</vt:lpstr>
      <vt:lpstr>C19</vt:lpstr>
      <vt:lpstr>C20</vt:lpstr>
      <vt:lpstr>C21</vt:lpstr>
      <vt:lpstr>C22</vt:lpstr>
      <vt:lpstr>C23</vt:lpstr>
      <vt:lpstr>C24</vt:lpstr>
      <vt:lpstr>C25</vt:lpstr>
      <vt:lpstr>'C1'!Print_Area</vt:lpstr>
      <vt:lpstr>'C17'!Print_Area</vt:lpstr>
      <vt:lpstr>'C18'!Print_Area</vt:lpstr>
      <vt:lpstr>'C19'!Print_Area</vt:lpstr>
      <vt:lpstr>'C2'!Print_Area</vt:lpstr>
      <vt:lpstr>'C20'!Print_Area</vt:lpstr>
      <vt:lpstr>'C21'!Print_Area</vt:lpstr>
      <vt:lpstr>'C22'!Print_Area</vt:lpstr>
      <vt:lpstr>'C23'!Print_Area</vt:lpstr>
      <vt:lpstr>'C24'!Print_Area</vt:lpstr>
      <vt:lpstr>'C25'!Print_Area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MUKHIYA</dc:creator>
  <cp:lastModifiedBy>KENDRA MUKHIYA</cp:lastModifiedBy>
  <dcterms:created xsi:type="dcterms:W3CDTF">2025-09-16T13:10:54Z</dcterms:created>
  <dcterms:modified xsi:type="dcterms:W3CDTF">2025-09-16T13:11:33Z</dcterms:modified>
</cp:coreProperties>
</file>